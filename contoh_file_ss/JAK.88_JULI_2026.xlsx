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4" sheetId="4" r:id="rId8"/>
    <sheet state="visible" name="5" sheetId="5" r:id="rId9"/>
    <sheet state="visible" name="6" sheetId="6" r:id="rId10"/>
    <sheet state="visible" name="7" sheetId="7" r:id="rId11"/>
    <sheet state="visible" name="8" sheetId="8" r:id="rId12"/>
    <sheet state="visible" name="9" sheetId="9" r:id="rId13"/>
    <sheet state="visible" name="10" sheetId="10" r:id="rId14"/>
    <sheet state="visible" name="11" sheetId="11" r:id="rId15"/>
    <sheet state="visible" name="12" sheetId="12" r:id="rId16"/>
    <sheet state="visible" name="13" sheetId="13" r:id="rId17"/>
    <sheet state="visible" name="14" sheetId="14" r:id="rId18"/>
    <sheet state="visible" name="15" sheetId="15" r:id="rId19"/>
    <sheet state="visible" name="16" sheetId="16" r:id="rId20"/>
    <sheet state="visible" name="17" sheetId="17" r:id="rId21"/>
    <sheet state="visible" name="18" sheetId="18" r:id="rId22"/>
    <sheet state="visible" name="19" sheetId="19" r:id="rId23"/>
    <sheet state="visible" name="20" sheetId="20" r:id="rId24"/>
    <sheet state="visible" name="21" sheetId="21" r:id="rId25"/>
    <sheet state="visible" name="22" sheetId="22" r:id="rId26"/>
    <sheet state="visible" name="23" sheetId="23" r:id="rId27"/>
    <sheet state="visible" name="24" sheetId="24" r:id="rId28"/>
    <sheet state="visible" name="25" sheetId="25" r:id="rId29"/>
    <sheet state="visible" name="26" sheetId="26" r:id="rId30"/>
    <sheet state="visible" name="27" sheetId="27" r:id="rId31"/>
    <sheet state="visible" name="28" sheetId="28" r:id="rId32"/>
    <sheet state="visible" name="29" sheetId="29" r:id="rId33"/>
    <sheet state="visible" name="30" sheetId="30" r:id="rId34"/>
    <sheet state="visible" name="31" sheetId="31" r:id="rId35"/>
  </sheets>
  <definedNames/>
  <calcPr/>
</workbook>
</file>

<file path=xl/sharedStrings.xml><?xml version="1.0" encoding="utf-8"?>
<sst xmlns="http://schemas.openxmlformats.org/spreadsheetml/2006/main" count="2982" uniqueCount="90">
  <si>
    <t>NO</t>
  </si>
  <si>
    <t>Kode Rute</t>
  </si>
  <si>
    <t>No Body</t>
  </si>
  <si>
    <t>TANJUNG PRIOK - ANCOL BARAT</t>
  </si>
  <si>
    <t>ANCOL BARAT - TANJUNG PRIOK</t>
  </si>
  <si>
    <t>TRIP PENGALIHAN</t>
  </si>
  <si>
    <t>TOA SHIFT 1</t>
  </si>
  <si>
    <t>MANUAL SHIFT 1</t>
  </si>
  <si>
    <t>TOA SHIFT 2</t>
  </si>
  <si>
    <t>MANUAL SHIFT 2</t>
  </si>
  <si>
    <t>TOTAL TOA</t>
  </si>
  <si>
    <t>TOTAL MANUAL</t>
  </si>
  <si>
    <t>TOTAL PELANGGAN</t>
  </si>
  <si>
    <t>KETERANGAN</t>
  </si>
  <si>
    <t>KM 1</t>
  </si>
  <si>
    <t>KM 2</t>
  </si>
  <si>
    <t>TOTAL KM</t>
  </si>
  <si>
    <t>Kilometer Awal Shift 1</t>
  </si>
  <si>
    <t>Kilometer Akhir Shift 1</t>
  </si>
  <si>
    <t>Kilometer Awal Shift 2</t>
  </si>
  <si>
    <t>Kilometer Akhir Shift 2</t>
  </si>
  <si>
    <t>Total Kilometer Shift 1</t>
  </si>
  <si>
    <t>Total Kilometer Shift 2</t>
  </si>
  <si>
    <t>JAK.88</t>
  </si>
  <si>
    <t>KMJ 1986</t>
  </si>
  <si>
    <t>KMJ 1987</t>
  </si>
  <si>
    <t>KMJ 1988</t>
  </si>
  <si>
    <t>KMJ 1989</t>
  </si>
  <si>
    <t>KMJ 1990</t>
  </si>
  <si>
    <t>KMJ 1991</t>
  </si>
  <si>
    <t>KMJ 1992</t>
  </si>
  <si>
    <t>KMJ 1993</t>
  </si>
  <si>
    <t>KMJ 1994</t>
  </si>
  <si>
    <t>KMJ 1995</t>
  </si>
  <si>
    <t>KMJ 1996</t>
  </si>
  <si>
    <t>KMJ 2001</t>
  </si>
  <si>
    <t>KMJ 2002</t>
  </si>
  <si>
    <t>KMJ 2003</t>
  </si>
  <si>
    <t>KMJ 2004</t>
  </si>
  <si>
    <t>KMJ 2005</t>
  </si>
  <si>
    <t>KMJ 220014</t>
  </si>
  <si>
    <t>BA02 tidak kuat starter /renops</t>
  </si>
  <si>
    <t>KMJ 220015</t>
  </si>
  <si>
    <t>NP.1 /renops</t>
  </si>
  <si>
    <t>KMJ 220016</t>
  </si>
  <si>
    <t>KMJ 220017</t>
  </si>
  <si>
    <t>KMJ 220018</t>
  </si>
  <si>
    <t>KMJ 220019</t>
  </si>
  <si>
    <t>NP.1 /NP.2</t>
  </si>
  <si>
    <t>KMJ 220020</t>
  </si>
  <si>
    <t>KMJ 220021</t>
  </si>
  <si>
    <t>KMJ 220022</t>
  </si>
  <si>
    <t>KMJ 220023</t>
  </si>
  <si>
    <t>KMJ 220024</t>
  </si>
  <si>
    <t>KMJ 220025</t>
  </si>
  <si>
    <t>KMJ 220026</t>
  </si>
  <si>
    <t>KMJ 220027</t>
  </si>
  <si>
    <t>Total Pelanggan</t>
  </si>
  <si>
    <t>Total KM</t>
  </si>
  <si>
    <t>Total Pelanggan/KM</t>
  </si>
  <si>
    <t>KM/BUS</t>
  </si>
  <si>
    <t>TOTAL TOA SHIFT 1</t>
  </si>
  <si>
    <t>TOTAL MANUAL SHIFT 1</t>
  </si>
  <si>
    <t>TOTAL SHIFT 1</t>
  </si>
  <si>
    <t>TOTAL TOA SHIFT 2</t>
  </si>
  <si>
    <t>TOTAL MANUAL SHIFT 2</t>
  </si>
  <si>
    <t>TOTAL SHIFT 2</t>
  </si>
  <si>
    <t xml:space="preserve">BA 02 RADIATOR BOCOR / OKB </t>
  </si>
  <si>
    <t>NP 1 &amp; 2</t>
  </si>
  <si>
    <t>BA 02 NP 2</t>
  </si>
  <si>
    <t>BA 02 LAMPU KABIN MATI</t>
  </si>
  <si>
    <t xml:space="preserve">SERVICE BERKALA / RENOPS </t>
  </si>
  <si>
    <t>PERBAIKAN UNIT</t>
  </si>
  <si>
    <t>SERVIS UNIT</t>
  </si>
  <si>
    <t>LIBUR</t>
  </si>
  <si>
    <t>ba 02 mesin brebet</t>
  </si>
  <si>
    <t>T.O EVDAL</t>
  </si>
  <si>
    <t>63</t>
  </si>
  <si>
    <t>65</t>
  </si>
  <si>
    <t>99</t>
  </si>
  <si>
    <t>BA 02 RADIATOR BOCOR</t>
  </si>
  <si>
    <t>SERVICE BERKALA</t>
  </si>
  <si>
    <t>90</t>
  </si>
  <si>
    <t>G.O Radiator Bocor  / renop</t>
  </si>
  <si>
    <t xml:space="preserve">T.O EVDAL </t>
  </si>
  <si>
    <t>Ba02 Kopling Slip  / OKB</t>
  </si>
  <si>
    <t>NP 1</t>
  </si>
  <si>
    <t>BA02-MESIN MATI / OKB</t>
  </si>
  <si>
    <t>BA02-MESIN MATI² ( BREBET )</t>
  </si>
  <si>
    <t>KEPENGURUSAN PLAT NOMER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</si>
</sst>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b/>
      <sz val="9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b/>
      <color theme="1"/>
      <name val="Calibri"/>
    </font>
    <font>
      <b/>
      <color theme="1"/>
      <name val="Calibri"/>
      <scheme val="minor"/>
    </font>
    <font>
      <b/>
      <sz val="8.0"/>
      <color theme="1"/>
      <name val="Calibri"/>
      <scheme val="minor"/>
    </font>
    <font>
      <b/>
      <sz val="10.0"/>
      <color theme="1"/>
      <name val="Calibri"/>
      <scheme val="minor"/>
    </font>
    <font>
      <b/>
      <sz val="9.0"/>
      <color theme="1"/>
      <name val="Calibri"/>
      <scheme val="minor"/>
    </font>
    <font>
      <b/>
      <color rgb="FFFFFF00"/>
      <name val="Calibri"/>
      <scheme val="minor"/>
    </font>
    <font>
      <b/>
      <sz val="10.0"/>
      <color rgb="FFFFFF00"/>
      <name val="Calibri"/>
      <scheme val="minor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DEEAF6"/>
        <bgColor rgb="FFDEEAF6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2" fillId="3" fontId="2" numFmtId="1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5" fillId="0" fontId="4" numFmtId="1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vertical="center"/>
    </xf>
    <xf borderId="5" fillId="4" fontId="4" numFmtId="0" xfId="0" applyAlignment="1" applyBorder="1" applyFont="1">
      <alignment horizontal="center" readingOrder="0" vertical="center"/>
    </xf>
    <xf borderId="5" fillId="4" fontId="4" numFmtId="1" xfId="0" applyAlignment="1" applyBorder="1" applyFont="1" applyNumberFormat="1">
      <alignment horizontal="center" shrinkToFit="0" vertical="center" wrapText="1"/>
    </xf>
    <xf borderId="4" fillId="4" fontId="4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ont="1">
      <alignment horizontal="center" vertical="center"/>
    </xf>
    <xf borderId="5" fillId="5" fontId="4" numFmtId="0" xfId="0" applyAlignment="1" applyBorder="1" applyFont="1">
      <alignment horizontal="center" vertical="center"/>
    </xf>
    <xf borderId="5" fillId="5" fontId="4" numFmtId="1" xfId="0" applyAlignment="1" applyBorder="1" applyFont="1" applyNumberForma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4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1" fillId="10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ont="1">
      <alignment horizontal="center" readingOrder="0" shrinkToFit="0" vertical="center" wrapText="1"/>
    </xf>
    <xf borderId="4" fillId="10" fontId="4" numFmtId="0" xfId="0" applyAlignment="1" applyBorder="1" applyFont="1">
      <alignment horizontal="center" vertical="center"/>
    </xf>
    <xf borderId="5" fillId="10" fontId="4" numFmtId="0" xfId="0" applyAlignment="1" applyBorder="1" applyFont="1">
      <alignment horizontal="center" vertical="center"/>
    </xf>
    <xf borderId="5" fillId="10" fontId="4" numFmtId="1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4" fillId="6" fontId="4" numFmtId="0" xfId="0" applyAlignment="1" applyBorder="1" applyFont="1">
      <alignment horizontal="center" vertical="center"/>
    </xf>
    <xf borderId="5" fillId="6" fontId="4" numFmtId="0" xfId="0" applyAlignment="1" applyBorder="1" applyFont="1">
      <alignment horizontal="center" vertical="center"/>
    </xf>
    <xf borderId="5" fillId="6" fontId="4" numFmtId="1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2" fillId="3" fontId="9" numFmtId="1" xfId="0" applyAlignment="1" applyBorder="1" applyFont="1" applyNumberForma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readingOrder="0" vertical="center"/>
    </xf>
    <xf borderId="5" fillId="0" fontId="6" numFmtId="1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1" fillId="10" fontId="6" numFmtId="0" xfId="0" applyAlignment="1" applyBorder="1" applyFont="1">
      <alignment horizontal="center" shrinkToFit="0" vertical="center" wrapText="1"/>
    </xf>
    <xf borderId="1" fillId="10" fontId="8" numFmtId="0" xfId="0" applyAlignment="1" applyBorder="1" applyFont="1">
      <alignment horizontal="center" shrinkToFit="0" vertical="center" wrapText="1"/>
    </xf>
    <xf borderId="4" fillId="10" fontId="6" numFmtId="0" xfId="0" applyAlignment="1" applyBorder="1" applyFont="1">
      <alignment horizontal="center" vertical="center"/>
    </xf>
    <xf borderId="5" fillId="10" fontId="6" numFmtId="0" xfId="0" applyAlignment="1" applyBorder="1" applyFont="1">
      <alignment horizontal="center" vertical="center"/>
    </xf>
    <xf borderId="5" fillId="10" fontId="6" numFmtId="1" xfId="0" applyAlignment="1" applyBorder="1" applyFont="1" applyNumberForma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vertical="center"/>
    </xf>
    <xf borderId="5" fillId="5" fontId="6" numFmtId="0" xfId="0" applyAlignment="1" applyBorder="1" applyFont="1">
      <alignment horizontal="center" vertical="center"/>
    </xf>
    <xf borderId="5" fillId="5" fontId="6" numFmtId="1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" fillId="6" fontId="7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1" fillId="7" fontId="6" numFmtId="0" xfId="0" applyAlignment="1" applyBorder="1" applyFont="1">
      <alignment horizontal="center" shrinkToFit="0" vertical="center" wrapText="1"/>
    </xf>
    <xf borderId="1" fillId="8" fontId="7" numFmtId="0" xfId="0" applyAlignment="1" applyBorder="1" applyFont="1">
      <alignment horizontal="center" shrinkToFit="0" vertical="center" wrapText="1"/>
    </xf>
    <xf borderId="1" fillId="8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9" fontId="7" numFmtId="0" xfId="0" applyAlignment="1" applyBorder="1" applyFont="1">
      <alignment horizontal="center" shrinkToFit="0" vertical="center" wrapText="1"/>
    </xf>
    <xf borderId="1" fillId="9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1" fillId="10" fontId="8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readingOrder="0" vertical="center"/>
    </xf>
    <xf borderId="1" fillId="10" fontId="10" numFmtId="0" xfId="0" applyAlignment="1" applyBorder="1" applyFont="1">
      <alignment horizontal="center" shrinkToFit="0" vertical="center" wrapText="1"/>
    </xf>
    <xf borderId="1" fillId="10" fontId="10" numFmtId="0" xfId="0" applyAlignment="1" applyBorder="1" applyFont="1">
      <alignment horizontal="center" readingOrder="0" shrinkToFit="0" vertical="center" wrapText="1"/>
    </xf>
    <xf borderId="1" fillId="10" fontId="11" numFmtId="0" xfId="0" applyAlignment="1" applyBorder="1" applyFont="1">
      <alignment horizontal="center" readingOrder="0" shrinkToFit="0" vertical="center" wrapText="1"/>
    </xf>
    <xf borderId="4" fillId="10" fontId="10" numFmtId="0" xfId="0" applyAlignment="1" applyBorder="1" applyFont="1">
      <alignment horizontal="center" vertical="center"/>
    </xf>
    <xf borderId="5" fillId="10" fontId="10" numFmtId="0" xfId="0" applyAlignment="1" applyBorder="1" applyFont="1">
      <alignment horizontal="center" vertical="center"/>
    </xf>
    <xf borderId="5" fillId="10" fontId="10" numFmtId="1" xfId="0" applyAlignment="1" applyBorder="1" applyFont="1" applyNumberFormat="1">
      <alignment horizontal="center" shrinkToFit="0" vertical="center" wrapText="1"/>
    </xf>
    <xf borderId="1" fillId="10" fontId="6" numFmtId="0" xfId="0" applyAlignment="1" applyBorder="1" applyFont="1">
      <alignment horizontal="center" readingOrder="0" shrinkToFit="0" vertical="center" wrapText="1"/>
    </xf>
    <xf borderId="1" fillId="11" fontId="6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bottom" wrapText="1"/>
    </xf>
    <xf borderId="2" fillId="3" fontId="2" numFmtId="0" xfId="0" applyAlignment="1" applyBorder="1" applyFont="1">
      <alignment horizontal="center" shrinkToFit="0" vertical="bottom" wrapText="1"/>
    </xf>
    <xf borderId="2" fillId="3" fontId="2" numFmtId="1" xfId="0" applyAlignment="1" applyBorder="1" applyFont="1" applyNumberFormat="1">
      <alignment horizontal="center" shrinkToFit="0" vertical="bottom" wrapText="1"/>
    </xf>
    <xf borderId="1" fillId="0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readingOrder="0" vertical="bottom"/>
    </xf>
    <xf borderId="5" fillId="0" fontId="12" numFmtId="0" xfId="0" applyAlignment="1" applyBorder="1" applyFont="1">
      <alignment readingOrder="0" vertical="bottom"/>
    </xf>
    <xf borderId="5" fillId="0" fontId="12" numFmtId="0" xfId="0" applyAlignment="1" applyBorder="1" applyFont="1">
      <alignment vertical="bottom"/>
    </xf>
    <xf borderId="5" fillId="0" fontId="4" numFmtId="1" xfId="0" applyAlignment="1" applyBorder="1" applyFont="1" applyNumberFormat="1">
      <alignment horizontal="center" shrinkToFit="0" vertical="bottom" wrapText="1"/>
    </xf>
    <xf borderId="4" fillId="0" fontId="12" numFmtId="0" xfId="0" applyAlignment="1" applyBorder="1" applyFont="1">
      <alignment vertical="bottom"/>
    </xf>
    <xf quotePrefix="1" borderId="1" fillId="0" fontId="1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horizontal="center" readingOrder="0" shrinkToFit="0" vertical="center" wrapText="1"/>
    </xf>
    <xf borderId="4" fillId="11" fontId="12" numFmtId="0" xfId="0" applyAlignment="1" applyBorder="1" applyFont="1">
      <alignment readingOrder="0" vertical="bottom"/>
    </xf>
    <xf borderId="4" fillId="11" fontId="12" numFmtId="0" xfId="0" applyAlignment="1" applyBorder="1" applyFont="1">
      <alignment vertical="bottom"/>
    </xf>
    <xf borderId="5" fillId="11" fontId="12" numFmtId="0" xfId="0" applyAlignment="1" applyBorder="1" applyFont="1">
      <alignment vertical="bottom"/>
    </xf>
    <xf borderId="5" fillId="11" fontId="4" numFmtId="1" xfId="0" applyAlignment="1" applyBorder="1" applyFont="1" applyNumberForma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4" fillId="5" fontId="12" numFmtId="0" xfId="0" applyAlignment="1" applyBorder="1" applyFont="1">
      <alignment vertical="bottom"/>
    </xf>
    <xf borderId="4" fillId="5" fontId="12" numFmtId="0" xfId="0" applyAlignment="1" applyBorder="1" applyFont="1">
      <alignment vertical="bottom"/>
    </xf>
    <xf borderId="5" fillId="5" fontId="12" numFmtId="0" xfId="0" applyAlignment="1" applyBorder="1" applyFont="1">
      <alignment vertical="bottom"/>
    </xf>
    <xf borderId="5" fillId="5" fontId="4" numFmtId="1" xfId="0" applyAlignment="1" applyBorder="1" applyFont="1" applyNumberFormat="1">
      <alignment horizontal="center" shrinkToFit="0" vertical="bottom" wrapText="1"/>
    </xf>
    <xf borderId="1" fillId="6" fontId="4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" fillId="7" fontId="4" numFmtId="0" xfId="0" applyAlignment="1" applyBorder="1" applyFont="1">
      <alignment shrinkToFit="0" vertical="center" wrapText="1"/>
    </xf>
    <xf borderId="1" fillId="8" fontId="4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shrinkToFit="0" vertical="center" wrapText="1"/>
    </xf>
    <xf borderId="1" fillId="9" fontId="4" numFmtId="0" xfId="0" applyAlignment="1" applyBorder="1" applyFont="1">
      <alignment shrinkToFit="0" vertical="center" wrapText="1"/>
    </xf>
    <xf borderId="4" fillId="6" fontId="4" numFmtId="0" xfId="0" applyAlignment="1" applyBorder="1" applyFont="1">
      <alignment horizontal="center" readingOrder="0" vertical="center"/>
    </xf>
    <xf borderId="5" fillId="6" fontId="4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10" fontId="6" numFmtId="0" xfId="0" applyAlignment="1" applyBorder="1" applyFont="1">
      <alignment horizontal="center" readingOrder="0" vertical="center"/>
    </xf>
    <xf borderId="1" fillId="10" fontId="6" numFmtId="0" xfId="0" applyAlignment="1" applyBorder="1" applyFont="1">
      <alignment horizontal="center" vertical="center"/>
    </xf>
    <xf borderId="1" fillId="10" fontId="8" numFmtId="0" xfId="0" applyAlignment="1" applyBorder="1" applyFont="1">
      <alignment horizontal="center" readingOrder="0" vertical="center"/>
    </xf>
    <xf borderId="5" fillId="10" fontId="4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4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center" vertical="center"/>
    </xf>
    <xf borderId="5" fillId="4" fontId="6" numFmtId="1" xfId="0" applyAlignment="1" applyBorder="1" applyFont="1" applyNumberFormat="1">
      <alignment horizontal="center" shrinkToFit="0" vertical="center" wrapText="1"/>
    </xf>
    <xf borderId="1" fillId="6" fontId="6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center" readingOrder="0" vertical="center"/>
    </xf>
    <xf borderId="4" fillId="6" fontId="6" numFmtId="0" xfId="0" applyAlignment="1" applyBorder="1" applyFont="1">
      <alignment horizontal="center" readingOrder="0" vertical="center"/>
    </xf>
    <xf borderId="4" fillId="6" fontId="6" numFmtId="0" xfId="0" applyAlignment="1" applyBorder="1" applyFont="1">
      <alignment horizontal="center" vertical="center"/>
    </xf>
    <xf borderId="5" fillId="6" fontId="6" numFmtId="0" xfId="0" applyAlignment="1" applyBorder="1" applyFont="1">
      <alignment horizontal="center" vertical="center"/>
    </xf>
    <xf borderId="5" fillId="6" fontId="6" numFmtId="1" xfId="0" applyAlignment="1" applyBorder="1" applyFont="1" applyNumberFormat="1">
      <alignment horizontal="center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wrapText="1"/>
    </xf>
    <xf borderId="1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37.0"/>
    <col customWidth="1" min="15" max="15" width="7.86"/>
    <col customWidth="1" min="16" max="16" width="8.0"/>
    <col customWidth="1" min="17" max="28" width="8.71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  <c r="AA1" s="5"/>
      <c r="AB1" s="5"/>
    </row>
    <row r="2" ht="14.25" customHeight="1">
      <c r="A2" s="6">
        <v>1.0</v>
      </c>
      <c r="B2" s="6" t="s">
        <v>23</v>
      </c>
      <c r="C2" s="6" t="s">
        <v>24</v>
      </c>
      <c r="D2" s="7">
        <v>8.0</v>
      </c>
      <c r="E2" s="7">
        <v>8.0</v>
      </c>
      <c r="F2" s="6"/>
      <c r="G2" s="7">
        <v>110.0</v>
      </c>
      <c r="H2" s="6"/>
      <c r="I2" s="6">
        <f t="shared" ref="I2:I31" si="1">max(0,K2-G2)</f>
        <v>105</v>
      </c>
      <c r="J2" s="6"/>
      <c r="K2" s="7">
        <v>215.0</v>
      </c>
      <c r="L2" s="6">
        <f t="shared" ref="L2:L31" si="2">J2+H2</f>
        <v>0</v>
      </c>
      <c r="M2" s="6">
        <f t="shared" ref="M2:M31" si="3">G2+H2+I2+J2</f>
        <v>215</v>
      </c>
      <c r="N2" s="6"/>
      <c r="O2" s="6">
        <v>11.31</v>
      </c>
      <c r="P2" s="6">
        <v>13.482</v>
      </c>
      <c r="Q2" s="6">
        <f t="shared" ref="Q2:Q31" si="4">(O2*D2)+(P2*E2)</f>
        <v>198.336</v>
      </c>
      <c r="R2" s="8">
        <v>364091.0</v>
      </c>
      <c r="S2" s="9">
        <v>364196.0</v>
      </c>
      <c r="T2" s="9">
        <v>364196.0</v>
      </c>
      <c r="U2" s="9">
        <v>364300.0</v>
      </c>
      <c r="V2" s="10">
        <f t="shared" ref="V2:V31" si="5">S2-R2</f>
        <v>105</v>
      </c>
      <c r="W2" s="10">
        <f t="shared" ref="W2:W31" si="6">U2-T2</f>
        <v>104</v>
      </c>
      <c r="X2" s="11"/>
      <c r="Y2" s="11"/>
      <c r="Z2" s="11"/>
      <c r="AA2" s="11"/>
      <c r="AB2" s="11"/>
    </row>
    <row r="3" ht="14.25" customHeight="1">
      <c r="A3" s="6">
        <v>2.0</v>
      </c>
      <c r="B3" s="6" t="s">
        <v>23</v>
      </c>
      <c r="C3" s="6" t="s">
        <v>25</v>
      </c>
      <c r="D3" s="7">
        <v>8.0</v>
      </c>
      <c r="E3" s="7">
        <v>8.0</v>
      </c>
      <c r="F3" s="6"/>
      <c r="G3" s="7">
        <v>86.0</v>
      </c>
      <c r="H3" s="6"/>
      <c r="I3" s="6">
        <f t="shared" si="1"/>
        <v>78</v>
      </c>
      <c r="J3" s="6"/>
      <c r="K3" s="7">
        <v>164.0</v>
      </c>
      <c r="L3" s="6">
        <f t="shared" si="2"/>
        <v>0</v>
      </c>
      <c r="M3" s="6">
        <f t="shared" si="3"/>
        <v>164</v>
      </c>
      <c r="N3" s="6"/>
      <c r="O3" s="6">
        <v>11.31</v>
      </c>
      <c r="P3" s="6">
        <v>13.482</v>
      </c>
      <c r="Q3" s="6">
        <f t="shared" si="4"/>
        <v>198.336</v>
      </c>
      <c r="R3" s="8">
        <v>358089.0</v>
      </c>
      <c r="S3" s="9">
        <v>358193.0</v>
      </c>
      <c r="T3" s="9">
        <v>358193.0</v>
      </c>
      <c r="U3" s="9">
        <v>358296.0</v>
      </c>
      <c r="V3" s="10">
        <f t="shared" si="5"/>
        <v>104</v>
      </c>
      <c r="W3" s="10">
        <f t="shared" si="6"/>
        <v>103</v>
      </c>
      <c r="X3" s="11"/>
      <c r="Y3" s="11"/>
      <c r="Z3" s="11"/>
      <c r="AA3" s="11"/>
      <c r="AB3" s="11"/>
    </row>
    <row r="4" ht="14.25" customHeight="1">
      <c r="A4" s="6">
        <v>3.0</v>
      </c>
      <c r="B4" s="6" t="s">
        <v>23</v>
      </c>
      <c r="C4" s="6" t="s">
        <v>26</v>
      </c>
      <c r="D4" s="7">
        <v>8.0</v>
      </c>
      <c r="E4" s="7">
        <v>8.0</v>
      </c>
      <c r="F4" s="6"/>
      <c r="G4" s="7">
        <v>71.0</v>
      </c>
      <c r="H4" s="6"/>
      <c r="I4" s="6">
        <f t="shared" si="1"/>
        <v>109</v>
      </c>
      <c r="J4" s="6"/>
      <c r="K4" s="7">
        <v>180.0</v>
      </c>
      <c r="L4" s="6">
        <f t="shared" si="2"/>
        <v>0</v>
      </c>
      <c r="M4" s="6">
        <f t="shared" si="3"/>
        <v>180</v>
      </c>
      <c r="N4" s="6"/>
      <c r="O4" s="6">
        <v>11.31</v>
      </c>
      <c r="P4" s="6">
        <v>13.482</v>
      </c>
      <c r="Q4" s="6">
        <f t="shared" si="4"/>
        <v>198.336</v>
      </c>
      <c r="R4" s="8">
        <v>363157.0</v>
      </c>
      <c r="S4" s="8">
        <v>363260.0</v>
      </c>
      <c r="T4" s="8">
        <v>363260.0</v>
      </c>
      <c r="U4" s="9">
        <v>363362.0</v>
      </c>
      <c r="V4" s="10">
        <f t="shared" si="5"/>
        <v>103</v>
      </c>
      <c r="W4" s="10">
        <f t="shared" si="6"/>
        <v>102</v>
      </c>
      <c r="X4" s="11"/>
      <c r="Y4" s="11"/>
      <c r="Z4" s="11"/>
      <c r="AA4" s="11"/>
      <c r="AB4" s="11"/>
    </row>
    <row r="5" ht="14.25" customHeight="1">
      <c r="A5" s="6">
        <v>4.0</v>
      </c>
      <c r="B5" s="6" t="s">
        <v>23</v>
      </c>
      <c r="C5" s="6" t="s">
        <v>27</v>
      </c>
      <c r="D5" s="7">
        <v>7.0</v>
      </c>
      <c r="E5" s="7">
        <v>8.0</v>
      </c>
      <c r="F5" s="6"/>
      <c r="G5" s="7">
        <v>66.0</v>
      </c>
      <c r="H5" s="6"/>
      <c r="I5" s="6">
        <f t="shared" si="1"/>
        <v>118</v>
      </c>
      <c r="J5" s="6"/>
      <c r="K5" s="7">
        <v>184.0</v>
      </c>
      <c r="L5" s="6">
        <f t="shared" si="2"/>
        <v>0</v>
      </c>
      <c r="M5" s="6">
        <f t="shared" si="3"/>
        <v>184</v>
      </c>
      <c r="N5" s="6"/>
      <c r="O5" s="6">
        <v>11.31</v>
      </c>
      <c r="P5" s="6">
        <v>13.482</v>
      </c>
      <c r="Q5" s="6">
        <f t="shared" si="4"/>
        <v>187.026</v>
      </c>
      <c r="R5" s="8">
        <v>362815.0</v>
      </c>
      <c r="S5" s="8">
        <v>362905.0</v>
      </c>
      <c r="T5" s="8">
        <v>362905.0</v>
      </c>
      <c r="U5" s="9">
        <v>363007.0</v>
      </c>
      <c r="V5" s="10">
        <f t="shared" si="5"/>
        <v>90</v>
      </c>
      <c r="W5" s="10">
        <f t="shared" si="6"/>
        <v>102</v>
      </c>
      <c r="X5" s="11"/>
      <c r="Y5" s="11"/>
      <c r="Z5" s="11"/>
      <c r="AA5" s="11"/>
      <c r="AB5" s="11"/>
    </row>
    <row r="6" ht="14.25" customHeight="1">
      <c r="A6" s="6">
        <v>5.0</v>
      </c>
      <c r="B6" s="6" t="s">
        <v>23</v>
      </c>
      <c r="C6" s="6" t="s">
        <v>28</v>
      </c>
      <c r="D6" s="7">
        <v>7.0</v>
      </c>
      <c r="E6" s="7">
        <v>8.0</v>
      </c>
      <c r="F6" s="6"/>
      <c r="G6" s="7">
        <v>64.0</v>
      </c>
      <c r="H6" s="6"/>
      <c r="I6" s="6">
        <f t="shared" si="1"/>
        <v>68</v>
      </c>
      <c r="J6" s="6"/>
      <c r="K6" s="7">
        <v>132.0</v>
      </c>
      <c r="L6" s="6">
        <f t="shared" si="2"/>
        <v>0</v>
      </c>
      <c r="M6" s="6">
        <f t="shared" si="3"/>
        <v>132</v>
      </c>
      <c r="N6" s="6"/>
      <c r="O6" s="6">
        <v>11.31</v>
      </c>
      <c r="P6" s="6">
        <v>13.482</v>
      </c>
      <c r="Q6" s="6">
        <f t="shared" si="4"/>
        <v>187.026</v>
      </c>
      <c r="R6" s="8">
        <v>359534.0</v>
      </c>
      <c r="S6" s="8">
        <v>359626.0</v>
      </c>
      <c r="T6" s="8">
        <v>359626.0</v>
      </c>
      <c r="U6" s="9">
        <v>359730.0</v>
      </c>
      <c r="V6" s="10">
        <f t="shared" si="5"/>
        <v>92</v>
      </c>
      <c r="W6" s="10">
        <f t="shared" si="6"/>
        <v>104</v>
      </c>
      <c r="X6" s="11"/>
      <c r="Y6" s="11"/>
      <c r="Z6" s="11"/>
      <c r="AA6" s="11"/>
      <c r="AB6" s="11"/>
    </row>
    <row r="7" ht="14.25" customHeight="1">
      <c r="A7" s="6">
        <v>6.0</v>
      </c>
      <c r="B7" s="6" t="s">
        <v>23</v>
      </c>
      <c r="C7" s="6" t="s">
        <v>29</v>
      </c>
      <c r="D7" s="7">
        <v>7.0</v>
      </c>
      <c r="E7" s="7">
        <v>8.0</v>
      </c>
      <c r="F7" s="6"/>
      <c r="G7" s="7">
        <v>66.0</v>
      </c>
      <c r="H7" s="6"/>
      <c r="I7" s="6">
        <f t="shared" si="1"/>
        <v>96</v>
      </c>
      <c r="J7" s="6"/>
      <c r="K7" s="7">
        <v>162.0</v>
      </c>
      <c r="L7" s="6">
        <f t="shared" si="2"/>
        <v>0</v>
      </c>
      <c r="M7" s="6">
        <f t="shared" si="3"/>
        <v>162</v>
      </c>
      <c r="N7" s="6"/>
      <c r="O7" s="6">
        <v>11.31</v>
      </c>
      <c r="P7" s="6">
        <v>13.482</v>
      </c>
      <c r="Q7" s="6">
        <f t="shared" si="4"/>
        <v>187.026</v>
      </c>
      <c r="R7" s="8">
        <v>366549.0</v>
      </c>
      <c r="S7" s="8">
        <v>366640.0</v>
      </c>
      <c r="T7" s="8">
        <v>366640.0</v>
      </c>
      <c r="U7" s="9">
        <v>366743.0</v>
      </c>
      <c r="V7" s="10">
        <f t="shared" si="5"/>
        <v>91</v>
      </c>
      <c r="W7" s="10">
        <f t="shared" si="6"/>
        <v>103</v>
      </c>
      <c r="X7" s="11"/>
      <c r="Y7" s="11"/>
      <c r="Z7" s="11"/>
      <c r="AA7" s="11"/>
      <c r="AB7" s="11"/>
    </row>
    <row r="8" ht="14.25" customHeight="1">
      <c r="A8" s="6">
        <v>7.0</v>
      </c>
      <c r="B8" s="6" t="s">
        <v>23</v>
      </c>
      <c r="C8" s="6" t="s">
        <v>30</v>
      </c>
      <c r="D8" s="7">
        <v>7.0</v>
      </c>
      <c r="E8" s="7">
        <v>8.0</v>
      </c>
      <c r="F8" s="6"/>
      <c r="G8" s="7">
        <v>64.0</v>
      </c>
      <c r="H8" s="6"/>
      <c r="I8" s="6">
        <f t="shared" si="1"/>
        <v>117</v>
      </c>
      <c r="J8" s="6"/>
      <c r="K8" s="7">
        <v>181.0</v>
      </c>
      <c r="L8" s="6">
        <f t="shared" si="2"/>
        <v>0</v>
      </c>
      <c r="M8" s="6">
        <f t="shared" si="3"/>
        <v>181</v>
      </c>
      <c r="N8" s="6"/>
      <c r="O8" s="6">
        <v>11.31</v>
      </c>
      <c r="P8" s="6">
        <v>13.482</v>
      </c>
      <c r="Q8" s="6">
        <f t="shared" si="4"/>
        <v>187.026</v>
      </c>
      <c r="R8" s="8">
        <v>377766.0</v>
      </c>
      <c r="S8" s="8">
        <v>377857.0</v>
      </c>
      <c r="T8" s="8">
        <v>377857.0</v>
      </c>
      <c r="U8" s="9">
        <v>377960.0</v>
      </c>
      <c r="V8" s="10">
        <f t="shared" si="5"/>
        <v>91</v>
      </c>
      <c r="W8" s="10">
        <f t="shared" si="6"/>
        <v>103</v>
      </c>
      <c r="X8" s="11"/>
      <c r="Y8" s="11"/>
      <c r="Z8" s="11"/>
      <c r="AA8" s="11"/>
      <c r="AB8" s="11"/>
    </row>
    <row r="9" ht="14.25" customHeight="1">
      <c r="A9" s="6">
        <v>8.0</v>
      </c>
      <c r="B9" s="6" t="s">
        <v>23</v>
      </c>
      <c r="C9" s="6" t="s">
        <v>31</v>
      </c>
      <c r="D9" s="7">
        <v>7.0</v>
      </c>
      <c r="E9" s="7">
        <v>8.0</v>
      </c>
      <c r="F9" s="6"/>
      <c r="G9" s="7">
        <v>65.0</v>
      </c>
      <c r="H9" s="6"/>
      <c r="I9" s="6">
        <f t="shared" si="1"/>
        <v>118</v>
      </c>
      <c r="J9" s="6"/>
      <c r="K9" s="7">
        <v>183.0</v>
      </c>
      <c r="L9" s="6">
        <f t="shared" si="2"/>
        <v>0</v>
      </c>
      <c r="M9" s="6">
        <f t="shared" si="3"/>
        <v>183</v>
      </c>
      <c r="N9" s="6"/>
      <c r="O9" s="6">
        <v>11.31</v>
      </c>
      <c r="P9" s="6">
        <v>13.482</v>
      </c>
      <c r="Q9" s="6">
        <f t="shared" si="4"/>
        <v>187.026</v>
      </c>
      <c r="R9" s="8">
        <v>368989.0</v>
      </c>
      <c r="S9" s="8">
        <v>369072.0</v>
      </c>
      <c r="T9" s="8">
        <v>369072.0</v>
      </c>
      <c r="U9" s="9">
        <v>369174.0</v>
      </c>
      <c r="V9" s="10">
        <f t="shared" si="5"/>
        <v>83</v>
      </c>
      <c r="W9" s="10">
        <f t="shared" si="6"/>
        <v>102</v>
      </c>
      <c r="X9" s="11"/>
      <c r="Y9" s="11"/>
      <c r="Z9" s="11"/>
      <c r="AA9" s="11"/>
      <c r="AB9" s="11"/>
    </row>
    <row r="10" ht="14.25" customHeight="1">
      <c r="A10" s="6">
        <v>9.0</v>
      </c>
      <c r="B10" s="6" t="s">
        <v>23</v>
      </c>
      <c r="C10" s="6" t="s">
        <v>32</v>
      </c>
      <c r="D10" s="7">
        <v>7.0</v>
      </c>
      <c r="E10" s="7">
        <v>8.0</v>
      </c>
      <c r="F10" s="6"/>
      <c r="G10" s="7">
        <v>82.0</v>
      </c>
      <c r="H10" s="6"/>
      <c r="I10" s="6">
        <f t="shared" si="1"/>
        <v>89</v>
      </c>
      <c r="J10" s="6"/>
      <c r="K10" s="7">
        <v>171.0</v>
      </c>
      <c r="L10" s="6">
        <f t="shared" si="2"/>
        <v>0</v>
      </c>
      <c r="M10" s="6">
        <f t="shared" si="3"/>
        <v>171</v>
      </c>
      <c r="N10" s="6"/>
      <c r="O10" s="6">
        <v>11.31</v>
      </c>
      <c r="P10" s="6">
        <v>13.482</v>
      </c>
      <c r="Q10" s="6">
        <f t="shared" si="4"/>
        <v>187.026</v>
      </c>
      <c r="R10" s="8">
        <v>368478.0</v>
      </c>
      <c r="S10" s="8">
        <v>368569.0</v>
      </c>
      <c r="T10" s="8">
        <v>368569.0</v>
      </c>
      <c r="U10" s="9">
        <v>368671.0</v>
      </c>
      <c r="V10" s="10">
        <f t="shared" si="5"/>
        <v>91</v>
      </c>
      <c r="W10" s="10">
        <f t="shared" si="6"/>
        <v>102</v>
      </c>
      <c r="X10" s="11"/>
      <c r="Y10" s="11"/>
      <c r="Z10" s="11"/>
      <c r="AA10" s="11"/>
      <c r="AB10" s="11"/>
    </row>
    <row r="11" ht="14.25" customHeight="1">
      <c r="A11" s="6">
        <v>10.0</v>
      </c>
      <c r="B11" s="6" t="s">
        <v>23</v>
      </c>
      <c r="C11" s="6" t="s">
        <v>33</v>
      </c>
      <c r="D11" s="7">
        <v>7.0</v>
      </c>
      <c r="E11" s="7">
        <v>8.0</v>
      </c>
      <c r="F11" s="6"/>
      <c r="G11" s="7">
        <v>63.0</v>
      </c>
      <c r="H11" s="6"/>
      <c r="I11" s="6">
        <f t="shared" si="1"/>
        <v>65</v>
      </c>
      <c r="J11" s="6"/>
      <c r="K11" s="7">
        <v>128.0</v>
      </c>
      <c r="L11" s="6">
        <f t="shared" si="2"/>
        <v>0</v>
      </c>
      <c r="M11" s="6">
        <f t="shared" si="3"/>
        <v>128</v>
      </c>
      <c r="N11" s="6"/>
      <c r="O11" s="6">
        <v>11.31</v>
      </c>
      <c r="P11" s="6">
        <v>13.482</v>
      </c>
      <c r="Q11" s="6">
        <f t="shared" si="4"/>
        <v>187.026</v>
      </c>
      <c r="R11" s="8">
        <v>360919.0</v>
      </c>
      <c r="S11" s="8">
        <v>361007.0</v>
      </c>
      <c r="T11" s="8">
        <v>361007.0</v>
      </c>
      <c r="U11" s="9">
        <v>361108.0</v>
      </c>
      <c r="V11" s="10">
        <f t="shared" si="5"/>
        <v>88</v>
      </c>
      <c r="W11" s="10">
        <f t="shared" si="6"/>
        <v>101</v>
      </c>
      <c r="X11" s="11"/>
      <c r="Y11" s="11"/>
      <c r="Z11" s="11"/>
      <c r="AA11" s="11"/>
      <c r="AB11" s="11"/>
    </row>
    <row r="12" ht="14.25" customHeight="1">
      <c r="A12" s="6">
        <v>11.0</v>
      </c>
      <c r="B12" s="6" t="s">
        <v>23</v>
      </c>
      <c r="C12" s="6" t="s">
        <v>34</v>
      </c>
      <c r="D12" s="7">
        <v>7.0</v>
      </c>
      <c r="E12" s="7">
        <v>8.0</v>
      </c>
      <c r="F12" s="6"/>
      <c r="G12" s="7">
        <v>62.0</v>
      </c>
      <c r="H12" s="6"/>
      <c r="I12" s="6">
        <f t="shared" si="1"/>
        <v>94</v>
      </c>
      <c r="J12" s="6"/>
      <c r="K12" s="7">
        <v>156.0</v>
      </c>
      <c r="L12" s="6">
        <f t="shared" si="2"/>
        <v>0</v>
      </c>
      <c r="M12" s="6">
        <f t="shared" si="3"/>
        <v>156</v>
      </c>
      <c r="N12" s="6"/>
      <c r="O12" s="6">
        <v>11.31</v>
      </c>
      <c r="P12" s="6">
        <v>13.482</v>
      </c>
      <c r="Q12" s="6">
        <f t="shared" si="4"/>
        <v>187.026</v>
      </c>
      <c r="R12" s="8">
        <v>66910.0</v>
      </c>
      <c r="S12" s="8">
        <v>67000.0</v>
      </c>
      <c r="T12" s="8">
        <v>67000.0</v>
      </c>
      <c r="U12" s="9">
        <v>67102.0</v>
      </c>
      <c r="V12" s="10">
        <f t="shared" si="5"/>
        <v>90</v>
      </c>
      <c r="W12" s="10">
        <f t="shared" si="6"/>
        <v>102</v>
      </c>
      <c r="X12" s="11"/>
      <c r="Y12" s="11"/>
      <c r="Z12" s="11"/>
      <c r="AA12" s="11"/>
      <c r="AB12" s="11"/>
    </row>
    <row r="13" ht="14.25" customHeight="1">
      <c r="A13" s="6">
        <v>12.0</v>
      </c>
      <c r="B13" s="6" t="s">
        <v>23</v>
      </c>
      <c r="C13" s="6" t="s">
        <v>35</v>
      </c>
      <c r="D13" s="7">
        <v>7.0</v>
      </c>
      <c r="E13" s="7">
        <v>8.0</v>
      </c>
      <c r="F13" s="6"/>
      <c r="G13" s="7">
        <v>82.0</v>
      </c>
      <c r="H13" s="6"/>
      <c r="I13" s="6">
        <f t="shared" si="1"/>
        <v>84</v>
      </c>
      <c r="J13" s="6"/>
      <c r="K13" s="7">
        <v>166.0</v>
      </c>
      <c r="L13" s="6">
        <f t="shared" si="2"/>
        <v>0</v>
      </c>
      <c r="M13" s="6">
        <f t="shared" si="3"/>
        <v>166</v>
      </c>
      <c r="N13" s="6"/>
      <c r="O13" s="6">
        <v>11.31</v>
      </c>
      <c r="P13" s="6">
        <v>13.482</v>
      </c>
      <c r="Q13" s="6">
        <f t="shared" si="4"/>
        <v>187.026</v>
      </c>
      <c r="R13" s="8">
        <v>367618.0</v>
      </c>
      <c r="S13" s="8">
        <v>367707.0</v>
      </c>
      <c r="T13" s="8">
        <v>367707.0</v>
      </c>
      <c r="U13" s="9">
        <v>367807.0</v>
      </c>
      <c r="V13" s="10">
        <f t="shared" si="5"/>
        <v>89</v>
      </c>
      <c r="W13" s="10">
        <f t="shared" si="6"/>
        <v>100</v>
      </c>
      <c r="X13" s="11"/>
      <c r="Y13" s="11"/>
      <c r="Z13" s="11"/>
      <c r="AA13" s="11"/>
      <c r="AB13" s="11"/>
    </row>
    <row r="14" ht="14.25" customHeight="1">
      <c r="A14" s="6">
        <v>13.0</v>
      </c>
      <c r="B14" s="6" t="s">
        <v>23</v>
      </c>
      <c r="C14" s="6" t="s">
        <v>36</v>
      </c>
      <c r="D14" s="7">
        <v>7.0</v>
      </c>
      <c r="E14" s="7">
        <v>8.0</v>
      </c>
      <c r="F14" s="6"/>
      <c r="G14" s="7">
        <v>64.0</v>
      </c>
      <c r="H14" s="6"/>
      <c r="I14" s="6">
        <f t="shared" si="1"/>
        <v>98</v>
      </c>
      <c r="J14" s="6"/>
      <c r="K14" s="7">
        <v>162.0</v>
      </c>
      <c r="L14" s="6">
        <f t="shared" si="2"/>
        <v>0</v>
      </c>
      <c r="M14" s="6">
        <f t="shared" si="3"/>
        <v>162</v>
      </c>
      <c r="N14" s="6"/>
      <c r="O14" s="6">
        <v>11.31</v>
      </c>
      <c r="P14" s="6">
        <v>13.482</v>
      </c>
      <c r="Q14" s="6">
        <f t="shared" si="4"/>
        <v>187.026</v>
      </c>
      <c r="R14" s="8">
        <v>368981.0</v>
      </c>
      <c r="S14" s="8">
        <v>369071.0</v>
      </c>
      <c r="T14" s="8">
        <v>369071.0</v>
      </c>
      <c r="U14" s="9">
        <v>369173.0</v>
      </c>
      <c r="V14" s="10">
        <f t="shared" si="5"/>
        <v>90</v>
      </c>
      <c r="W14" s="10">
        <f t="shared" si="6"/>
        <v>102</v>
      </c>
      <c r="X14" s="11"/>
      <c r="Y14" s="11"/>
      <c r="Z14" s="11"/>
      <c r="AA14" s="11"/>
      <c r="AB14" s="11"/>
    </row>
    <row r="15" ht="14.25" customHeight="1">
      <c r="A15" s="6">
        <v>14.0</v>
      </c>
      <c r="B15" s="6" t="s">
        <v>23</v>
      </c>
      <c r="C15" s="6" t="s">
        <v>37</v>
      </c>
      <c r="D15" s="7">
        <v>9.0</v>
      </c>
      <c r="E15" s="7">
        <v>9.0</v>
      </c>
      <c r="F15" s="6"/>
      <c r="G15" s="7">
        <v>70.0</v>
      </c>
      <c r="H15" s="6"/>
      <c r="I15" s="6">
        <f t="shared" si="1"/>
        <v>113</v>
      </c>
      <c r="J15" s="6"/>
      <c r="K15" s="7">
        <v>183.0</v>
      </c>
      <c r="L15" s="6">
        <f t="shared" si="2"/>
        <v>0</v>
      </c>
      <c r="M15" s="6">
        <f t="shared" si="3"/>
        <v>183</v>
      </c>
      <c r="N15" s="6"/>
      <c r="O15" s="6">
        <v>11.31</v>
      </c>
      <c r="P15" s="6">
        <v>13.482</v>
      </c>
      <c r="Q15" s="6">
        <f t="shared" si="4"/>
        <v>223.128</v>
      </c>
      <c r="R15" s="8">
        <v>368641.0</v>
      </c>
      <c r="S15" s="8">
        <v>368746.0</v>
      </c>
      <c r="T15" s="8">
        <v>368746.0</v>
      </c>
      <c r="U15" s="9">
        <v>368875.0</v>
      </c>
      <c r="V15" s="10">
        <f t="shared" si="5"/>
        <v>105</v>
      </c>
      <c r="W15" s="10">
        <f t="shared" si="6"/>
        <v>129</v>
      </c>
      <c r="X15" s="11"/>
      <c r="Y15" s="11"/>
      <c r="Z15" s="11"/>
      <c r="AA15" s="11"/>
      <c r="AB15" s="11"/>
    </row>
    <row r="16" ht="14.25" customHeight="1">
      <c r="A16" s="6">
        <v>15.0</v>
      </c>
      <c r="B16" s="6" t="s">
        <v>23</v>
      </c>
      <c r="C16" s="6" t="s">
        <v>38</v>
      </c>
      <c r="D16" s="7">
        <v>9.0</v>
      </c>
      <c r="E16" s="7">
        <v>9.0</v>
      </c>
      <c r="F16" s="6"/>
      <c r="G16" s="7">
        <v>70.0</v>
      </c>
      <c r="H16" s="6"/>
      <c r="I16" s="6">
        <f t="shared" si="1"/>
        <v>106</v>
      </c>
      <c r="J16" s="6"/>
      <c r="K16" s="7">
        <v>176.0</v>
      </c>
      <c r="L16" s="6">
        <f t="shared" si="2"/>
        <v>0</v>
      </c>
      <c r="M16" s="6">
        <f t="shared" si="3"/>
        <v>176</v>
      </c>
      <c r="N16" s="6"/>
      <c r="O16" s="6">
        <v>11.31</v>
      </c>
      <c r="P16" s="6">
        <v>13.482</v>
      </c>
      <c r="Q16" s="6">
        <f t="shared" si="4"/>
        <v>223.128</v>
      </c>
      <c r="R16" s="8">
        <v>359901.0</v>
      </c>
      <c r="S16" s="8">
        <v>360004.0</v>
      </c>
      <c r="T16" s="8">
        <v>360004.0</v>
      </c>
      <c r="U16" s="9">
        <v>360133.0</v>
      </c>
      <c r="V16" s="10">
        <f t="shared" si="5"/>
        <v>103</v>
      </c>
      <c r="W16" s="10">
        <f t="shared" si="6"/>
        <v>129</v>
      </c>
      <c r="X16" s="11"/>
      <c r="Y16" s="11"/>
      <c r="Z16" s="11"/>
      <c r="AA16" s="11"/>
      <c r="AB16" s="11"/>
    </row>
    <row r="17" ht="14.25" customHeight="1">
      <c r="A17" s="6">
        <v>16.0</v>
      </c>
      <c r="B17" s="6" t="s">
        <v>23</v>
      </c>
      <c r="C17" s="6" t="s">
        <v>39</v>
      </c>
      <c r="D17" s="7">
        <v>9.0</v>
      </c>
      <c r="E17" s="7">
        <v>9.0</v>
      </c>
      <c r="F17" s="6"/>
      <c r="G17" s="7">
        <v>62.0</v>
      </c>
      <c r="H17" s="6"/>
      <c r="I17" s="6">
        <f t="shared" si="1"/>
        <v>118</v>
      </c>
      <c r="J17" s="6"/>
      <c r="K17" s="7">
        <v>180.0</v>
      </c>
      <c r="L17" s="6">
        <f t="shared" si="2"/>
        <v>0</v>
      </c>
      <c r="M17" s="6">
        <f t="shared" si="3"/>
        <v>180</v>
      </c>
      <c r="N17" s="6"/>
      <c r="O17" s="6">
        <v>11.31</v>
      </c>
      <c r="P17" s="6">
        <v>13.482</v>
      </c>
      <c r="Q17" s="6">
        <f t="shared" si="4"/>
        <v>223.128</v>
      </c>
      <c r="R17" s="8">
        <v>364578.0</v>
      </c>
      <c r="S17" s="8">
        <v>364682.0</v>
      </c>
      <c r="T17" s="8">
        <v>364682.0</v>
      </c>
      <c r="U17" s="9">
        <v>364812.0</v>
      </c>
      <c r="V17" s="10">
        <f t="shared" si="5"/>
        <v>104</v>
      </c>
      <c r="W17" s="10">
        <f t="shared" si="6"/>
        <v>130</v>
      </c>
      <c r="X17" s="11"/>
      <c r="Y17" s="11"/>
      <c r="Z17" s="11"/>
      <c r="AA17" s="11"/>
      <c r="AB17" s="11"/>
    </row>
    <row r="18" ht="14.25" customHeight="1">
      <c r="A18" s="6">
        <v>17.0</v>
      </c>
      <c r="B18" s="6" t="s">
        <v>23</v>
      </c>
      <c r="C18" s="12" t="s">
        <v>40</v>
      </c>
      <c r="D18" s="13">
        <v>8.0</v>
      </c>
      <c r="E18" s="13">
        <v>8.0</v>
      </c>
      <c r="F18" s="12"/>
      <c r="G18" s="13">
        <v>64.0</v>
      </c>
      <c r="H18" s="12"/>
      <c r="I18" s="12">
        <f t="shared" si="1"/>
        <v>67</v>
      </c>
      <c r="J18" s="12"/>
      <c r="K18" s="13">
        <v>131.0</v>
      </c>
      <c r="L18" s="12">
        <f t="shared" si="2"/>
        <v>0</v>
      </c>
      <c r="M18" s="12">
        <f t="shared" si="3"/>
        <v>131</v>
      </c>
      <c r="N18" s="13" t="s">
        <v>41</v>
      </c>
      <c r="O18" s="12">
        <v>11.31</v>
      </c>
      <c r="P18" s="12">
        <v>13.482</v>
      </c>
      <c r="Q18" s="12">
        <f t="shared" si="4"/>
        <v>198.336</v>
      </c>
      <c r="R18" s="14">
        <v>299398.0</v>
      </c>
      <c r="S18" s="14">
        <v>299496.0</v>
      </c>
      <c r="T18" s="14">
        <v>299513.0</v>
      </c>
      <c r="U18" s="15">
        <v>299615.0</v>
      </c>
      <c r="V18" s="16">
        <f t="shared" si="5"/>
        <v>98</v>
      </c>
      <c r="W18" s="16">
        <f t="shared" si="6"/>
        <v>102</v>
      </c>
      <c r="X18" s="11"/>
      <c r="Y18" s="11"/>
      <c r="Z18" s="11"/>
      <c r="AA18" s="11"/>
      <c r="AB18" s="11"/>
    </row>
    <row r="19" ht="14.25" customHeight="1">
      <c r="A19" s="6">
        <v>18.0</v>
      </c>
      <c r="B19" s="6" t="s">
        <v>23</v>
      </c>
      <c r="C19" s="12" t="s">
        <v>42</v>
      </c>
      <c r="D19" s="13">
        <v>5.0</v>
      </c>
      <c r="E19" s="13">
        <v>5.0</v>
      </c>
      <c r="F19" s="12"/>
      <c r="G19" s="13">
        <v>0.0</v>
      </c>
      <c r="H19" s="12"/>
      <c r="I19" s="12">
        <f t="shared" si="1"/>
        <v>87</v>
      </c>
      <c r="J19" s="12"/>
      <c r="K19" s="13">
        <v>87.0</v>
      </c>
      <c r="L19" s="12">
        <f t="shared" si="2"/>
        <v>0</v>
      </c>
      <c r="M19" s="12">
        <f t="shared" si="3"/>
        <v>87</v>
      </c>
      <c r="N19" s="13" t="s">
        <v>43</v>
      </c>
      <c r="O19" s="12">
        <v>11.31</v>
      </c>
      <c r="P19" s="12">
        <v>13.482</v>
      </c>
      <c r="Q19" s="12">
        <f t="shared" si="4"/>
        <v>123.96</v>
      </c>
      <c r="R19" s="17"/>
      <c r="S19" s="17"/>
      <c r="T19" s="14">
        <v>400769.0</v>
      </c>
      <c r="U19" s="15">
        <v>400903.0</v>
      </c>
      <c r="V19" s="16">
        <f t="shared" si="5"/>
        <v>0</v>
      </c>
      <c r="W19" s="16">
        <f t="shared" si="6"/>
        <v>134</v>
      </c>
      <c r="X19" s="11"/>
      <c r="Y19" s="11"/>
      <c r="Z19" s="11"/>
      <c r="AA19" s="11"/>
      <c r="AB19" s="11"/>
    </row>
    <row r="20" ht="14.25" customHeight="1">
      <c r="A20" s="6">
        <v>19.0</v>
      </c>
      <c r="B20" s="6" t="s">
        <v>23</v>
      </c>
      <c r="C20" s="6" t="s">
        <v>44</v>
      </c>
      <c r="D20" s="7">
        <v>9.0</v>
      </c>
      <c r="E20" s="7">
        <v>9.0</v>
      </c>
      <c r="F20" s="6"/>
      <c r="G20" s="7">
        <v>104.0</v>
      </c>
      <c r="H20" s="6"/>
      <c r="I20" s="6">
        <f t="shared" si="1"/>
        <v>81</v>
      </c>
      <c r="J20" s="6"/>
      <c r="K20" s="7">
        <v>185.0</v>
      </c>
      <c r="L20" s="6">
        <f t="shared" si="2"/>
        <v>0</v>
      </c>
      <c r="M20" s="6">
        <f t="shared" si="3"/>
        <v>185</v>
      </c>
      <c r="N20" s="6"/>
      <c r="O20" s="6">
        <v>11.31</v>
      </c>
      <c r="P20" s="6">
        <v>13.482</v>
      </c>
      <c r="Q20" s="6">
        <f t="shared" si="4"/>
        <v>223.128</v>
      </c>
      <c r="R20" s="8">
        <v>549708.0</v>
      </c>
      <c r="S20" s="8">
        <v>549816.0</v>
      </c>
      <c r="T20" s="8">
        <v>549816.0</v>
      </c>
      <c r="U20" s="9">
        <v>549951.0</v>
      </c>
      <c r="V20" s="10">
        <f t="shared" si="5"/>
        <v>108</v>
      </c>
      <c r="W20" s="10">
        <f t="shared" si="6"/>
        <v>135</v>
      </c>
      <c r="X20" s="11"/>
      <c r="Y20" s="11"/>
      <c r="Z20" s="11"/>
      <c r="AA20" s="11"/>
      <c r="AB20" s="11"/>
    </row>
    <row r="21" ht="14.25" customHeight="1">
      <c r="A21" s="6">
        <v>20.0</v>
      </c>
      <c r="B21" s="6" t="s">
        <v>23</v>
      </c>
      <c r="C21" s="6" t="s">
        <v>45</v>
      </c>
      <c r="D21" s="7">
        <v>8.0</v>
      </c>
      <c r="E21" s="7">
        <v>8.0</v>
      </c>
      <c r="F21" s="6"/>
      <c r="G21" s="7">
        <v>79.0</v>
      </c>
      <c r="H21" s="6"/>
      <c r="I21" s="6">
        <f t="shared" si="1"/>
        <v>85</v>
      </c>
      <c r="J21" s="6"/>
      <c r="K21" s="7">
        <v>164.0</v>
      </c>
      <c r="L21" s="6">
        <f t="shared" si="2"/>
        <v>0</v>
      </c>
      <c r="M21" s="6">
        <f t="shared" si="3"/>
        <v>164</v>
      </c>
      <c r="N21" s="6"/>
      <c r="O21" s="6">
        <v>11.31</v>
      </c>
      <c r="P21" s="6">
        <v>13.482</v>
      </c>
      <c r="Q21" s="6">
        <f t="shared" si="4"/>
        <v>198.336</v>
      </c>
      <c r="R21" s="8">
        <v>426813.0</v>
      </c>
      <c r="S21" s="8">
        <v>426923.0</v>
      </c>
      <c r="T21" s="8">
        <v>426923.0</v>
      </c>
      <c r="U21" s="9">
        <v>427031.0</v>
      </c>
      <c r="V21" s="10">
        <f t="shared" si="5"/>
        <v>110</v>
      </c>
      <c r="W21" s="10">
        <f t="shared" si="6"/>
        <v>108</v>
      </c>
      <c r="X21" s="11"/>
      <c r="Y21" s="11"/>
      <c r="Z21" s="11"/>
      <c r="AA21" s="11"/>
      <c r="AB21" s="11"/>
    </row>
    <row r="22" ht="14.25" customHeight="1">
      <c r="A22" s="6">
        <v>21.0</v>
      </c>
      <c r="B22" s="6" t="s">
        <v>23</v>
      </c>
      <c r="C22" s="6" t="s">
        <v>46</v>
      </c>
      <c r="D22" s="7">
        <v>8.0</v>
      </c>
      <c r="E22" s="7">
        <v>8.0</v>
      </c>
      <c r="F22" s="6"/>
      <c r="G22" s="7">
        <v>69.0</v>
      </c>
      <c r="H22" s="6"/>
      <c r="I22" s="6">
        <f t="shared" si="1"/>
        <v>94</v>
      </c>
      <c r="J22" s="6"/>
      <c r="K22" s="7">
        <v>163.0</v>
      </c>
      <c r="L22" s="6">
        <f t="shared" si="2"/>
        <v>0</v>
      </c>
      <c r="M22" s="6">
        <f t="shared" si="3"/>
        <v>163</v>
      </c>
      <c r="N22" s="6"/>
      <c r="O22" s="6">
        <v>11.31</v>
      </c>
      <c r="P22" s="6">
        <v>13.482</v>
      </c>
      <c r="Q22" s="6">
        <f t="shared" si="4"/>
        <v>198.336</v>
      </c>
      <c r="R22" s="8">
        <v>488602.0</v>
      </c>
      <c r="S22" s="8">
        <v>488711.0</v>
      </c>
      <c r="T22" s="8">
        <v>488711.0</v>
      </c>
      <c r="U22" s="9">
        <v>488819.0</v>
      </c>
      <c r="V22" s="10">
        <f t="shared" si="5"/>
        <v>109</v>
      </c>
      <c r="W22" s="10">
        <f t="shared" si="6"/>
        <v>108</v>
      </c>
      <c r="X22" s="11"/>
      <c r="Y22" s="11"/>
      <c r="Z22" s="11"/>
      <c r="AA22" s="11"/>
      <c r="AB22" s="11"/>
    </row>
    <row r="23" ht="14.25" customHeight="1">
      <c r="A23" s="6">
        <v>22.0</v>
      </c>
      <c r="B23" s="6" t="s">
        <v>23</v>
      </c>
      <c r="C23" s="18" t="s">
        <v>47</v>
      </c>
      <c r="D23" s="19"/>
      <c r="E23" s="19"/>
      <c r="F23" s="18"/>
      <c r="G23" s="19">
        <v>0.0</v>
      </c>
      <c r="H23" s="18"/>
      <c r="I23" s="18">
        <f t="shared" si="1"/>
        <v>0</v>
      </c>
      <c r="J23" s="18"/>
      <c r="K23" s="18"/>
      <c r="L23" s="18">
        <f t="shared" si="2"/>
        <v>0</v>
      </c>
      <c r="M23" s="18">
        <f t="shared" si="3"/>
        <v>0</v>
      </c>
      <c r="N23" s="19" t="s">
        <v>48</v>
      </c>
      <c r="O23" s="18">
        <v>11.31</v>
      </c>
      <c r="P23" s="18">
        <v>13.482</v>
      </c>
      <c r="Q23" s="18">
        <f t="shared" si="4"/>
        <v>0</v>
      </c>
      <c r="R23" s="20"/>
      <c r="S23" s="20"/>
      <c r="T23" s="20"/>
      <c r="U23" s="21"/>
      <c r="V23" s="22">
        <f t="shared" si="5"/>
        <v>0</v>
      </c>
      <c r="W23" s="22">
        <f t="shared" si="6"/>
        <v>0</v>
      </c>
      <c r="X23" s="11"/>
      <c r="Y23" s="11"/>
      <c r="Z23" s="11"/>
      <c r="AA23" s="11"/>
      <c r="AB23" s="11"/>
    </row>
    <row r="24" ht="14.25" customHeight="1">
      <c r="A24" s="6">
        <v>23.0</v>
      </c>
      <c r="B24" s="6" t="s">
        <v>23</v>
      </c>
      <c r="C24" s="6" t="s">
        <v>49</v>
      </c>
      <c r="D24" s="7">
        <v>8.0</v>
      </c>
      <c r="E24" s="7">
        <v>8.0</v>
      </c>
      <c r="F24" s="6"/>
      <c r="G24" s="7">
        <v>65.0</v>
      </c>
      <c r="H24" s="6"/>
      <c r="I24" s="6">
        <f t="shared" si="1"/>
        <v>64</v>
      </c>
      <c r="J24" s="6"/>
      <c r="K24" s="7">
        <v>129.0</v>
      </c>
      <c r="L24" s="6">
        <f t="shared" si="2"/>
        <v>0</v>
      </c>
      <c r="M24" s="6">
        <f t="shared" si="3"/>
        <v>129</v>
      </c>
      <c r="N24" s="6"/>
      <c r="O24" s="6">
        <v>11.31</v>
      </c>
      <c r="P24" s="6">
        <v>13.482</v>
      </c>
      <c r="Q24" s="6">
        <f t="shared" si="4"/>
        <v>198.336</v>
      </c>
      <c r="R24" s="8">
        <v>255348.0</v>
      </c>
      <c r="S24" s="8">
        <v>255450.0</v>
      </c>
      <c r="T24" s="8">
        <v>255450.0</v>
      </c>
      <c r="U24" s="9">
        <v>255551.0</v>
      </c>
      <c r="V24" s="10">
        <f t="shared" si="5"/>
        <v>102</v>
      </c>
      <c r="W24" s="10">
        <f t="shared" si="6"/>
        <v>101</v>
      </c>
      <c r="X24" s="11"/>
      <c r="Y24" s="11"/>
      <c r="Z24" s="11"/>
      <c r="AA24" s="11"/>
      <c r="AB24" s="11"/>
    </row>
    <row r="25" ht="14.25" customHeight="1">
      <c r="A25" s="6">
        <v>24.0</v>
      </c>
      <c r="B25" s="6" t="s">
        <v>23</v>
      </c>
      <c r="C25" s="12" t="s">
        <v>50</v>
      </c>
      <c r="D25" s="13">
        <v>5.0</v>
      </c>
      <c r="E25" s="13">
        <v>5.0</v>
      </c>
      <c r="F25" s="12"/>
      <c r="G25" s="13">
        <v>0.0</v>
      </c>
      <c r="H25" s="12"/>
      <c r="I25" s="12">
        <f t="shared" si="1"/>
        <v>93</v>
      </c>
      <c r="J25" s="12"/>
      <c r="K25" s="13">
        <v>93.0</v>
      </c>
      <c r="L25" s="12">
        <f t="shared" si="2"/>
        <v>0</v>
      </c>
      <c r="M25" s="12">
        <f t="shared" si="3"/>
        <v>93</v>
      </c>
      <c r="N25" s="13" t="s">
        <v>43</v>
      </c>
      <c r="O25" s="12">
        <v>11.31</v>
      </c>
      <c r="P25" s="12">
        <v>13.482</v>
      </c>
      <c r="Q25" s="12">
        <f t="shared" si="4"/>
        <v>123.96</v>
      </c>
      <c r="R25" s="17"/>
      <c r="S25" s="17"/>
      <c r="T25" s="14">
        <v>254462.0</v>
      </c>
      <c r="U25" s="15">
        <v>254587.0</v>
      </c>
      <c r="V25" s="16">
        <f t="shared" si="5"/>
        <v>0</v>
      </c>
      <c r="W25" s="16">
        <f t="shared" si="6"/>
        <v>125</v>
      </c>
      <c r="X25" s="11"/>
      <c r="Y25" s="11"/>
      <c r="Z25" s="11"/>
      <c r="AA25" s="11"/>
      <c r="AB25" s="11"/>
    </row>
    <row r="26" ht="14.25" customHeight="1">
      <c r="A26" s="6">
        <v>25.0</v>
      </c>
      <c r="B26" s="6" t="s">
        <v>23</v>
      </c>
      <c r="C26" s="6" t="s">
        <v>51</v>
      </c>
      <c r="D26" s="7">
        <v>8.0</v>
      </c>
      <c r="E26" s="7">
        <v>8.0</v>
      </c>
      <c r="F26" s="6"/>
      <c r="G26" s="7">
        <v>87.0</v>
      </c>
      <c r="H26" s="6"/>
      <c r="I26" s="6">
        <f t="shared" si="1"/>
        <v>107</v>
      </c>
      <c r="J26" s="6"/>
      <c r="K26" s="7">
        <v>194.0</v>
      </c>
      <c r="L26" s="6">
        <f t="shared" si="2"/>
        <v>0</v>
      </c>
      <c r="M26" s="6">
        <f t="shared" si="3"/>
        <v>194</v>
      </c>
      <c r="N26" s="6"/>
      <c r="O26" s="6">
        <v>11.31</v>
      </c>
      <c r="P26" s="6">
        <v>13.482</v>
      </c>
      <c r="Q26" s="6">
        <f t="shared" si="4"/>
        <v>198.336</v>
      </c>
      <c r="R26" s="8">
        <v>256711.0</v>
      </c>
      <c r="S26" s="8">
        <v>256815.0</v>
      </c>
      <c r="T26" s="8">
        <v>256815.0</v>
      </c>
      <c r="U26" s="9">
        <v>256919.0</v>
      </c>
      <c r="V26" s="10">
        <f t="shared" si="5"/>
        <v>104</v>
      </c>
      <c r="W26" s="10">
        <f t="shared" si="6"/>
        <v>104</v>
      </c>
      <c r="X26" s="11"/>
      <c r="Y26" s="11"/>
      <c r="Z26" s="11"/>
      <c r="AA26" s="11"/>
      <c r="AB26" s="11"/>
    </row>
    <row r="27" ht="14.25" customHeight="1">
      <c r="A27" s="6">
        <v>26.0</v>
      </c>
      <c r="B27" s="6" t="s">
        <v>23</v>
      </c>
      <c r="C27" s="6" t="s">
        <v>52</v>
      </c>
      <c r="D27" s="7">
        <v>8.0</v>
      </c>
      <c r="E27" s="7">
        <v>8.0</v>
      </c>
      <c r="F27" s="6"/>
      <c r="G27" s="7">
        <v>69.0</v>
      </c>
      <c r="H27" s="6"/>
      <c r="I27" s="6">
        <f t="shared" si="1"/>
        <v>97</v>
      </c>
      <c r="J27" s="6"/>
      <c r="K27" s="7">
        <v>166.0</v>
      </c>
      <c r="L27" s="6">
        <f t="shared" si="2"/>
        <v>0</v>
      </c>
      <c r="M27" s="6">
        <f t="shared" si="3"/>
        <v>166</v>
      </c>
      <c r="N27" s="6"/>
      <c r="O27" s="6">
        <v>11.31</v>
      </c>
      <c r="P27" s="6">
        <v>13.482</v>
      </c>
      <c r="Q27" s="6">
        <f t="shared" si="4"/>
        <v>198.336</v>
      </c>
      <c r="R27" s="8">
        <v>255168.0</v>
      </c>
      <c r="S27" s="8">
        <v>255272.0</v>
      </c>
      <c r="T27" s="8">
        <v>255272.0</v>
      </c>
      <c r="U27" s="9">
        <v>255376.0</v>
      </c>
      <c r="V27" s="10">
        <f t="shared" si="5"/>
        <v>104</v>
      </c>
      <c r="W27" s="10">
        <f t="shared" si="6"/>
        <v>104</v>
      </c>
      <c r="X27" s="11"/>
      <c r="Y27" s="11"/>
      <c r="Z27" s="11"/>
      <c r="AA27" s="11"/>
      <c r="AB27" s="11"/>
    </row>
    <row r="28" ht="14.25" customHeight="1">
      <c r="A28" s="6">
        <v>27.0</v>
      </c>
      <c r="B28" s="6" t="s">
        <v>23</v>
      </c>
      <c r="C28" s="6" t="s">
        <v>53</v>
      </c>
      <c r="D28" s="7">
        <v>8.0</v>
      </c>
      <c r="E28" s="7">
        <v>8.0</v>
      </c>
      <c r="F28" s="6"/>
      <c r="G28" s="7">
        <v>68.0</v>
      </c>
      <c r="H28" s="6"/>
      <c r="I28" s="6">
        <f t="shared" si="1"/>
        <v>107</v>
      </c>
      <c r="J28" s="6"/>
      <c r="K28" s="7">
        <v>175.0</v>
      </c>
      <c r="L28" s="6">
        <f t="shared" si="2"/>
        <v>0</v>
      </c>
      <c r="M28" s="6">
        <f t="shared" si="3"/>
        <v>175</v>
      </c>
      <c r="N28" s="6"/>
      <c r="O28" s="6">
        <v>11.31</v>
      </c>
      <c r="P28" s="6">
        <v>13.482</v>
      </c>
      <c r="Q28" s="6">
        <f t="shared" si="4"/>
        <v>198.336</v>
      </c>
      <c r="R28" s="8">
        <v>451581.0</v>
      </c>
      <c r="S28" s="8">
        <v>451689.0</v>
      </c>
      <c r="T28" s="8">
        <v>451689.0</v>
      </c>
      <c r="U28" s="9">
        <v>451795.0</v>
      </c>
      <c r="V28" s="10">
        <f t="shared" si="5"/>
        <v>108</v>
      </c>
      <c r="W28" s="10">
        <f t="shared" si="6"/>
        <v>106</v>
      </c>
      <c r="X28" s="11"/>
      <c r="Y28" s="11"/>
      <c r="Z28" s="11"/>
      <c r="AA28" s="11"/>
      <c r="AB28" s="11"/>
    </row>
    <row r="29" ht="14.25" customHeight="1">
      <c r="A29" s="6">
        <v>28.0</v>
      </c>
      <c r="B29" s="6" t="s">
        <v>23</v>
      </c>
      <c r="C29" s="6" t="s">
        <v>54</v>
      </c>
      <c r="D29" s="7">
        <v>8.0</v>
      </c>
      <c r="E29" s="7">
        <v>8.0</v>
      </c>
      <c r="F29" s="6"/>
      <c r="G29" s="7">
        <v>80.0</v>
      </c>
      <c r="H29" s="6"/>
      <c r="I29" s="6">
        <f t="shared" si="1"/>
        <v>94</v>
      </c>
      <c r="J29" s="6"/>
      <c r="K29" s="7">
        <v>174.0</v>
      </c>
      <c r="L29" s="6">
        <f t="shared" si="2"/>
        <v>0</v>
      </c>
      <c r="M29" s="6">
        <f t="shared" si="3"/>
        <v>174</v>
      </c>
      <c r="N29" s="6"/>
      <c r="O29" s="6">
        <v>11.31</v>
      </c>
      <c r="P29" s="6">
        <v>13.482</v>
      </c>
      <c r="Q29" s="6">
        <f t="shared" si="4"/>
        <v>198.336</v>
      </c>
      <c r="R29" s="8">
        <v>265672.0</v>
      </c>
      <c r="S29" s="8">
        <v>265774.0</v>
      </c>
      <c r="T29" s="8">
        <v>265774.0</v>
      </c>
      <c r="U29" s="9">
        <v>265876.0</v>
      </c>
      <c r="V29" s="10">
        <f t="shared" si="5"/>
        <v>102</v>
      </c>
      <c r="W29" s="10">
        <f t="shared" si="6"/>
        <v>102</v>
      </c>
      <c r="X29" s="11"/>
      <c r="Y29" s="11"/>
      <c r="Z29" s="11"/>
      <c r="AA29" s="11"/>
      <c r="AB29" s="11"/>
    </row>
    <row r="30" ht="14.25" customHeight="1">
      <c r="A30" s="6">
        <v>29.0</v>
      </c>
      <c r="B30" s="6" t="s">
        <v>23</v>
      </c>
      <c r="C30" s="6" t="s">
        <v>55</v>
      </c>
      <c r="D30" s="7">
        <v>8.0</v>
      </c>
      <c r="E30" s="7">
        <v>8.0</v>
      </c>
      <c r="F30" s="6"/>
      <c r="G30" s="7">
        <v>92.0</v>
      </c>
      <c r="H30" s="6"/>
      <c r="I30" s="6">
        <f t="shared" si="1"/>
        <v>55</v>
      </c>
      <c r="J30" s="6"/>
      <c r="K30" s="7">
        <v>147.0</v>
      </c>
      <c r="L30" s="6">
        <f t="shared" si="2"/>
        <v>0</v>
      </c>
      <c r="M30" s="6">
        <f t="shared" si="3"/>
        <v>147</v>
      </c>
      <c r="N30" s="6"/>
      <c r="O30" s="6">
        <v>11.31</v>
      </c>
      <c r="P30" s="6">
        <v>13.482</v>
      </c>
      <c r="Q30" s="6">
        <f t="shared" si="4"/>
        <v>198.336</v>
      </c>
      <c r="R30" s="8">
        <v>268547.0</v>
      </c>
      <c r="S30" s="8">
        <v>268651.0</v>
      </c>
      <c r="T30" s="8">
        <v>268651.0</v>
      </c>
      <c r="U30" s="9">
        <v>268755.0</v>
      </c>
      <c r="V30" s="10">
        <f t="shared" si="5"/>
        <v>104</v>
      </c>
      <c r="W30" s="10">
        <f t="shared" si="6"/>
        <v>104</v>
      </c>
      <c r="X30" s="11"/>
      <c r="Y30" s="11"/>
      <c r="Z30" s="11"/>
      <c r="AA30" s="11"/>
      <c r="AB30" s="11"/>
    </row>
    <row r="31" ht="14.25" customHeight="1">
      <c r="A31" s="6">
        <v>30.0</v>
      </c>
      <c r="B31" s="6" t="s">
        <v>23</v>
      </c>
      <c r="C31" s="6" t="s">
        <v>56</v>
      </c>
      <c r="D31" s="7">
        <v>8.0</v>
      </c>
      <c r="E31" s="7">
        <v>8.0</v>
      </c>
      <c r="F31" s="6"/>
      <c r="G31" s="7">
        <v>77.0</v>
      </c>
      <c r="H31" s="6"/>
      <c r="I31" s="6">
        <f t="shared" si="1"/>
        <v>62</v>
      </c>
      <c r="J31" s="6"/>
      <c r="K31" s="7">
        <v>139.0</v>
      </c>
      <c r="L31" s="6">
        <f t="shared" si="2"/>
        <v>0</v>
      </c>
      <c r="M31" s="6">
        <f t="shared" si="3"/>
        <v>139</v>
      </c>
      <c r="N31" s="6"/>
      <c r="O31" s="6">
        <v>11.31</v>
      </c>
      <c r="P31" s="6">
        <v>13.482</v>
      </c>
      <c r="Q31" s="6">
        <f t="shared" si="4"/>
        <v>198.336</v>
      </c>
      <c r="R31" s="8">
        <v>292098.0</v>
      </c>
      <c r="S31" s="8">
        <v>292198.0</v>
      </c>
      <c r="T31" s="8">
        <v>292198.0</v>
      </c>
      <c r="U31" s="9">
        <v>292298.0</v>
      </c>
      <c r="V31" s="10">
        <f t="shared" si="5"/>
        <v>100</v>
      </c>
      <c r="W31" s="10">
        <f t="shared" si="6"/>
        <v>100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23" t="s">
        <v>57</v>
      </c>
      <c r="E32" s="23">
        <f>SUM(M:M)</f>
        <v>4670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23" t="s">
        <v>58</v>
      </c>
      <c r="E33" s="23">
        <f>SUM(Q:Q)</f>
        <v>5589.06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23" t="s">
        <v>59</v>
      </c>
      <c r="E34" s="23">
        <f>E32/E33</f>
        <v>0.8355608993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25"/>
      <c r="E35" s="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26" t="s">
        <v>60</v>
      </c>
      <c r="E36" s="26">
        <f>AVERAGEIF(Q:Q,"&gt;0",Q:Q)</f>
        <v>192.7262069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25"/>
      <c r="E37" s="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27" t="s">
        <v>61</v>
      </c>
      <c r="E38" s="27">
        <f>SUM(G:G)</f>
        <v>2001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27" t="s">
        <v>62</v>
      </c>
      <c r="E39" s="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27" t="s">
        <v>63</v>
      </c>
      <c r="E40" s="27">
        <f>E39+E38</f>
        <v>2001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25"/>
      <c r="E41" s="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28" t="s">
        <v>64</v>
      </c>
      <c r="E42" s="28">
        <f>SUM(I:I)</f>
        <v>2669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28" t="s">
        <v>65</v>
      </c>
      <c r="E43" s="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28" t="s">
        <v>66</v>
      </c>
      <c r="E44" s="28">
        <f>E43+E42</f>
        <v>2669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25"/>
      <c r="E45" s="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29" t="s">
        <v>10</v>
      </c>
      <c r="E46" s="29">
        <f t="shared" ref="E46:E47" si="7">E42+E38</f>
        <v>4670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29" t="s">
        <v>11</v>
      </c>
      <c r="E47" s="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25"/>
      <c r="E48" s="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25"/>
      <c r="E49" s="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25"/>
      <c r="E50" s="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25"/>
      <c r="E51" s="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34.29"/>
    <col customWidth="1" min="15" max="15" width="7.86"/>
    <col customWidth="1" min="16" max="16" width="8.0"/>
    <col customWidth="1" min="17" max="28" width="8.71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  <c r="AA1" s="5"/>
      <c r="AB1" s="5"/>
    </row>
    <row r="2" ht="14.25" customHeight="1">
      <c r="A2" s="6">
        <v>1.0</v>
      </c>
      <c r="B2" s="6" t="s">
        <v>23</v>
      </c>
      <c r="C2" s="6" t="s">
        <v>24</v>
      </c>
      <c r="D2" s="7">
        <v>8.0</v>
      </c>
      <c r="E2" s="7">
        <v>8.0</v>
      </c>
      <c r="F2" s="6"/>
      <c r="G2" s="7">
        <v>83.0</v>
      </c>
      <c r="H2" s="6"/>
      <c r="I2" s="6">
        <f t="shared" ref="I2:I31" si="1">max(0,K2-G2)</f>
        <v>127</v>
      </c>
      <c r="J2" s="6"/>
      <c r="K2" s="7">
        <v>210.0</v>
      </c>
      <c r="L2" s="6">
        <f t="shared" ref="L2:L31" si="2">J2+H2</f>
        <v>0</v>
      </c>
      <c r="M2" s="6">
        <f t="shared" ref="M2:M31" si="3">G2+H2+I2+J2</f>
        <v>210</v>
      </c>
      <c r="N2" s="6"/>
      <c r="O2" s="6">
        <v>11.31</v>
      </c>
      <c r="P2" s="6">
        <v>13.482</v>
      </c>
      <c r="Q2" s="6">
        <f t="shared" ref="Q2:Q31" si="4">(O2*D2)+(P2*E2)</f>
        <v>198.336</v>
      </c>
      <c r="R2" s="8">
        <v>364310.0</v>
      </c>
      <c r="S2" s="31"/>
      <c r="T2" s="31"/>
      <c r="U2" s="31"/>
      <c r="V2" s="10">
        <f t="shared" ref="V2:V31" si="5">S2-R2</f>
        <v>-364310</v>
      </c>
      <c r="W2" s="10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6">
        <v>2.0</v>
      </c>
      <c r="B3" s="6" t="s">
        <v>23</v>
      </c>
      <c r="C3" s="6" t="s">
        <v>25</v>
      </c>
      <c r="D3" s="7">
        <v>8.0</v>
      </c>
      <c r="E3" s="7">
        <v>8.0</v>
      </c>
      <c r="F3" s="6"/>
      <c r="G3" s="7">
        <v>79.0</v>
      </c>
      <c r="H3" s="6"/>
      <c r="I3" s="6">
        <f t="shared" si="1"/>
        <v>93</v>
      </c>
      <c r="J3" s="6"/>
      <c r="K3" s="7">
        <v>172.0</v>
      </c>
      <c r="L3" s="6">
        <f t="shared" si="2"/>
        <v>0</v>
      </c>
      <c r="M3" s="6">
        <f t="shared" si="3"/>
        <v>172</v>
      </c>
      <c r="N3" s="6"/>
      <c r="O3" s="6">
        <v>11.31</v>
      </c>
      <c r="P3" s="6">
        <v>13.482</v>
      </c>
      <c r="Q3" s="6">
        <f t="shared" si="4"/>
        <v>198.336</v>
      </c>
      <c r="R3" s="8">
        <v>358300.0</v>
      </c>
      <c r="S3" s="31"/>
      <c r="T3" s="31"/>
      <c r="U3" s="31"/>
      <c r="V3" s="10">
        <f t="shared" si="5"/>
        <v>-358300</v>
      </c>
      <c r="W3" s="10">
        <f t="shared" si="6"/>
        <v>0</v>
      </c>
      <c r="X3" s="11"/>
      <c r="Y3" s="11"/>
      <c r="Z3" s="11"/>
      <c r="AA3" s="11"/>
      <c r="AB3" s="11"/>
    </row>
    <row r="4" ht="14.25" customHeight="1">
      <c r="A4" s="6">
        <v>3.0</v>
      </c>
      <c r="B4" s="6" t="s">
        <v>23</v>
      </c>
      <c r="C4" s="12" t="s">
        <v>26</v>
      </c>
      <c r="D4" s="13">
        <v>6.0</v>
      </c>
      <c r="E4" s="13">
        <v>6.0</v>
      </c>
      <c r="F4" s="12"/>
      <c r="G4" s="13">
        <v>11.0</v>
      </c>
      <c r="H4" s="12"/>
      <c r="I4" s="12">
        <f t="shared" si="1"/>
        <v>129</v>
      </c>
      <c r="J4" s="12"/>
      <c r="K4" s="13">
        <v>140.0</v>
      </c>
      <c r="L4" s="12">
        <f t="shared" si="2"/>
        <v>0</v>
      </c>
      <c r="M4" s="12">
        <f t="shared" si="3"/>
        <v>140</v>
      </c>
      <c r="N4" s="13" t="s">
        <v>67</v>
      </c>
      <c r="O4" s="12">
        <v>11.31</v>
      </c>
      <c r="P4" s="12">
        <v>13.482</v>
      </c>
      <c r="Q4" s="12">
        <f t="shared" si="4"/>
        <v>148.752</v>
      </c>
      <c r="R4" s="14">
        <v>363367.0</v>
      </c>
      <c r="S4" s="14">
        <v>363375.0</v>
      </c>
      <c r="T4" s="14">
        <v>363389.0</v>
      </c>
      <c r="U4" s="32"/>
      <c r="V4" s="16">
        <f t="shared" si="5"/>
        <v>8</v>
      </c>
      <c r="W4" s="16">
        <f t="shared" si="6"/>
        <v>-363389</v>
      </c>
      <c r="X4" s="11"/>
      <c r="Y4" s="11"/>
      <c r="Z4" s="11"/>
      <c r="AA4" s="11"/>
      <c r="AB4" s="11"/>
    </row>
    <row r="5" ht="14.25" customHeight="1">
      <c r="A5" s="6">
        <v>4.0</v>
      </c>
      <c r="B5" s="6" t="s">
        <v>23</v>
      </c>
      <c r="C5" s="6" t="s">
        <v>27</v>
      </c>
      <c r="D5" s="7">
        <v>8.0</v>
      </c>
      <c r="E5" s="7">
        <v>8.0</v>
      </c>
      <c r="F5" s="6"/>
      <c r="G5" s="7">
        <v>91.0</v>
      </c>
      <c r="H5" s="6"/>
      <c r="I5" s="6">
        <f t="shared" si="1"/>
        <v>138</v>
      </c>
      <c r="J5" s="6"/>
      <c r="K5" s="7">
        <v>229.0</v>
      </c>
      <c r="L5" s="6">
        <f t="shared" si="2"/>
        <v>0</v>
      </c>
      <c r="M5" s="6">
        <f t="shared" si="3"/>
        <v>229</v>
      </c>
      <c r="N5" s="6"/>
      <c r="O5" s="6">
        <v>11.31</v>
      </c>
      <c r="P5" s="6">
        <v>13.482</v>
      </c>
      <c r="Q5" s="6">
        <f t="shared" si="4"/>
        <v>198.336</v>
      </c>
      <c r="R5" s="8">
        <v>363013.0</v>
      </c>
      <c r="S5" s="33"/>
      <c r="T5" s="33"/>
      <c r="U5" s="31"/>
      <c r="V5" s="10">
        <f t="shared" si="5"/>
        <v>-363013</v>
      </c>
      <c r="W5" s="10">
        <f t="shared" si="6"/>
        <v>0</v>
      </c>
      <c r="X5" s="11"/>
      <c r="Y5" s="11"/>
      <c r="Z5" s="11"/>
      <c r="AA5" s="11"/>
      <c r="AB5" s="11"/>
    </row>
    <row r="6" ht="14.25" customHeight="1">
      <c r="A6" s="6">
        <v>5.0</v>
      </c>
      <c r="B6" s="6" t="s">
        <v>23</v>
      </c>
      <c r="C6" s="6" t="s">
        <v>28</v>
      </c>
      <c r="D6" s="7">
        <v>7.0</v>
      </c>
      <c r="E6" s="7">
        <v>8.0</v>
      </c>
      <c r="F6" s="6"/>
      <c r="G6" s="7">
        <v>75.0</v>
      </c>
      <c r="H6" s="6"/>
      <c r="I6" s="6">
        <f t="shared" si="1"/>
        <v>90</v>
      </c>
      <c r="J6" s="6"/>
      <c r="K6" s="7">
        <v>165.0</v>
      </c>
      <c r="L6" s="6">
        <f t="shared" si="2"/>
        <v>0</v>
      </c>
      <c r="M6" s="6">
        <f t="shared" si="3"/>
        <v>165</v>
      </c>
      <c r="N6" s="6"/>
      <c r="O6" s="6">
        <v>11.31</v>
      </c>
      <c r="P6" s="6">
        <v>13.482</v>
      </c>
      <c r="Q6" s="6">
        <f t="shared" si="4"/>
        <v>187.026</v>
      </c>
      <c r="R6" s="8">
        <v>359745.0</v>
      </c>
      <c r="S6" s="33"/>
      <c r="T6" s="33"/>
      <c r="U6" s="31"/>
      <c r="V6" s="10">
        <f t="shared" si="5"/>
        <v>-359745</v>
      </c>
      <c r="W6" s="10">
        <f t="shared" si="6"/>
        <v>0</v>
      </c>
      <c r="X6" s="11"/>
      <c r="Y6" s="11"/>
      <c r="Z6" s="11"/>
      <c r="AA6" s="11"/>
      <c r="AB6" s="11"/>
    </row>
    <row r="7" ht="14.25" customHeight="1">
      <c r="A7" s="6">
        <v>6.0</v>
      </c>
      <c r="B7" s="6" t="s">
        <v>23</v>
      </c>
      <c r="C7" s="6" t="s">
        <v>29</v>
      </c>
      <c r="D7" s="7">
        <v>7.0</v>
      </c>
      <c r="E7" s="7">
        <v>8.0</v>
      </c>
      <c r="F7" s="6"/>
      <c r="G7" s="7">
        <v>83.0</v>
      </c>
      <c r="H7" s="6"/>
      <c r="I7" s="6">
        <f t="shared" si="1"/>
        <v>78</v>
      </c>
      <c r="J7" s="6"/>
      <c r="K7" s="7">
        <v>161.0</v>
      </c>
      <c r="L7" s="6">
        <f t="shared" si="2"/>
        <v>0</v>
      </c>
      <c r="M7" s="6">
        <f t="shared" si="3"/>
        <v>161</v>
      </c>
      <c r="N7" s="6"/>
      <c r="O7" s="6">
        <v>11.31</v>
      </c>
      <c r="P7" s="6">
        <v>13.482</v>
      </c>
      <c r="Q7" s="6">
        <f t="shared" si="4"/>
        <v>187.026</v>
      </c>
      <c r="R7" s="8">
        <v>366754.0</v>
      </c>
      <c r="S7" s="33"/>
      <c r="T7" s="33"/>
      <c r="U7" s="31"/>
      <c r="V7" s="10">
        <f t="shared" si="5"/>
        <v>-366754</v>
      </c>
      <c r="W7" s="10">
        <f t="shared" si="6"/>
        <v>0</v>
      </c>
      <c r="X7" s="11"/>
      <c r="Y7" s="11"/>
      <c r="Z7" s="11"/>
      <c r="AA7" s="11"/>
      <c r="AB7" s="11"/>
    </row>
    <row r="8" ht="14.25" customHeight="1">
      <c r="A8" s="6">
        <v>7.0</v>
      </c>
      <c r="B8" s="6" t="s">
        <v>23</v>
      </c>
      <c r="C8" s="6" t="s">
        <v>30</v>
      </c>
      <c r="D8" s="7">
        <v>7.0</v>
      </c>
      <c r="E8" s="7">
        <v>8.0</v>
      </c>
      <c r="F8" s="6"/>
      <c r="G8" s="7">
        <v>77.0</v>
      </c>
      <c r="H8" s="6"/>
      <c r="I8" s="6">
        <f t="shared" si="1"/>
        <v>64</v>
      </c>
      <c r="J8" s="6"/>
      <c r="K8" s="7">
        <v>141.0</v>
      </c>
      <c r="L8" s="6">
        <f t="shared" si="2"/>
        <v>0</v>
      </c>
      <c r="M8" s="6">
        <f t="shared" si="3"/>
        <v>141</v>
      </c>
      <c r="N8" s="6"/>
      <c r="O8" s="6">
        <v>11.31</v>
      </c>
      <c r="P8" s="6">
        <v>13.482</v>
      </c>
      <c r="Q8" s="6">
        <f t="shared" si="4"/>
        <v>187.026</v>
      </c>
      <c r="R8" s="8">
        <v>377976.0</v>
      </c>
      <c r="S8" s="33"/>
      <c r="T8" s="33"/>
      <c r="U8" s="31"/>
      <c r="V8" s="10">
        <f t="shared" si="5"/>
        <v>-377976</v>
      </c>
      <c r="W8" s="10">
        <f t="shared" si="6"/>
        <v>0</v>
      </c>
      <c r="X8" s="11"/>
      <c r="Y8" s="11"/>
      <c r="Z8" s="11"/>
      <c r="AA8" s="11"/>
      <c r="AB8" s="11"/>
    </row>
    <row r="9" ht="14.25" customHeight="1">
      <c r="A9" s="6">
        <v>8.0</v>
      </c>
      <c r="B9" s="6" t="s">
        <v>23</v>
      </c>
      <c r="C9" s="6" t="s">
        <v>31</v>
      </c>
      <c r="D9" s="7">
        <v>7.0</v>
      </c>
      <c r="E9" s="7">
        <v>8.0</v>
      </c>
      <c r="F9" s="6"/>
      <c r="G9" s="7">
        <v>69.0</v>
      </c>
      <c r="H9" s="6"/>
      <c r="I9" s="6">
        <f t="shared" si="1"/>
        <v>88</v>
      </c>
      <c r="J9" s="6"/>
      <c r="K9" s="7">
        <v>157.0</v>
      </c>
      <c r="L9" s="6">
        <f t="shared" si="2"/>
        <v>0</v>
      </c>
      <c r="M9" s="6">
        <f t="shared" si="3"/>
        <v>157</v>
      </c>
      <c r="N9" s="6"/>
      <c r="O9" s="6">
        <v>11.31</v>
      </c>
      <c r="P9" s="6">
        <v>13.482</v>
      </c>
      <c r="Q9" s="6">
        <f t="shared" si="4"/>
        <v>187.026</v>
      </c>
      <c r="R9" s="8">
        <v>369192.0</v>
      </c>
      <c r="S9" s="33"/>
      <c r="T9" s="33"/>
      <c r="U9" s="31"/>
      <c r="V9" s="10">
        <f t="shared" si="5"/>
        <v>-369192</v>
      </c>
      <c r="W9" s="10">
        <f t="shared" si="6"/>
        <v>0</v>
      </c>
      <c r="X9" s="11"/>
      <c r="Y9" s="11"/>
      <c r="Z9" s="11"/>
      <c r="AA9" s="11"/>
      <c r="AB9" s="11"/>
    </row>
    <row r="10" ht="14.25" customHeight="1">
      <c r="A10" s="6">
        <v>9.0</v>
      </c>
      <c r="B10" s="6" t="s">
        <v>23</v>
      </c>
      <c r="C10" s="6" t="s">
        <v>32</v>
      </c>
      <c r="D10" s="7">
        <v>7.0</v>
      </c>
      <c r="E10" s="7">
        <v>8.0</v>
      </c>
      <c r="F10" s="6"/>
      <c r="G10" s="7">
        <v>84.0</v>
      </c>
      <c r="H10" s="6"/>
      <c r="I10" s="6">
        <f t="shared" si="1"/>
        <v>100</v>
      </c>
      <c r="J10" s="6"/>
      <c r="K10" s="7">
        <v>184.0</v>
      </c>
      <c r="L10" s="6">
        <f t="shared" si="2"/>
        <v>0</v>
      </c>
      <c r="M10" s="6">
        <f t="shared" si="3"/>
        <v>184</v>
      </c>
      <c r="N10" s="6"/>
      <c r="O10" s="6">
        <v>11.31</v>
      </c>
      <c r="P10" s="6">
        <v>13.482</v>
      </c>
      <c r="Q10" s="6">
        <f t="shared" si="4"/>
        <v>187.026</v>
      </c>
      <c r="R10" s="8">
        <v>368687.0</v>
      </c>
      <c r="S10" s="33"/>
      <c r="T10" s="33"/>
      <c r="U10" s="31"/>
      <c r="V10" s="10">
        <f t="shared" si="5"/>
        <v>-368687</v>
      </c>
      <c r="W10" s="10">
        <f t="shared" si="6"/>
        <v>0</v>
      </c>
      <c r="X10" s="11"/>
      <c r="Y10" s="11"/>
      <c r="Z10" s="11"/>
      <c r="AA10" s="11"/>
      <c r="AB10" s="11"/>
    </row>
    <row r="11" ht="14.25" customHeight="1">
      <c r="A11" s="6">
        <v>10.0</v>
      </c>
      <c r="B11" s="6" t="s">
        <v>23</v>
      </c>
      <c r="C11" s="6" t="s">
        <v>33</v>
      </c>
      <c r="D11" s="7">
        <v>7.0</v>
      </c>
      <c r="E11" s="7">
        <v>8.0</v>
      </c>
      <c r="F11" s="6"/>
      <c r="G11" s="7">
        <v>79.0</v>
      </c>
      <c r="H11" s="6"/>
      <c r="I11" s="6">
        <f t="shared" si="1"/>
        <v>98</v>
      </c>
      <c r="J11" s="6"/>
      <c r="K11" s="7">
        <v>177.0</v>
      </c>
      <c r="L11" s="6">
        <f t="shared" si="2"/>
        <v>0</v>
      </c>
      <c r="M11" s="6">
        <f t="shared" si="3"/>
        <v>177</v>
      </c>
      <c r="N11" s="6"/>
      <c r="O11" s="6">
        <v>11.31</v>
      </c>
      <c r="P11" s="6">
        <v>13.482</v>
      </c>
      <c r="Q11" s="6">
        <f t="shared" si="4"/>
        <v>187.026</v>
      </c>
      <c r="R11" s="8">
        <v>361117.0</v>
      </c>
      <c r="S11" s="33"/>
      <c r="T11" s="33"/>
      <c r="U11" s="31"/>
      <c r="V11" s="10">
        <f t="shared" si="5"/>
        <v>-361117</v>
      </c>
      <c r="W11" s="10">
        <f t="shared" si="6"/>
        <v>0</v>
      </c>
      <c r="X11" s="11"/>
      <c r="Y11" s="11"/>
      <c r="Z11" s="11"/>
      <c r="AA11" s="11"/>
      <c r="AB11" s="11"/>
    </row>
    <row r="12" ht="14.25" customHeight="1">
      <c r="A12" s="6">
        <v>11.0</v>
      </c>
      <c r="B12" s="6" t="s">
        <v>23</v>
      </c>
      <c r="C12" s="6" t="s">
        <v>34</v>
      </c>
      <c r="D12" s="7">
        <v>7.0</v>
      </c>
      <c r="E12" s="7">
        <v>8.0</v>
      </c>
      <c r="F12" s="6"/>
      <c r="G12" s="7">
        <v>86.0</v>
      </c>
      <c r="H12" s="6"/>
      <c r="I12" s="6">
        <f t="shared" si="1"/>
        <v>73</v>
      </c>
      <c r="J12" s="6"/>
      <c r="K12" s="7">
        <v>159.0</v>
      </c>
      <c r="L12" s="6">
        <f t="shared" si="2"/>
        <v>0</v>
      </c>
      <c r="M12" s="6">
        <f t="shared" si="3"/>
        <v>159</v>
      </c>
      <c r="N12" s="6"/>
      <c r="O12" s="6">
        <v>11.31</v>
      </c>
      <c r="P12" s="6">
        <v>13.482</v>
      </c>
      <c r="Q12" s="6">
        <f t="shared" si="4"/>
        <v>187.026</v>
      </c>
      <c r="R12" s="8">
        <v>67118.0</v>
      </c>
      <c r="S12" s="33"/>
      <c r="T12" s="33"/>
      <c r="U12" s="31"/>
      <c r="V12" s="10">
        <f t="shared" si="5"/>
        <v>-67118</v>
      </c>
      <c r="W12" s="10">
        <f t="shared" si="6"/>
        <v>0</v>
      </c>
      <c r="X12" s="11"/>
      <c r="Y12" s="11"/>
      <c r="Z12" s="11"/>
      <c r="AA12" s="11"/>
      <c r="AB12" s="11"/>
    </row>
    <row r="13" ht="14.25" customHeight="1">
      <c r="A13" s="6">
        <v>12.0</v>
      </c>
      <c r="B13" s="6" t="s">
        <v>23</v>
      </c>
      <c r="C13" s="6" t="s">
        <v>35</v>
      </c>
      <c r="D13" s="7">
        <v>7.0</v>
      </c>
      <c r="E13" s="7">
        <v>8.0</v>
      </c>
      <c r="F13" s="6"/>
      <c r="G13" s="7">
        <v>99.0</v>
      </c>
      <c r="H13" s="6"/>
      <c r="I13" s="6">
        <f t="shared" si="1"/>
        <v>77</v>
      </c>
      <c r="J13" s="6"/>
      <c r="K13" s="7">
        <v>176.0</v>
      </c>
      <c r="L13" s="6">
        <f t="shared" si="2"/>
        <v>0</v>
      </c>
      <c r="M13" s="6">
        <f t="shared" si="3"/>
        <v>176</v>
      </c>
      <c r="N13" s="6"/>
      <c r="O13" s="6">
        <v>11.31</v>
      </c>
      <c r="P13" s="6">
        <v>13.482</v>
      </c>
      <c r="Q13" s="6">
        <f t="shared" si="4"/>
        <v>187.026</v>
      </c>
      <c r="R13" s="8">
        <v>367817.0</v>
      </c>
      <c r="S13" s="33"/>
      <c r="T13" s="33"/>
      <c r="U13" s="31"/>
      <c r="V13" s="10">
        <f t="shared" si="5"/>
        <v>-367817</v>
      </c>
      <c r="W13" s="10">
        <f t="shared" si="6"/>
        <v>0</v>
      </c>
      <c r="X13" s="11"/>
      <c r="Y13" s="11"/>
      <c r="Z13" s="11"/>
      <c r="AA13" s="11"/>
      <c r="AB13" s="11"/>
    </row>
    <row r="14" ht="14.25" customHeight="1">
      <c r="A14" s="6">
        <v>13.0</v>
      </c>
      <c r="B14" s="6" t="s">
        <v>23</v>
      </c>
      <c r="C14" s="34" t="s">
        <v>36</v>
      </c>
      <c r="D14" s="35"/>
      <c r="E14" s="35"/>
      <c r="F14" s="34"/>
      <c r="G14" s="34"/>
      <c r="H14" s="34"/>
      <c r="I14" s="34">
        <f t="shared" si="1"/>
        <v>0</v>
      </c>
      <c r="J14" s="34"/>
      <c r="K14" s="34"/>
      <c r="L14" s="34">
        <f t="shared" si="2"/>
        <v>0</v>
      </c>
      <c r="M14" s="34">
        <f t="shared" si="3"/>
        <v>0</v>
      </c>
      <c r="N14" s="35" t="s">
        <v>68</v>
      </c>
      <c r="O14" s="34">
        <v>11.31</v>
      </c>
      <c r="P14" s="34">
        <v>13.482</v>
      </c>
      <c r="Q14" s="34">
        <f t="shared" si="4"/>
        <v>0</v>
      </c>
      <c r="R14" s="36"/>
      <c r="S14" s="36"/>
      <c r="T14" s="36"/>
      <c r="U14" s="37"/>
      <c r="V14" s="38">
        <f t="shared" si="5"/>
        <v>0</v>
      </c>
      <c r="W14" s="38">
        <f t="shared" si="6"/>
        <v>0</v>
      </c>
      <c r="X14" s="11"/>
      <c r="Y14" s="11"/>
      <c r="Z14" s="11"/>
      <c r="AA14" s="11"/>
      <c r="AB14" s="11"/>
    </row>
    <row r="15" ht="14.25" customHeight="1">
      <c r="A15" s="6">
        <v>14.0</v>
      </c>
      <c r="B15" s="6" t="s">
        <v>23</v>
      </c>
      <c r="C15" s="6" t="s">
        <v>37</v>
      </c>
      <c r="D15" s="7">
        <v>7.0</v>
      </c>
      <c r="E15" s="7">
        <v>8.0</v>
      </c>
      <c r="F15" s="6"/>
      <c r="G15" s="7">
        <v>81.0</v>
      </c>
      <c r="H15" s="6"/>
      <c r="I15" s="6">
        <f t="shared" si="1"/>
        <v>174</v>
      </c>
      <c r="J15" s="6"/>
      <c r="K15" s="7">
        <v>255.0</v>
      </c>
      <c r="L15" s="6">
        <f t="shared" si="2"/>
        <v>0</v>
      </c>
      <c r="M15" s="6">
        <f t="shared" si="3"/>
        <v>255</v>
      </c>
      <c r="N15" s="6"/>
      <c r="O15" s="6">
        <v>11.31</v>
      </c>
      <c r="P15" s="6">
        <v>13.482</v>
      </c>
      <c r="Q15" s="6">
        <f t="shared" si="4"/>
        <v>187.026</v>
      </c>
      <c r="R15" s="8">
        <v>368892.0</v>
      </c>
      <c r="S15" s="33"/>
      <c r="T15" s="33"/>
      <c r="U15" s="31"/>
      <c r="V15" s="10">
        <f t="shared" si="5"/>
        <v>-368892</v>
      </c>
      <c r="W15" s="10">
        <f t="shared" si="6"/>
        <v>0</v>
      </c>
      <c r="X15" s="11"/>
      <c r="Y15" s="11"/>
      <c r="Z15" s="11"/>
      <c r="AA15" s="11"/>
      <c r="AB15" s="11"/>
    </row>
    <row r="16" ht="14.25" customHeight="1">
      <c r="A16" s="6">
        <v>15.0</v>
      </c>
      <c r="B16" s="6" t="s">
        <v>23</v>
      </c>
      <c r="C16" s="6" t="s">
        <v>38</v>
      </c>
      <c r="D16" s="7">
        <v>9.0</v>
      </c>
      <c r="E16" s="7">
        <v>9.0</v>
      </c>
      <c r="F16" s="6"/>
      <c r="G16" s="7">
        <v>75.0</v>
      </c>
      <c r="H16" s="6"/>
      <c r="I16" s="6">
        <f t="shared" si="1"/>
        <v>82</v>
      </c>
      <c r="J16" s="6"/>
      <c r="K16" s="7">
        <v>157.0</v>
      </c>
      <c r="L16" s="6">
        <f t="shared" si="2"/>
        <v>0</v>
      </c>
      <c r="M16" s="6">
        <f t="shared" si="3"/>
        <v>157</v>
      </c>
      <c r="N16" s="6"/>
      <c r="O16" s="6">
        <v>11.31</v>
      </c>
      <c r="P16" s="6">
        <v>13.482</v>
      </c>
      <c r="Q16" s="6">
        <f t="shared" si="4"/>
        <v>223.128</v>
      </c>
      <c r="R16" s="8">
        <v>360135.0</v>
      </c>
      <c r="S16" s="33"/>
      <c r="T16" s="33"/>
      <c r="U16" s="31"/>
      <c r="V16" s="10">
        <f t="shared" si="5"/>
        <v>-360135</v>
      </c>
      <c r="W16" s="10">
        <f t="shared" si="6"/>
        <v>0</v>
      </c>
      <c r="X16" s="11"/>
      <c r="Y16" s="11"/>
      <c r="Z16" s="11"/>
      <c r="AA16" s="11"/>
      <c r="AB16" s="11"/>
    </row>
    <row r="17" ht="14.25" customHeight="1">
      <c r="A17" s="6">
        <v>16.0</v>
      </c>
      <c r="B17" s="6" t="s">
        <v>23</v>
      </c>
      <c r="C17" s="6" t="s">
        <v>39</v>
      </c>
      <c r="D17" s="7">
        <v>9.0</v>
      </c>
      <c r="E17" s="7">
        <v>9.0</v>
      </c>
      <c r="F17" s="6"/>
      <c r="G17" s="7">
        <v>64.0</v>
      </c>
      <c r="H17" s="6"/>
      <c r="I17" s="6">
        <f t="shared" si="1"/>
        <v>129</v>
      </c>
      <c r="J17" s="6"/>
      <c r="K17" s="7">
        <v>193.0</v>
      </c>
      <c r="L17" s="6">
        <f t="shared" si="2"/>
        <v>0</v>
      </c>
      <c r="M17" s="6">
        <f t="shared" si="3"/>
        <v>193</v>
      </c>
      <c r="N17" s="6"/>
      <c r="O17" s="6">
        <v>11.31</v>
      </c>
      <c r="P17" s="6">
        <v>13.482</v>
      </c>
      <c r="Q17" s="6">
        <f t="shared" si="4"/>
        <v>223.128</v>
      </c>
      <c r="R17" s="8">
        <v>364819.0</v>
      </c>
      <c r="S17" s="33"/>
      <c r="T17" s="33"/>
      <c r="U17" s="31"/>
      <c r="V17" s="10">
        <f t="shared" si="5"/>
        <v>-364819</v>
      </c>
      <c r="W17" s="10">
        <f t="shared" si="6"/>
        <v>0</v>
      </c>
      <c r="X17" s="11"/>
      <c r="Y17" s="11"/>
      <c r="Z17" s="11"/>
      <c r="AA17" s="11"/>
      <c r="AB17" s="11"/>
    </row>
    <row r="18" ht="14.25" customHeight="1">
      <c r="A18" s="6">
        <v>17.0</v>
      </c>
      <c r="B18" s="6" t="s">
        <v>23</v>
      </c>
      <c r="C18" s="6" t="s">
        <v>40</v>
      </c>
      <c r="D18" s="7">
        <v>9.0</v>
      </c>
      <c r="E18" s="7">
        <v>9.0</v>
      </c>
      <c r="F18" s="6"/>
      <c r="G18" s="7">
        <v>79.0</v>
      </c>
      <c r="H18" s="6"/>
      <c r="I18" s="6">
        <f t="shared" si="1"/>
        <v>79</v>
      </c>
      <c r="J18" s="6"/>
      <c r="K18" s="7">
        <v>158.0</v>
      </c>
      <c r="L18" s="6">
        <f t="shared" si="2"/>
        <v>0</v>
      </c>
      <c r="M18" s="6">
        <f t="shared" si="3"/>
        <v>158</v>
      </c>
      <c r="N18" s="6"/>
      <c r="O18" s="6">
        <v>11.31</v>
      </c>
      <c r="P18" s="6">
        <v>13.482</v>
      </c>
      <c r="Q18" s="6">
        <f t="shared" si="4"/>
        <v>223.128</v>
      </c>
      <c r="R18" s="8">
        <v>299620.0</v>
      </c>
      <c r="S18" s="33"/>
      <c r="T18" s="33"/>
      <c r="U18" s="31"/>
      <c r="V18" s="10">
        <f t="shared" si="5"/>
        <v>-299620</v>
      </c>
      <c r="W18" s="10">
        <f t="shared" si="6"/>
        <v>0</v>
      </c>
      <c r="X18" s="11"/>
      <c r="Y18" s="11"/>
      <c r="Z18" s="11"/>
      <c r="AA18" s="11"/>
      <c r="AB18" s="11"/>
    </row>
    <row r="19" ht="14.25" customHeight="1">
      <c r="A19" s="6">
        <v>18.0</v>
      </c>
      <c r="B19" s="6" t="s">
        <v>23</v>
      </c>
      <c r="C19" s="6" t="s">
        <v>42</v>
      </c>
      <c r="D19" s="7">
        <v>9.0</v>
      </c>
      <c r="E19" s="7">
        <v>9.0</v>
      </c>
      <c r="F19" s="6"/>
      <c r="G19" s="7">
        <v>94.0</v>
      </c>
      <c r="H19" s="6"/>
      <c r="I19" s="6">
        <f t="shared" si="1"/>
        <v>76</v>
      </c>
      <c r="J19" s="6"/>
      <c r="K19" s="7">
        <v>170.0</v>
      </c>
      <c r="L19" s="6">
        <f t="shared" si="2"/>
        <v>0</v>
      </c>
      <c r="M19" s="6">
        <f t="shared" si="3"/>
        <v>170</v>
      </c>
      <c r="N19" s="6"/>
      <c r="O19" s="6">
        <v>11.31</v>
      </c>
      <c r="P19" s="6">
        <v>13.482</v>
      </c>
      <c r="Q19" s="6">
        <f t="shared" si="4"/>
        <v>223.128</v>
      </c>
      <c r="R19" s="8">
        <v>400916.0</v>
      </c>
      <c r="S19" s="33"/>
      <c r="T19" s="33"/>
      <c r="U19" s="31"/>
      <c r="V19" s="10">
        <f t="shared" si="5"/>
        <v>-400916</v>
      </c>
      <c r="W19" s="10">
        <f t="shared" si="6"/>
        <v>0</v>
      </c>
      <c r="X19" s="11"/>
      <c r="Y19" s="11"/>
      <c r="Z19" s="11"/>
      <c r="AA19" s="11"/>
      <c r="AB19" s="11"/>
    </row>
    <row r="20" ht="14.25" customHeight="1">
      <c r="A20" s="6">
        <v>19.0</v>
      </c>
      <c r="B20" s="6" t="s">
        <v>23</v>
      </c>
      <c r="C20" s="6" t="s">
        <v>44</v>
      </c>
      <c r="D20" s="7">
        <v>9.0</v>
      </c>
      <c r="E20" s="7">
        <v>9.0</v>
      </c>
      <c r="F20" s="6"/>
      <c r="G20" s="7">
        <v>81.0</v>
      </c>
      <c r="H20" s="6"/>
      <c r="I20" s="6">
        <f t="shared" si="1"/>
        <v>80</v>
      </c>
      <c r="J20" s="6"/>
      <c r="K20" s="7">
        <v>161.0</v>
      </c>
      <c r="L20" s="6">
        <f t="shared" si="2"/>
        <v>0</v>
      </c>
      <c r="M20" s="6">
        <f t="shared" si="3"/>
        <v>161</v>
      </c>
      <c r="N20" s="6"/>
      <c r="O20" s="6">
        <v>11.31</v>
      </c>
      <c r="P20" s="6">
        <v>13.482</v>
      </c>
      <c r="Q20" s="6">
        <f t="shared" si="4"/>
        <v>223.128</v>
      </c>
      <c r="R20" s="8">
        <v>549953.0</v>
      </c>
      <c r="S20" s="33"/>
      <c r="T20" s="33"/>
      <c r="U20" s="31"/>
      <c r="V20" s="10">
        <f t="shared" si="5"/>
        <v>-549953</v>
      </c>
      <c r="W20" s="10">
        <f t="shared" si="6"/>
        <v>0</v>
      </c>
      <c r="X20" s="11"/>
      <c r="Y20" s="11"/>
      <c r="Z20" s="11"/>
      <c r="AA20" s="11"/>
      <c r="AB20" s="11"/>
    </row>
    <row r="21" ht="14.25" customHeight="1">
      <c r="A21" s="6">
        <v>20.0</v>
      </c>
      <c r="B21" s="6" t="s">
        <v>23</v>
      </c>
      <c r="C21" s="6" t="s">
        <v>45</v>
      </c>
      <c r="D21" s="7">
        <v>9.0</v>
      </c>
      <c r="E21" s="7">
        <v>9.0</v>
      </c>
      <c r="F21" s="6"/>
      <c r="G21" s="7">
        <v>85.0</v>
      </c>
      <c r="H21" s="6"/>
      <c r="I21" s="6">
        <f t="shared" si="1"/>
        <v>58</v>
      </c>
      <c r="J21" s="6"/>
      <c r="K21" s="7">
        <v>143.0</v>
      </c>
      <c r="L21" s="6">
        <f t="shared" si="2"/>
        <v>0</v>
      </c>
      <c r="M21" s="6">
        <f t="shared" si="3"/>
        <v>143</v>
      </c>
      <c r="N21" s="6"/>
      <c r="O21" s="6">
        <v>11.31</v>
      </c>
      <c r="P21" s="6">
        <v>13.482</v>
      </c>
      <c r="Q21" s="6">
        <f t="shared" si="4"/>
        <v>223.128</v>
      </c>
      <c r="R21" s="8">
        <v>427037.0</v>
      </c>
      <c r="S21" s="33"/>
      <c r="T21" s="33"/>
      <c r="U21" s="31"/>
      <c r="V21" s="10">
        <f t="shared" si="5"/>
        <v>-427037</v>
      </c>
      <c r="W21" s="10">
        <f t="shared" si="6"/>
        <v>0</v>
      </c>
      <c r="X21" s="11"/>
      <c r="Y21" s="11"/>
      <c r="Z21" s="11"/>
      <c r="AA21" s="11"/>
      <c r="AB21" s="11"/>
    </row>
    <row r="22" ht="14.25" customHeight="1">
      <c r="A22" s="6">
        <v>21.0</v>
      </c>
      <c r="B22" s="6" t="s">
        <v>23</v>
      </c>
      <c r="C22" s="6" t="s">
        <v>46</v>
      </c>
      <c r="D22" s="7">
        <v>8.0</v>
      </c>
      <c r="E22" s="7">
        <v>8.0</v>
      </c>
      <c r="F22" s="6"/>
      <c r="G22" s="7">
        <v>92.0</v>
      </c>
      <c r="H22" s="6"/>
      <c r="I22" s="6">
        <f t="shared" si="1"/>
        <v>99</v>
      </c>
      <c r="J22" s="6"/>
      <c r="K22" s="7">
        <v>191.0</v>
      </c>
      <c r="L22" s="6">
        <f t="shared" si="2"/>
        <v>0</v>
      </c>
      <c r="M22" s="6">
        <f t="shared" si="3"/>
        <v>191</v>
      </c>
      <c r="N22" s="6"/>
      <c r="O22" s="6">
        <v>11.31</v>
      </c>
      <c r="P22" s="6">
        <v>13.482</v>
      </c>
      <c r="Q22" s="6">
        <f t="shared" si="4"/>
        <v>198.336</v>
      </c>
      <c r="R22" s="8">
        <v>488823.0</v>
      </c>
      <c r="S22" s="33"/>
      <c r="T22" s="33"/>
      <c r="U22" s="31"/>
      <c r="V22" s="10">
        <f t="shared" si="5"/>
        <v>-488823</v>
      </c>
      <c r="W22" s="10">
        <f t="shared" si="6"/>
        <v>0</v>
      </c>
      <c r="X22" s="11"/>
      <c r="Y22" s="11"/>
      <c r="Z22" s="11"/>
      <c r="AA22" s="11"/>
      <c r="AB22" s="11"/>
    </row>
    <row r="23" ht="14.25" customHeight="1">
      <c r="A23" s="6">
        <v>22.0</v>
      </c>
      <c r="B23" s="6" t="s">
        <v>23</v>
      </c>
      <c r="C23" s="34" t="s">
        <v>47</v>
      </c>
      <c r="D23" s="35"/>
      <c r="E23" s="35"/>
      <c r="F23" s="34"/>
      <c r="G23" s="34"/>
      <c r="H23" s="34"/>
      <c r="I23" s="34">
        <f t="shared" si="1"/>
        <v>0</v>
      </c>
      <c r="J23" s="34"/>
      <c r="K23" s="34"/>
      <c r="L23" s="34">
        <f t="shared" si="2"/>
        <v>0</v>
      </c>
      <c r="M23" s="34">
        <f t="shared" si="3"/>
        <v>0</v>
      </c>
      <c r="N23" s="35" t="s">
        <v>68</v>
      </c>
      <c r="O23" s="34">
        <v>11.31</v>
      </c>
      <c r="P23" s="34">
        <v>13.482</v>
      </c>
      <c r="Q23" s="34">
        <f t="shared" si="4"/>
        <v>0</v>
      </c>
      <c r="R23" s="36"/>
      <c r="S23" s="36"/>
      <c r="T23" s="36"/>
      <c r="U23" s="37"/>
      <c r="V23" s="38">
        <f t="shared" si="5"/>
        <v>0</v>
      </c>
      <c r="W23" s="38">
        <f t="shared" si="6"/>
        <v>0</v>
      </c>
      <c r="X23" s="11"/>
      <c r="Y23" s="11"/>
      <c r="Z23" s="11"/>
      <c r="AA23" s="11"/>
      <c r="AB23" s="11"/>
    </row>
    <row r="24" ht="14.25" customHeight="1">
      <c r="A24" s="6">
        <v>23.0</v>
      </c>
      <c r="B24" s="6" t="s">
        <v>23</v>
      </c>
      <c r="C24" s="6" t="s">
        <v>49</v>
      </c>
      <c r="D24" s="7">
        <v>8.0</v>
      </c>
      <c r="E24" s="7">
        <v>8.0</v>
      </c>
      <c r="F24" s="6"/>
      <c r="G24" s="7">
        <v>81.0</v>
      </c>
      <c r="H24" s="6"/>
      <c r="I24" s="6">
        <f t="shared" si="1"/>
        <v>94</v>
      </c>
      <c r="J24" s="6"/>
      <c r="K24" s="7">
        <v>175.0</v>
      </c>
      <c r="L24" s="6">
        <f t="shared" si="2"/>
        <v>0</v>
      </c>
      <c r="M24" s="6">
        <f t="shared" si="3"/>
        <v>175</v>
      </c>
      <c r="N24" s="6"/>
      <c r="O24" s="6">
        <v>11.31</v>
      </c>
      <c r="P24" s="6">
        <v>13.482</v>
      </c>
      <c r="Q24" s="6">
        <f t="shared" si="4"/>
        <v>198.336</v>
      </c>
      <c r="R24" s="8">
        <v>255559.0</v>
      </c>
      <c r="S24" s="33"/>
      <c r="T24" s="33"/>
      <c r="U24" s="31"/>
      <c r="V24" s="10">
        <f t="shared" si="5"/>
        <v>-255559</v>
      </c>
      <c r="W24" s="10">
        <f t="shared" si="6"/>
        <v>0</v>
      </c>
      <c r="X24" s="11"/>
      <c r="Y24" s="11"/>
      <c r="Z24" s="11"/>
      <c r="AA24" s="11"/>
      <c r="AB24" s="11"/>
    </row>
    <row r="25" ht="14.25" customHeight="1">
      <c r="A25" s="6">
        <v>24.0</v>
      </c>
      <c r="B25" s="6" t="s">
        <v>23</v>
      </c>
      <c r="C25" s="6" t="s">
        <v>50</v>
      </c>
      <c r="D25" s="7">
        <v>8.0</v>
      </c>
      <c r="E25" s="7">
        <v>8.0</v>
      </c>
      <c r="F25" s="6"/>
      <c r="G25" s="7">
        <v>76.0</v>
      </c>
      <c r="H25" s="6"/>
      <c r="I25" s="6">
        <f t="shared" si="1"/>
        <v>109</v>
      </c>
      <c r="J25" s="6"/>
      <c r="K25" s="7">
        <v>185.0</v>
      </c>
      <c r="L25" s="6">
        <f t="shared" si="2"/>
        <v>0</v>
      </c>
      <c r="M25" s="6">
        <f t="shared" si="3"/>
        <v>185</v>
      </c>
      <c r="N25" s="6"/>
      <c r="O25" s="6">
        <v>11.31</v>
      </c>
      <c r="P25" s="6">
        <v>13.482</v>
      </c>
      <c r="Q25" s="6">
        <f t="shared" si="4"/>
        <v>198.336</v>
      </c>
      <c r="R25" s="8">
        <v>254594.0</v>
      </c>
      <c r="S25" s="33"/>
      <c r="T25" s="33"/>
      <c r="U25" s="31"/>
      <c r="V25" s="10">
        <f t="shared" si="5"/>
        <v>-254594</v>
      </c>
      <c r="W25" s="10">
        <f t="shared" si="6"/>
        <v>0</v>
      </c>
      <c r="X25" s="11"/>
      <c r="Y25" s="11"/>
      <c r="Z25" s="11"/>
      <c r="AA25" s="11"/>
      <c r="AB25" s="11"/>
    </row>
    <row r="26" ht="14.25" customHeight="1">
      <c r="A26" s="6">
        <v>25.0</v>
      </c>
      <c r="B26" s="6" t="s">
        <v>23</v>
      </c>
      <c r="C26" s="6" t="s">
        <v>51</v>
      </c>
      <c r="D26" s="7">
        <v>8.0</v>
      </c>
      <c r="E26" s="7">
        <v>8.0</v>
      </c>
      <c r="F26" s="6"/>
      <c r="G26" s="7">
        <v>93.0</v>
      </c>
      <c r="H26" s="6"/>
      <c r="I26" s="6">
        <f t="shared" si="1"/>
        <v>97</v>
      </c>
      <c r="J26" s="6"/>
      <c r="K26" s="7">
        <v>190.0</v>
      </c>
      <c r="L26" s="6">
        <f t="shared" si="2"/>
        <v>0</v>
      </c>
      <c r="M26" s="6">
        <f t="shared" si="3"/>
        <v>190</v>
      </c>
      <c r="N26" s="6"/>
      <c r="O26" s="6">
        <v>11.31</v>
      </c>
      <c r="P26" s="6">
        <v>13.482</v>
      </c>
      <c r="Q26" s="6">
        <f t="shared" si="4"/>
        <v>198.336</v>
      </c>
      <c r="R26" s="8">
        <v>256921.0</v>
      </c>
      <c r="S26" s="33"/>
      <c r="T26" s="33"/>
      <c r="U26" s="31"/>
      <c r="V26" s="10">
        <f t="shared" si="5"/>
        <v>-256921</v>
      </c>
      <c r="W26" s="10">
        <f t="shared" si="6"/>
        <v>0</v>
      </c>
      <c r="X26" s="11"/>
      <c r="Y26" s="11"/>
      <c r="Z26" s="11"/>
      <c r="AA26" s="11"/>
      <c r="AB26" s="11"/>
    </row>
    <row r="27" ht="14.25" customHeight="1">
      <c r="A27" s="6">
        <v>26.0</v>
      </c>
      <c r="B27" s="6" t="s">
        <v>23</v>
      </c>
      <c r="C27" s="6" t="s">
        <v>52</v>
      </c>
      <c r="D27" s="7">
        <v>8.0</v>
      </c>
      <c r="E27" s="7">
        <v>8.0</v>
      </c>
      <c r="F27" s="6"/>
      <c r="G27" s="7">
        <v>88.0</v>
      </c>
      <c r="H27" s="6"/>
      <c r="I27" s="6">
        <f t="shared" si="1"/>
        <v>57</v>
      </c>
      <c r="J27" s="6"/>
      <c r="K27" s="7">
        <v>145.0</v>
      </c>
      <c r="L27" s="6">
        <f t="shared" si="2"/>
        <v>0</v>
      </c>
      <c r="M27" s="6">
        <f t="shared" si="3"/>
        <v>145</v>
      </c>
      <c r="N27" s="6"/>
      <c r="O27" s="6">
        <v>11.31</v>
      </c>
      <c r="P27" s="6">
        <v>13.482</v>
      </c>
      <c r="Q27" s="6">
        <f t="shared" si="4"/>
        <v>198.336</v>
      </c>
      <c r="R27" s="8">
        <v>255378.0</v>
      </c>
      <c r="S27" s="33"/>
      <c r="T27" s="33"/>
      <c r="U27" s="31"/>
      <c r="V27" s="10">
        <f t="shared" si="5"/>
        <v>-255378</v>
      </c>
      <c r="W27" s="10">
        <f t="shared" si="6"/>
        <v>0</v>
      </c>
      <c r="X27" s="11"/>
      <c r="Y27" s="11"/>
      <c r="Z27" s="11"/>
      <c r="AA27" s="11"/>
      <c r="AB27" s="11"/>
    </row>
    <row r="28" ht="14.25" customHeight="1">
      <c r="A28" s="6">
        <v>27.0</v>
      </c>
      <c r="B28" s="6" t="s">
        <v>23</v>
      </c>
      <c r="C28" s="6" t="s">
        <v>53</v>
      </c>
      <c r="D28" s="7">
        <v>8.0</v>
      </c>
      <c r="E28" s="7">
        <v>8.0</v>
      </c>
      <c r="F28" s="6"/>
      <c r="G28" s="7">
        <v>75.0</v>
      </c>
      <c r="H28" s="6"/>
      <c r="I28" s="6">
        <f t="shared" si="1"/>
        <v>119</v>
      </c>
      <c r="J28" s="6"/>
      <c r="K28" s="7">
        <v>194.0</v>
      </c>
      <c r="L28" s="6">
        <f t="shared" si="2"/>
        <v>0</v>
      </c>
      <c r="M28" s="6">
        <f t="shared" si="3"/>
        <v>194</v>
      </c>
      <c r="N28" s="6"/>
      <c r="O28" s="6">
        <v>11.31</v>
      </c>
      <c r="P28" s="6">
        <v>13.482</v>
      </c>
      <c r="Q28" s="6">
        <f t="shared" si="4"/>
        <v>198.336</v>
      </c>
      <c r="R28" s="8">
        <v>451808.0</v>
      </c>
      <c r="S28" s="33"/>
      <c r="T28" s="33"/>
      <c r="U28" s="31"/>
      <c r="V28" s="10">
        <f t="shared" si="5"/>
        <v>-451808</v>
      </c>
      <c r="W28" s="10">
        <f t="shared" si="6"/>
        <v>0</v>
      </c>
      <c r="X28" s="11"/>
      <c r="Y28" s="11"/>
      <c r="Z28" s="11"/>
      <c r="AA28" s="11"/>
      <c r="AB28" s="11"/>
    </row>
    <row r="29" ht="14.25" customHeight="1">
      <c r="A29" s="6">
        <v>28.0</v>
      </c>
      <c r="B29" s="6" t="s">
        <v>23</v>
      </c>
      <c r="C29" s="6" t="s">
        <v>54</v>
      </c>
      <c r="D29" s="7">
        <v>8.0</v>
      </c>
      <c r="E29" s="7">
        <v>8.0</v>
      </c>
      <c r="F29" s="6"/>
      <c r="G29" s="7">
        <v>80.0</v>
      </c>
      <c r="H29" s="6"/>
      <c r="I29" s="6">
        <f t="shared" si="1"/>
        <v>116</v>
      </c>
      <c r="J29" s="6"/>
      <c r="K29" s="7">
        <v>196.0</v>
      </c>
      <c r="L29" s="6">
        <f t="shared" si="2"/>
        <v>0</v>
      </c>
      <c r="M29" s="6">
        <f t="shared" si="3"/>
        <v>196</v>
      </c>
      <c r="N29" s="6"/>
      <c r="O29" s="6">
        <v>11.31</v>
      </c>
      <c r="P29" s="6">
        <v>13.482</v>
      </c>
      <c r="Q29" s="6">
        <f t="shared" si="4"/>
        <v>198.336</v>
      </c>
      <c r="R29" s="8">
        <v>265891.0</v>
      </c>
      <c r="S29" s="33"/>
      <c r="T29" s="33"/>
      <c r="U29" s="31"/>
      <c r="V29" s="10">
        <f t="shared" si="5"/>
        <v>-265891</v>
      </c>
      <c r="W29" s="10">
        <f t="shared" si="6"/>
        <v>0</v>
      </c>
      <c r="X29" s="11"/>
      <c r="Y29" s="11"/>
      <c r="Z29" s="11"/>
      <c r="AA29" s="11"/>
      <c r="AB29" s="11"/>
    </row>
    <row r="30" ht="14.25" customHeight="1">
      <c r="A30" s="6">
        <v>29.0</v>
      </c>
      <c r="B30" s="6" t="s">
        <v>23</v>
      </c>
      <c r="C30" s="6" t="s">
        <v>55</v>
      </c>
      <c r="D30" s="7">
        <v>8.0</v>
      </c>
      <c r="E30" s="7">
        <v>8.0</v>
      </c>
      <c r="F30" s="6"/>
      <c r="G30" s="7">
        <v>90.0</v>
      </c>
      <c r="H30" s="6"/>
      <c r="I30" s="6">
        <f t="shared" si="1"/>
        <v>96</v>
      </c>
      <c r="J30" s="6"/>
      <c r="K30" s="7">
        <v>186.0</v>
      </c>
      <c r="L30" s="6">
        <f t="shared" si="2"/>
        <v>0</v>
      </c>
      <c r="M30" s="6">
        <f t="shared" si="3"/>
        <v>186</v>
      </c>
      <c r="N30" s="6"/>
      <c r="O30" s="6">
        <v>11.31</v>
      </c>
      <c r="P30" s="6">
        <v>13.482</v>
      </c>
      <c r="Q30" s="6">
        <f t="shared" si="4"/>
        <v>198.336</v>
      </c>
      <c r="R30" s="8">
        <v>268761.0</v>
      </c>
      <c r="S30" s="33"/>
      <c r="T30" s="33"/>
      <c r="U30" s="31"/>
      <c r="V30" s="10">
        <f t="shared" si="5"/>
        <v>-268761</v>
      </c>
      <c r="W30" s="10">
        <f t="shared" si="6"/>
        <v>0</v>
      </c>
      <c r="X30" s="11"/>
      <c r="Y30" s="11"/>
      <c r="Z30" s="11"/>
      <c r="AA30" s="11"/>
      <c r="AB30" s="11"/>
    </row>
    <row r="31" ht="14.25" customHeight="1">
      <c r="A31" s="6">
        <v>30.0</v>
      </c>
      <c r="B31" s="6" t="s">
        <v>23</v>
      </c>
      <c r="C31" s="6" t="s">
        <v>56</v>
      </c>
      <c r="D31" s="7">
        <v>8.0</v>
      </c>
      <c r="E31" s="7">
        <v>8.0</v>
      </c>
      <c r="F31" s="6"/>
      <c r="G31" s="7">
        <v>73.0</v>
      </c>
      <c r="H31" s="6"/>
      <c r="I31" s="6">
        <f t="shared" si="1"/>
        <v>82</v>
      </c>
      <c r="J31" s="6"/>
      <c r="K31" s="7">
        <v>155.0</v>
      </c>
      <c r="L31" s="6">
        <f t="shared" si="2"/>
        <v>0</v>
      </c>
      <c r="M31" s="6">
        <f t="shared" si="3"/>
        <v>155</v>
      </c>
      <c r="N31" s="6"/>
      <c r="O31" s="6">
        <v>11.31</v>
      </c>
      <c r="P31" s="6">
        <v>13.482</v>
      </c>
      <c r="Q31" s="6">
        <f t="shared" si="4"/>
        <v>198.336</v>
      </c>
      <c r="R31" s="8">
        <v>292302.0</v>
      </c>
      <c r="S31" s="33"/>
      <c r="T31" s="33"/>
      <c r="U31" s="31"/>
      <c r="V31" s="10">
        <f t="shared" si="5"/>
        <v>-292302</v>
      </c>
      <c r="W31" s="10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23" t="s">
        <v>57</v>
      </c>
      <c r="E32" s="23">
        <f>SUM(M:M)</f>
        <v>4925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23" t="s">
        <v>58</v>
      </c>
      <c r="E33" s="23">
        <f>SUM(Q:Q)</f>
        <v>5550.786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23" t="s">
        <v>59</v>
      </c>
      <c r="E34" s="23">
        <f>E32/E33</f>
        <v>0.8872617319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25"/>
      <c r="E35" s="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26" t="s">
        <v>60</v>
      </c>
      <c r="E36" s="26">
        <f>AVERAGEIF(Q:Q,"&gt;0",Q:Q)</f>
        <v>198.2423571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25"/>
      <c r="E37" s="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27" t="s">
        <v>61</v>
      </c>
      <c r="E38" s="27">
        <f>SUM(G:G)</f>
        <v>2223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27" t="s">
        <v>62</v>
      </c>
      <c r="E39" s="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27" t="s">
        <v>63</v>
      </c>
      <c r="E40" s="27">
        <f>E39+E38</f>
        <v>2223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25"/>
      <c r="E41" s="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28" t="s">
        <v>64</v>
      </c>
      <c r="E42" s="28">
        <f>SUM(I:I)</f>
        <v>2702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28" t="s">
        <v>65</v>
      </c>
      <c r="E43" s="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28" t="s">
        <v>66</v>
      </c>
      <c r="E44" s="28">
        <f>E43+E42</f>
        <v>2702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25"/>
      <c r="E45" s="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29" t="s">
        <v>10</v>
      </c>
      <c r="E46" s="29">
        <f t="shared" ref="E46:E47" si="7">E42+E38</f>
        <v>4925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29" t="s">
        <v>11</v>
      </c>
      <c r="E47" s="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25"/>
      <c r="E48" s="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25"/>
      <c r="E49" s="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25"/>
      <c r="E50" s="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25"/>
      <c r="E51" s="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28.86"/>
    <col customWidth="1" min="15" max="15" width="7.86"/>
    <col customWidth="1" min="16" max="16" width="8.0"/>
    <col customWidth="1" min="17" max="28" width="8.71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  <c r="AA1" s="5"/>
      <c r="AB1" s="5"/>
    </row>
    <row r="2" ht="14.25" customHeight="1">
      <c r="A2" s="6">
        <v>1.0</v>
      </c>
      <c r="B2" s="6" t="s">
        <v>23</v>
      </c>
      <c r="C2" s="6" t="s">
        <v>24</v>
      </c>
      <c r="D2" s="7">
        <v>8.0</v>
      </c>
      <c r="E2" s="7">
        <v>8.0</v>
      </c>
      <c r="F2" s="6"/>
      <c r="G2" s="7">
        <v>91.0</v>
      </c>
      <c r="H2" s="6"/>
      <c r="I2" s="6">
        <f t="shared" ref="I2:I31" si="1">max(0,K2-G2)</f>
        <v>90</v>
      </c>
      <c r="J2" s="6"/>
      <c r="K2" s="7">
        <v>181.0</v>
      </c>
      <c r="L2" s="6">
        <f t="shared" ref="L2:L31" si="2">J2+H2</f>
        <v>0</v>
      </c>
      <c r="M2" s="6">
        <f t="shared" ref="M2:M31" si="3">G2+H2+I2+J2</f>
        <v>181</v>
      </c>
      <c r="N2" s="6"/>
      <c r="O2" s="6">
        <v>11.31</v>
      </c>
      <c r="P2" s="6">
        <v>13.482</v>
      </c>
      <c r="Q2" s="6">
        <f t="shared" ref="Q2:Q31" si="4">(O2*D2)+(P2*E2)</f>
        <v>198.336</v>
      </c>
      <c r="R2" s="33"/>
      <c r="S2" s="31"/>
      <c r="T2" s="31"/>
      <c r="U2" s="31"/>
      <c r="V2" s="10">
        <f t="shared" ref="V2:V31" si="5">S2-R2</f>
        <v>0</v>
      </c>
      <c r="W2" s="10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6">
        <v>2.0</v>
      </c>
      <c r="B3" s="6" t="s">
        <v>23</v>
      </c>
      <c r="C3" s="6" t="s">
        <v>25</v>
      </c>
      <c r="D3" s="7">
        <v>8.0</v>
      </c>
      <c r="E3" s="7">
        <v>8.0</v>
      </c>
      <c r="F3" s="6"/>
      <c r="G3" s="7">
        <v>75.0</v>
      </c>
      <c r="H3" s="6"/>
      <c r="I3" s="6">
        <f t="shared" si="1"/>
        <v>103</v>
      </c>
      <c r="J3" s="6"/>
      <c r="K3" s="7">
        <v>178.0</v>
      </c>
      <c r="L3" s="6">
        <f t="shared" si="2"/>
        <v>0</v>
      </c>
      <c r="M3" s="6">
        <f t="shared" si="3"/>
        <v>178</v>
      </c>
      <c r="N3" s="6"/>
      <c r="O3" s="6">
        <v>11.31</v>
      </c>
      <c r="P3" s="6">
        <v>13.482</v>
      </c>
      <c r="Q3" s="6">
        <f t="shared" si="4"/>
        <v>198.336</v>
      </c>
      <c r="R3" s="33"/>
      <c r="S3" s="31"/>
      <c r="T3" s="31"/>
      <c r="U3" s="31"/>
      <c r="V3" s="10">
        <f t="shared" si="5"/>
        <v>0</v>
      </c>
      <c r="W3" s="10">
        <f t="shared" si="6"/>
        <v>0</v>
      </c>
      <c r="X3" s="11"/>
      <c r="Y3" s="11"/>
      <c r="Z3" s="11"/>
      <c r="AA3" s="11"/>
      <c r="AB3" s="11"/>
    </row>
    <row r="4" ht="14.25" customHeight="1">
      <c r="A4" s="6">
        <v>3.0</v>
      </c>
      <c r="B4" s="6" t="s">
        <v>23</v>
      </c>
      <c r="C4" s="6" t="s">
        <v>26</v>
      </c>
      <c r="D4" s="7">
        <v>8.0</v>
      </c>
      <c r="E4" s="7">
        <v>8.0</v>
      </c>
      <c r="F4" s="6"/>
      <c r="G4" s="7">
        <v>83.0</v>
      </c>
      <c r="H4" s="6"/>
      <c r="I4" s="6">
        <f t="shared" si="1"/>
        <v>85</v>
      </c>
      <c r="J4" s="6"/>
      <c r="K4" s="7">
        <v>168.0</v>
      </c>
      <c r="L4" s="6">
        <f t="shared" si="2"/>
        <v>0</v>
      </c>
      <c r="M4" s="6">
        <f t="shared" si="3"/>
        <v>168</v>
      </c>
      <c r="N4" s="6"/>
      <c r="O4" s="6">
        <v>11.31</v>
      </c>
      <c r="P4" s="6">
        <v>13.482</v>
      </c>
      <c r="Q4" s="6">
        <f t="shared" si="4"/>
        <v>198.336</v>
      </c>
      <c r="R4" s="33"/>
      <c r="S4" s="33"/>
      <c r="T4" s="33"/>
      <c r="U4" s="31"/>
      <c r="V4" s="10">
        <f t="shared" si="5"/>
        <v>0</v>
      </c>
      <c r="W4" s="10">
        <f t="shared" si="6"/>
        <v>0</v>
      </c>
      <c r="X4" s="11"/>
      <c r="Y4" s="11"/>
      <c r="Z4" s="11"/>
      <c r="AA4" s="11"/>
      <c r="AB4" s="11"/>
    </row>
    <row r="5" ht="14.25" customHeight="1">
      <c r="A5" s="6">
        <v>4.0</v>
      </c>
      <c r="B5" s="6" t="s">
        <v>23</v>
      </c>
      <c r="C5" s="6" t="s">
        <v>27</v>
      </c>
      <c r="D5" s="7">
        <v>8.0</v>
      </c>
      <c r="E5" s="7">
        <v>8.0</v>
      </c>
      <c r="F5" s="6"/>
      <c r="G5" s="7">
        <v>77.0</v>
      </c>
      <c r="H5" s="6"/>
      <c r="I5" s="6">
        <f t="shared" si="1"/>
        <v>119</v>
      </c>
      <c r="J5" s="6"/>
      <c r="K5" s="7">
        <v>196.0</v>
      </c>
      <c r="L5" s="6">
        <f t="shared" si="2"/>
        <v>0</v>
      </c>
      <c r="M5" s="6">
        <f t="shared" si="3"/>
        <v>196</v>
      </c>
      <c r="N5" s="6"/>
      <c r="O5" s="6">
        <v>11.31</v>
      </c>
      <c r="P5" s="6">
        <v>13.482</v>
      </c>
      <c r="Q5" s="6">
        <f t="shared" si="4"/>
        <v>198.336</v>
      </c>
      <c r="R5" s="33"/>
      <c r="S5" s="33"/>
      <c r="T5" s="33"/>
      <c r="U5" s="31"/>
      <c r="V5" s="10">
        <f t="shared" si="5"/>
        <v>0</v>
      </c>
      <c r="W5" s="10">
        <f t="shared" si="6"/>
        <v>0</v>
      </c>
      <c r="X5" s="11"/>
      <c r="Y5" s="11"/>
      <c r="Z5" s="11"/>
      <c r="AA5" s="11"/>
      <c r="AB5" s="11"/>
    </row>
    <row r="6" ht="14.25" customHeight="1">
      <c r="A6" s="6">
        <v>5.0</v>
      </c>
      <c r="B6" s="6" t="s">
        <v>23</v>
      </c>
      <c r="C6" s="6" t="s">
        <v>28</v>
      </c>
      <c r="D6" s="7">
        <v>8.0</v>
      </c>
      <c r="E6" s="7">
        <v>8.0</v>
      </c>
      <c r="F6" s="6"/>
      <c r="G6" s="7">
        <v>69.0</v>
      </c>
      <c r="H6" s="6"/>
      <c r="I6" s="6">
        <f t="shared" si="1"/>
        <v>63</v>
      </c>
      <c r="J6" s="6"/>
      <c r="K6" s="7">
        <v>132.0</v>
      </c>
      <c r="L6" s="6">
        <f t="shared" si="2"/>
        <v>0</v>
      </c>
      <c r="M6" s="6">
        <f t="shared" si="3"/>
        <v>132</v>
      </c>
      <c r="N6" s="6"/>
      <c r="O6" s="6">
        <v>11.31</v>
      </c>
      <c r="P6" s="6">
        <v>13.482</v>
      </c>
      <c r="Q6" s="6">
        <f t="shared" si="4"/>
        <v>198.336</v>
      </c>
      <c r="R6" s="33"/>
      <c r="S6" s="33"/>
      <c r="T6" s="33"/>
      <c r="U6" s="31"/>
      <c r="V6" s="10">
        <f t="shared" si="5"/>
        <v>0</v>
      </c>
      <c r="W6" s="10">
        <f t="shared" si="6"/>
        <v>0</v>
      </c>
      <c r="X6" s="11"/>
      <c r="Y6" s="11"/>
      <c r="Z6" s="11"/>
      <c r="AA6" s="11"/>
      <c r="AB6" s="11"/>
    </row>
    <row r="7" ht="14.25" customHeight="1">
      <c r="A7" s="6">
        <v>6.0</v>
      </c>
      <c r="B7" s="6" t="s">
        <v>23</v>
      </c>
      <c r="C7" s="6" t="s">
        <v>29</v>
      </c>
      <c r="D7" s="7">
        <v>7.0</v>
      </c>
      <c r="E7" s="7">
        <v>8.0</v>
      </c>
      <c r="F7" s="6"/>
      <c r="G7" s="7">
        <v>84.0</v>
      </c>
      <c r="H7" s="6"/>
      <c r="I7" s="6">
        <f t="shared" si="1"/>
        <v>86</v>
      </c>
      <c r="J7" s="6"/>
      <c r="K7" s="7">
        <v>170.0</v>
      </c>
      <c r="L7" s="6">
        <f t="shared" si="2"/>
        <v>0</v>
      </c>
      <c r="M7" s="6">
        <f t="shared" si="3"/>
        <v>170</v>
      </c>
      <c r="N7" s="6"/>
      <c r="O7" s="6">
        <v>11.31</v>
      </c>
      <c r="P7" s="6">
        <v>13.482</v>
      </c>
      <c r="Q7" s="6">
        <f t="shared" si="4"/>
        <v>187.026</v>
      </c>
      <c r="R7" s="33"/>
      <c r="S7" s="33"/>
      <c r="T7" s="33"/>
      <c r="U7" s="31"/>
      <c r="V7" s="10">
        <f t="shared" si="5"/>
        <v>0</v>
      </c>
      <c r="W7" s="10">
        <f t="shared" si="6"/>
        <v>0</v>
      </c>
      <c r="X7" s="11"/>
      <c r="Y7" s="11"/>
      <c r="Z7" s="11"/>
      <c r="AA7" s="11"/>
      <c r="AB7" s="11"/>
    </row>
    <row r="8" ht="14.25" customHeight="1">
      <c r="A8" s="6">
        <v>7.0</v>
      </c>
      <c r="B8" s="6" t="s">
        <v>23</v>
      </c>
      <c r="C8" s="6" t="s">
        <v>30</v>
      </c>
      <c r="D8" s="7">
        <v>7.0</v>
      </c>
      <c r="E8" s="7">
        <v>8.0</v>
      </c>
      <c r="F8" s="6"/>
      <c r="G8" s="7">
        <v>79.0</v>
      </c>
      <c r="H8" s="6"/>
      <c r="I8" s="6">
        <f t="shared" si="1"/>
        <v>132</v>
      </c>
      <c r="J8" s="6"/>
      <c r="K8" s="7">
        <v>211.0</v>
      </c>
      <c r="L8" s="6">
        <f t="shared" si="2"/>
        <v>0</v>
      </c>
      <c r="M8" s="6">
        <f t="shared" si="3"/>
        <v>211</v>
      </c>
      <c r="N8" s="6"/>
      <c r="O8" s="6">
        <v>11.31</v>
      </c>
      <c r="P8" s="6">
        <v>13.482</v>
      </c>
      <c r="Q8" s="6">
        <f t="shared" si="4"/>
        <v>187.026</v>
      </c>
      <c r="R8" s="33"/>
      <c r="S8" s="33"/>
      <c r="T8" s="33"/>
      <c r="U8" s="31"/>
      <c r="V8" s="10">
        <f t="shared" si="5"/>
        <v>0</v>
      </c>
      <c r="W8" s="10">
        <f t="shared" si="6"/>
        <v>0</v>
      </c>
      <c r="X8" s="11"/>
      <c r="Y8" s="11"/>
      <c r="Z8" s="11"/>
      <c r="AA8" s="11"/>
      <c r="AB8" s="11"/>
    </row>
    <row r="9" ht="14.25" customHeight="1">
      <c r="A9" s="6">
        <v>8.0</v>
      </c>
      <c r="B9" s="6" t="s">
        <v>23</v>
      </c>
      <c r="C9" s="6" t="s">
        <v>31</v>
      </c>
      <c r="D9" s="7">
        <v>7.0</v>
      </c>
      <c r="E9" s="7">
        <v>8.0</v>
      </c>
      <c r="F9" s="6"/>
      <c r="G9" s="7">
        <v>86.0</v>
      </c>
      <c r="H9" s="6"/>
      <c r="I9" s="6">
        <f t="shared" si="1"/>
        <v>46</v>
      </c>
      <c r="J9" s="6"/>
      <c r="K9" s="7">
        <v>132.0</v>
      </c>
      <c r="L9" s="6">
        <f t="shared" si="2"/>
        <v>0</v>
      </c>
      <c r="M9" s="6">
        <f t="shared" si="3"/>
        <v>132</v>
      </c>
      <c r="N9" s="6"/>
      <c r="O9" s="6">
        <v>11.31</v>
      </c>
      <c r="P9" s="6">
        <v>13.482</v>
      </c>
      <c r="Q9" s="6">
        <f t="shared" si="4"/>
        <v>187.026</v>
      </c>
      <c r="R9" s="33"/>
      <c r="S9" s="33"/>
      <c r="T9" s="33"/>
      <c r="U9" s="31"/>
      <c r="V9" s="10">
        <f t="shared" si="5"/>
        <v>0</v>
      </c>
      <c r="W9" s="10">
        <f t="shared" si="6"/>
        <v>0</v>
      </c>
      <c r="X9" s="11"/>
      <c r="Y9" s="11"/>
      <c r="Z9" s="11"/>
      <c r="AA9" s="11"/>
      <c r="AB9" s="11"/>
    </row>
    <row r="10" ht="14.25" customHeight="1">
      <c r="A10" s="6">
        <v>9.0</v>
      </c>
      <c r="B10" s="6" t="s">
        <v>23</v>
      </c>
      <c r="C10" s="6" t="s">
        <v>32</v>
      </c>
      <c r="D10" s="7">
        <v>7.0</v>
      </c>
      <c r="E10" s="7">
        <v>8.0</v>
      </c>
      <c r="F10" s="6"/>
      <c r="G10" s="7">
        <v>99.0</v>
      </c>
      <c r="H10" s="6"/>
      <c r="I10" s="6">
        <f t="shared" si="1"/>
        <v>48</v>
      </c>
      <c r="J10" s="6"/>
      <c r="K10" s="7">
        <v>147.0</v>
      </c>
      <c r="L10" s="6">
        <f t="shared" si="2"/>
        <v>0</v>
      </c>
      <c r="M10" s="6">
        <f t="shared" si="3"/>
        <v>147</v>
      </c>
      <c r="N10" s="6"/>
      <c r="O10" s="6">
        <v>11.31</v>
      </c>
      <c r="P10" s="6">
        <v>13.482</v>
      </c>
      <c r="Q10" s="6">
        <f t="shared" si="4"/>
        <v>187.026</v>
      </c>
      <c r="R10" s="33"/>
      <c r="S10" s="33"/>
      <c r="T10" s="33"/>
      <c r="U10" s="31"/>
      <c r="V10" s="10">
        <f t="shared" si="5"/>
        <v>0</v>
      </c>
      <c r="W10" s="10">
        <f t="shared" si="6"/>
        <v>0</v>
      </c>
      <c r="X10" s="11"/>
      <c r="Y10" s="11"/>
      <c r="Z10" s="11"/>
      <c r="AA10" s="11"/>
      <c r="AB10" s="11"/>
    </row>
    <row r="11" ht="14.25" customHeight="1">
      <c r="A11" s="6">
        <v>10.0</v>
      </c>
      <c r="B11" s="6" t="s">
        <v>23</v>
      </c>
      <c r="C11" s="6" t="s">
        <v>33</v>
      </c>
      <c r="D11" s="7">
        <v>7.0</v>
      </c>
      <c r="E11" s="7">
        <v>8.0</v>
      </c>
      <c r="F11" s="6"/>
      <c r="G11" s="7">
        <v>81.0</v>
      </c>
      <c r="H11" s="6"/>
      <c r="I11" s="6">
        <f t="shared" si="1"/>
        <v>97</v>
      </c>
      <c r="J11" s="6"/>
      <c r="K11" s="7">
        <v>178.0</v>
      </c>
      <c r="L11" s="6">
        <f t="shared" si="2"/>
        <v>0</v>
      </c>
      <c r="M11" s="6">
        <f t="shared" si="3"/>
        <v>178</v>
      </c>
      <c r="N11" s="6"/>
      <c r="O11" s="6">
        <v>11.31</v>
      </c>
      <c r="P11" s="6">
        <v>13.482</v>
      </c>
      <c r="Q11" s="6">
        <f t="shared" si="4"/>
        <v>187.026</v>
      </c>
      <c r="R11" s="33"/>
      <c r="S11" s="33"/>
      <c r="T11" s="33"/>
      <c r="U11" s="31"/>
      <c r="V11" s="10">
        <f t="shared" si="5"/>
        <v>0</v>
      </c>
      <c r="W11" s="10">
        <f t="shared" si="6"/>
        <v>0</v>
      </c>
      <c r="X11" s="11"/>
      <c r="Y11" s="11"/>
      <c r="Z11" s="11"/>
      <c r="AA11" s="11"/>
      <c r="AB11" s="11"/>
    </row>
    <row r="12" ht="14.25" customHeight="1">
      <c r="A12" s="6">
        <v>11.0</v>
      </c>
      <c r="B12" s="6" t="s">
        <v>23</v>
      </c>
      <c r="C12" s="6" t="s">
        <v>34</v>
      </c>
      <c r="D12" s="7">
        <v>7.0</v>
      </c>
      <c r="E12" s="7">
        <v>8.0</v>
      </c>
      <c r="F12" s="6"/>
      <c r="G12" s="7">
        <v>75.0</v>
      </c>
      <c r="H12" s="6"/>
      <c r="I12" s="6">
        <f t="shared" si="1"/>
        <v>125</v>
      </c>
      <c r="J12" s="6"/>
      <c r="K12" s="7">
        <v>200.0</v>
      </c>
      <c r="L12" s="6">
        <f t="shared" si="2"/>
        <v>0</v>
      </c>
      <c r="M12" s="6">
        <f t="shared" si="3"/>
        <v>200</v>
      </c>
      <c r="N12" s="6"/>
      <c r="O12" s="6">
        <v>11.31</v>
      </c>
      <c r="P12" s="6">
        <v>13.482</v>
      </c>
      <c r="Q12" s="6">
        <f t="shared" si="4"/>
        <v>187.026</v>
      </c>
      <c r="R12" s="33"/>
      <c r="S12" s="33"/>
      <c r="T12" s="33"/>
      <c r="U12" s="31"/>
      <c r="V12" s="10">
        <f t="shared" si="5"/>
        <v>0</v>
      </c>
      <c r="W12" s="10">
        <f t="shared" si="6"/>
        <v>0</v>
      </c>
      <c r="X12" s="11"/>
      <c r="Y12" s="11"/>
      <c r="Z12" s="11"/>
      <c r="AA12" s="11"/>
      <c r="AB12" s="11"/>
    </row>
    <row r="13" ht="14.25" customHeight="1">
      <c r="A13" s="6">
        <v>12.0</v>
      </c>
      <c r="B13" s="6" t="s">
        <v>23</v>
      </c>
      <c r="C13" s="6" t="s">
        <v>35</v>
      </c>
      <c r="D13" s="7">
        <v>7.0</v>
      </c>
      <c r="E13" s="7">
        <v>8.0</v>
      </c>
      <c r="F13" s="6"/>
      <c r="G13" s="7">
        <v>64.0</v>
      </c>
      <c r="H13" s="6"/>
      <c r="I13" s="6">
        <f t="shared" si="1"/>
        <v>111</v>
      </c>
      <c r="J13" s="6"/>
      <c r="K13" s="7">
        <v>175.0</v>
      </c>
      <c r="L13" s="6">
        <f t="shared" si="2"/>
        <v>0</v>
      </c>
      <c r="M13" s="6">
        <f t="shared" si="3"/>
        <v>175</v>
      </c>
      <c r="N13" s="6"/>
      <c r="O13" s="6">
        <v>11.31</v>
      </c>
      <c r="P13" s="6">
        <v>13.482</v>
      </c>
      <c r="Q13" s="6">
        <f t="shared" si="4"/>
        <v>187.026</v>
      </c>
      <c r="R13" s="33"/>
      <c r="S13" s="33"/>
      <c r="T13" s="33"/>
      <c r="U13" s="31"/>
      <c r="V13" s="10">
        <f t="shared" si="5"/>
        <v>0</v>
      </c>
      <c r="W13" s="10">
        <f t="shared" si="6"/>
        <v>0</v>
      </c>
      <c r="X13" s="11"/>
      <c r="Y13" s="11"/>
      <c r="Z13" s="11"/>
      <c r="AA13" s="11"/>
      <c r="AB13" s="11"/>
    </row>
    <row r="14" ht="14.25" customHeight="1">
      <c r="A14" s="6">
        <v>13.0</v>
      </c>
      <c r="B14" s="6" t="s">
        <v>23</v>
      </c>
      <c r="C14" s="12" t="s">
        <v>36</v>
      </c>
      <c r="D14" s="13">
        <v>4.0</v>
      </c>
      <c r="E14" s="13">
        <v>5.0</v>
      </c>
      <c r="F14" s="12"/>
      <c r="G14" s="13">
        <v>80.0</v>
      </c>
      <c r="H14" s="12"/>
      <c r="I14" s="12">
        <f t="shared" si="1"/>
        <v>0</v>
      </c>
      <c r="J14" s="12"/>
      <c r="K14" s="13">
        <v>80.0</v>
      </c>
      <c r="L14" s="12">
        <f t="shared" si="2"/>
        <v>0</v>
      </c>
      <c r="M14" s="12">
        <f t="shared" si="3"/>
        <v>80</v>
      </c>
      <c r="N14" s="13" t="s">
        <v>69</v>
      </c>
      <c r="O14" s="12">
        <v>11.31</v>
      </c>
      <c r="P14" s="12">
        <v>13.482</v>
      </c>
      <c r="Q14" s="12">
        <f t="shared" si="4"/>
        <v>112.65</v>
      </c>
      <c r="R14" s="17"/>
      <c r="S14" s="17"/>
      <c r="T14" s="17"/>
      <c r="U14" s="32"/>
      <c r="V14" s="16">
        <f t="shared" si="5"/>
        <v>0</v>
      </c>
      <c r="W14" s="16">
        <f t="shared" si="6"/>
        <v>0</v>
      </c>
      <c r="X14" s="11"/>
      <c r="Y14" s="11"/>
      <c r="Z14" s="11"/>
      <c r="AA14" s="11"/>
      <c r="AB14" s="11"/>
    </row>
    <row r="15" ht="14.25" customHeight="1">
      <c r="A15" s="6">
        <v>14.0</v>
      </c>
      <c r="B15" s="6" t="s">
        <v>23</v>
      </c>
      <c r="C15" s="6" t="s">
        <v>37</v>
      </c>
      <c r="D15" s="7">
        <v>7.0</v>
      </c>
      <c r="E15" s="7">
        <v>8.0</v>
      </c>
      <c r="F15" s="6"/>
      <c r="G15" s="7">
        <v>94.0</v>
      </c>
      <c r="H15" s="6"/>
      <c r="I15" s="6">
        <f t="shared" si="1"/>
        <v>67</v>
      </c>
      <c r="J15" s="6"/>
      <c r="K15" s="7">
        <v>161.0</v>
      </c>
      <c r="L15" s="6">
        <f t="shared" si="2"/>
        <v>0</v>
      </c>
      <c r="M15" s="6">
        <f t="shared" si="3"/>
        <v>161</v>
      </c>
      <c r="N15" s="6"/>
      <c r="O15" s="6">
        <v>11.31</v>
      </c>
      <c r="P15" s="6">
        <v>13.482</v>
      </c>
      <c r="Q15" s="6">
        <f t="shared" si="4"/>
        <v>187.026</v>
      </c>
      <c r="R15" s="33"/>
      <c r="S15" s="33"/>
      <c r="T15" s="33"/>
      <c r="U15" s="31"/>
      <c r="V15" s="10">
        <f t="shared" si="5"/>
        <v>0</v>
      </c>
      <c r="W15" s="10">
        <f t="shared" si="6"/>
        <v>0</v>
      </c>
      <c r="X15" s="11"/>
      <c r="Y15" s="11"/>
      <c r="Z15" s="11"/>
      <c r="AA15" s="11"/>
      <c r="AB15" s="11"/>
    </row>
    <row r="16" ht="14.25" customHeight="1">
      <c r="A16" s="6">
        <v>15.0</v>
      </c>
      <c r="B16" s="6" t="s">
        <v>23</v>
      </c>
      <c r="C16" s="6" t="s">
        <v>38</v>
      </c>
      <c r="D16" s="7">
        <v>7.0</v>
      </c>
      <c r="E16" s="7">
        <v>8.0</v>
      </c>
      <c r="F16" s="6"/>
      <c r="G16" s="7">
        <v>81.0</v>
      </c>
      <c r="H16" s="6"/>
      <c r="I16" s="6">
        <f t="shared" si="1"/>
        <v>51</v>
      </c>
      <c r="J16" s="6"/>
      <c r="K16" s="7">
        <v>132.0</v>
      </c>
      <c r="L16" s="6">
        <f t="shared" si="2"/>
        <v>0</v>
      </c>
      <c r="M16" s="6">
        <f t="shared" si="3"/>
        <v>132</v>
      </c>
      <c r="N16" s="6"/>
      <c r="O16" s="6">
        <v>11.31</v>
      </c>
      <c r="P16" s="6">
        <v>13.482</v>
      </c>
      <c r="Q16" s="6">
        <f t="shared" si="4"/>
        <v>187.026</v>
      </c>
      <c r="R16" s="33"/>
      <c r="S16" s="33"/>
      <c r="T16" s="33"/>
      <c r="U16" s="31"/>
      <c r="V16" s="10">
        <f t="shared" si="5"/>
        <v>0</v>
      </c>
      <c r="W16" s="10">
        <f t="shared" si="6"/>
        <v>0</v>
      </c>
      <c r="X16" s="11"/>
      <c r="Y16" s="11"/>
      <c r="Z16" s="11"/>
      <c r="AA16" s="11"/>
      <c r="AB16" s="11"/>
    </row>
    <row r="17" ht="14.25" customHeight="1">
      <c r="A17" s="6">
        <v>16.0</v>
      </c>
      <c r="B17" s="6" t="s">
        <v>23</v>
      </c>
      <c r="C17" s="12" t="s">
        <v>39</v>
      </c>
      <c r="D17" s="13">
        <v>6.0</v>
      </c>
      <c r="E17" s="13">
        <v>6.0</v>
      </c>
      <c r="F17" s="12"/>
      <c r="G17" s="13">
        <v>85.0</v>
      </c>
      <c r="H17" s="12"/>
      <c r="I17" s="12">
        <f t="shared" si="1"/>
        <v>39</v>
      </c>
      <c r="J17" s="12"/>
      <c r="K17" s="13">
        <v>124.0</v>
      </c>
      <c r="L17" s="12">
        <f t="shared" si="2"/>
        <v>0</v>
      </c>
      <c r="M17" s="12">
        <f t="shared" si="3"/>
        <v>124</v>
      </c>
      <c r="N17" s="13" t="s">
        <v>70</v>
      </c>
      <c r="O17" s="12">
        <v>11.31</v>
      </c>
      <c r="P17" s="12">
        <v>13.482</v>
      </c>
      <c r="Q17" s="12">
        <f t="shared" si="4"/>
        <v>148.752</v>
      </c>
      <c r="R17" s="17"/>
      <c r="S17" s="17"/>
      <c r="T17" s="17"/>
      <c r="U17" s="32"/>
      <c r="V17" s="16">
        <f t="shared" si="5"/>
        <v>0</v>
      </c>
      <c r="W17" s="16">
        <f t="shared" si="6"/>
        <v>0</v>
      </c>
      <c r="X17" s="11"/>
      <c r="Y17" s="11"/>
      <c r="Z17" s="11"/>
      <c r="AA17" s="11"/>
      <c r="AB17" s="11"/>
    </row>
    <row r="18" ht="14.25" customHeight="1">
      <c r="A18" s="6">
        <v>17.0</v>
      </c>
      <c r="B18" s="6" t="s">
        <v>23</v>
      </c>
      <c r="C18" s="6" t="s">
        <v>40</v>
      </c>
      <c r="D18" s="7">
        <v>9.0</v>
      </c>
      <c r="E18" s="7">
        <v>9.0</v>
      </c>
      <c r="F18" s="6"/>
      <c r="G18" s="7">
        <v>92.0</v>
      </c>
      <c r="H18" s="6"/>
      <c r="I18" s="6">
        <f t="shared" si="1"/>
        <v>50</v>
      </c>
      <c r="J18" s="6"/>
      <c r="K18" s="7">
        <v>142.0</v>
      </c>
      <c r="L18" s="6">
        <f t="shared" si="2"/>
        <v>0</v>
      </c>
      <c r="M18" s="6">
        <f t="shared" si="3"/>
        <v>142</v>
      </c>
      <c r="N18" s="6"/>
      <c r="O18" s="6">
        <v>11.31</v>
      </c>
      <c r="P18" s="6">
        <v>13.482</v>
      </c>
      <c r="Q18" s="6">
        <f t="shared" si="4"/>
        <v>223.128</v>
      </c>
      <c r="R18" s="33"/>
      <c r="S18" s="33"/>
      <c r="T18" s="33"/>
      <c r="U18" s="31"/>
      <c r="V18" s="10">
        <f t="shared" si="5"/>
        <v>0</v>
      </c>
      <c r="W18" s="10">
        <f t="shared" si="6"/>
        <v>0</v>
      </c>
      <c r="X18" s="11"/>
      <c r="Y18" s="11"/>
      <c r="Z18" s="11"/>
      <c r="AA18" s="11"/>
      <c r="AB18" s="11"/>
    </row>
    <row r="19" ht="14.25" customHeight="1">
      <c r="A19" s="6">
        <v>18.0</v>
      </c>
      <c r="B19" s="6" t="s">
        <v>23</v>
      </c>
      <c r="C19" s="6" t="s">
        <v>42</v>
      </c>
      <c r="D19" s="7">
        <v>9.0</v>
      </c>
      <c r="E19" s="7">
        <v>9.0</v>
      </c>
      <c r="F19" s="6"/>
      <c r="G19" s="7">
        <v>66.0</v>
      </c>
      <c r="H19" s="6"/>
      <c r="I19" s="6">
        <f t="shared" si="1"/>
        <v>108</v>
      </c>
      <c r="J19" s="6"/>
      <c r="K19" s="7">
        <v>174.0</v>
      </c>
      <c r="L19" s="6">
        <f t="shared" si="2"/>
        <v>0</v>
      </c>
      <c r="M19" s="6">
        <f t="shared" si="3"/>
        <v>174</v>
      </c>
      <c r="N19" s="6"/>
      <c r="O19" s="6">
        <v>11.31</v>
      </c>
      <c r="P19" s="6">
        <v>13.482</v>
      </c>
      <c r="Q19" s="6">
        <f t="shared" si="4"/>
        <v>223.128</v>
      </c>
      <c r="R19" s="33"/>
      <c r="S19" s="33"/>
      <c r="T19" s="33"/>
      <c r="U19" s="31"/>
      <c r="V19" s="10">
        <f t="shared" si="5"/>
        <v>0</v>
      </c>
      <c r="W19" s="10">
        <f t="shared" si="6"/>
        <v>0</v>
      </c>
      <c r="X19" s="11"/>
      <c r="Y19" s="11"/>
      <c r="Z19" s="11"/>
      <c r="AA19" s="11"/>
      <c r="AB19" s="11"/>
    </row>
    <row r="20" ht="14.25" customHeight="1">
      <c r="A20" s="6">
        <v>19.0</v>
      </c>
      <c r="B20" s="6" t="s">
        <v>23</v>
      </c>
      <c r="C20" s="6" t="s">
        <v>44</v>
      </c>
      <c r="D20" s="7">
        <v>9.0</v>
      </c>
      <c r="E20" s="7">
        <v>9.0</v>
      </c>
      <c r="F20" s="6"/>
      <c r="G20" s="7">
        <v>61.0</v>
      </c>
      <c r="H20" s="6"/>
      <c r="I20" s="6">
        <f t="shared" si="1"/>
        <v>92</v>
      </c>
      <c r="J20" s="6"/>
      <c r="K20" s="7">
        <v>153.0</v>
      </c>
      <c r="L20" s="6">
        <f t="shared" si="2"/>
        <v>0</v>
      </c>
      <c r="M20" s="6">
        <f t="shared" si="3"/>
        <v>153</v>
      </c>
      <c r="N20" s="6"/>
      <c r="O20" s="6">
        <v>11.31</v>
      </c>
      <c r="P20" s="6">
        <v>13.482</v>
      </c>
      <c r="Q20" s="6">
        <f t="shared" si="4"/>
        <v>223.128</v>
      </c>
      <c r="R20" s="33"/>
      <c r="S20" s="33"/>
      <c r="T20" s="33"/>
      <c r="U20" s="31"/>
      <c r="V20" s="10">
        <f t="shared" si="5"/>
        <v>0</v>
      </c>
      <c r="W20" s="10">
        <f t="shared" si="6"/>
        <v>0</v>
      </c>
      <c r="X20" s="11"/>
      <c r="Y20" s="11"/>
      <c r="Z20" s="11"/>
      <c r="AA20" s="11"/>
      <c r="AB20" s="11"/>
    </row>
    <row r="21" ht="14.25" customHeight="1">
      <c r="A21" s="6">
        <v>20.0</v>
      </c>
      <c r="B21" s="6" t="s">
        <v>23</v>
      </c>
      <c r="C21" s="39" t="s">
        <v>45</v>
      </c>
      <c r="D21" s="40">
        <v>5.0</v>
      </c>
      <c r="E21" s="40">
        <v>5.0</v>
      </c>
      <c r="F21" s="39"/>
      <c r="G21" s="39"/>
      <c r="H21" s="39"/>
      <c r="I21" s="39">
        <f t="shared" si="1"/>
        <v>87</v>
      </c>
      <c r="J21" s="39"/>
      <c r="K21" s="40">
        <v>87.0</v>
      </c>
      <c r="L21" s="39">
        <f t="shared" si="2"/>
        <v>0</v>
      </c>
      <c r="M21" s="39">
        <f t="shared" si="3"/>
        <v>87</v>
      </c>
      <c r="N21" s="40" t="s">
        <v>71</v>
      </c>
      <c r="O21" s="39">
        <v>11.31</v>
      </c>
      <c r="P21" s="39">
        <v>13.482</v>
      </c>
      <c r="Q21" s="39">
        <f t="shared" si="4"/>
        <v>123.96</v>
      </c>
      <c r="R21" s="41"/>
      <c r="S21" s="41"/>
      <c r="T21" s="41"/>
      <c r="U21" s="42"/>
      <c r="V21" s="43">
        <f t="shared" si="5"/>
        <v>0</v>
      </c>
      <c r="W21" s="43">
        <f t="shared" si="6"/>
        <v>0</v>
      </c>
      <c r="X21" s="11"/>
      <c r="Y21" s="11"/>
      <c r="Z21" s="11"/>
      <c r="AA21" s="11"/>
      <c r="AB21" s="11"/>
    </row>
    <row r="22" ht="14.25" customHeight="1">
      <c r="A22" s="6">
        <v>21.0</v>
      </c>
      <c r="B22" s="6" t="s">
        <v>23</v>
      </c>
      <c r="C22" s="6" t="s">
        <v>46</v>
      </c>
      <c r="D22" s="7">
        <v>9.0</v>
      </c>
      <c r="E22" s="7">
        <v>9.0</v>
      </c>
      <c r="F22" s="6"/>
      <c r="G22" s="7">
        <v>62.0</v>
      </c>
      <c r="H22" s="6"/>
      <c r="I22" s="6">
        <f t="shared" si="1"/>
        <v>80</v>
      </c>
      <c r="J22" s="6"/>
      <c r="K22" s="7">
        <v>142.0</v>
      </c>
      <c r="L22" s="6">
        <f t="shared" si="2"/>
        <v>0</v>
      </c>
      <c r="M22" s="6">
        <f t="shared" si="3"/>
        <v>142</v>
      </c>
      <c r="N22" s="6"/>
      <c r="O22" s="6">
        <v>11.31</v>
      </c>
      <c r="P22" s="6">
        <v>13.482</v>
      </c>
      <c r="Q22" s="6">
        <f t="shared" si="4"/>
        <v>223.128</v>
      </c>
      <c r="R22" s="33"/>
      <c r="S22" s="33"/>
      <c r="T22" s="33"/>
      <c r="U22" s="31"/>
      <c r="V22" s="10">
        <f t="shared" si="5"/>
        <v>0</v>
      </c>
      <c r="W22" s="10">
        <f t="shared" si="6"/>
        <v>0</v>
      </c>
      <c r="X22" s="11"/>
      <c r="Y22" s="11"/>
      <c r="Z22" s="11"/>
      <c r="AA22" s="11"/>
      <c r="AB22" s="11"/>
    </row>
    <row r="23" ht="14.25" customHeight="1">
      <c r="A23" s="6">
        <v>22.0</v>
      </c>
      <c r="B23" s="6" t="s">
        <v>23</v>
      </c>
      <c r="C23" s="34" t="s">
        <v>47</v>
      </c>
      <c r="D23" s="35"/>
      <c r="E23" s="35"/>
      <c r="F23" s="34"/>
      <c r="G23" s="34"/>
      <c r="H23" s="34"/>
      <c r="I23" s="34">
        <f t="shared" si="1"/>
        <v>0</v>
      </c>
      <c r="J23" s="34"/>
      <c r="K23" s="34"/>
      <c r="L23" s="34">
        <f t="shared" si="2"/>
        <v>0</v>
      </c>
      <c r="M23" s="34">
        <f t="shared" si="3"/>
        <v>0</v>
      </c>
      <c r="N23" s="35" t="s">
        <v>72</v>
      </c>
      <c r="O23" s="34">
        <v>11.31</v>
      </c>
      <c r="P23" s="34">
        <v>13.482</v>
      </c>
      <c r="Q23" s="34">
        <f t="shared" si="4"/>
        <v>0</v>
      </c>
      <c r="R23" s="36"/>
      <c r="S23" s="36"/>
      <c r="T23" s="36"/>
      <c r="U23" s="37"/>
      <c r="V23" s="38">
        <f t="shared" si="5"/>
        <v>0</v>
      </c>
      <c r="W23" s="38">
        <f t="shared" si="6"/>
        <v>0</v>
      </c>
      <c r="X23" s="11"/>
      <c r="Y23" s="11"/>
      <c r="Z23" s="11"/>
      <c r="AA23" s="11"/>
      <c r="AB23" s="11"/>
    </row>
    <row r="24" ht="14.25" customHeight="1">
      <c r="A24" s="6">
        <v>23.0</v>
      </c>
      <c r="B24" s="6" t="s">
        <v>23</v>
      </c>
      <c r="C24" s="6" t="s">
        <v>49</v>
      </c>
      <c r="D24" s="7">
        <v>8.0</v>
      </c>
      <c r="E24" s="7">
        <v>8.0</v>
      </c>
      <c r="F24" s="6"/>
      <c r="G24" s="7">
        <v>86.0</v>
      </c>
      <c r="H24" s="6"/>
      <c r="I24" s="6">
        <f t="shared" si="1"/>
        <v>0</v>
      </c>
      <c r="J24" s="7">
        <v>93.0</v>
      </c>
      <c r="K24" s="7">
        <v>86.0</v>
      </c>
      <c r="L24" s="6">
        <f t="shared" si="2"/>
        <v>93</v>
      </c>
      <c r="M24" s="6">
        <f t="shared" si="3"/>
        <v>179</v>
      </c>
      <c r="N24" s="6"/>
      <c r="O24" s="6">
        <v>11.31</v>
      </c>
      <c r="P24" s="6">
        <v>13.482</v>
      </c>
      <c r="Q24" s="6">
        <f t="shared" si="4"/>
        <v>198.336</v>
      </c>
      <c r="R24" s="33"/>
      <c r="S24" s="33"/>
      <c r="T24" s="33"/>
      <c r="U24" s="31"/>
      <c r="V24" s="10">
        <f t="shared" si="5"/>
        <v>0</v>
      </c>
      <c r="W24" s="10">
        <f t="shared" si="6"/>
        <v>0</v>
      </c>
      <c r="X24" s="11"/>
      <c r="Y24" s="11"/>
      <c r="Z24" s="11"/>
      <c r="AA24" s="11"/>
      <c r="AB24" s="11"/>
    </row>
    <row r="25" ht="14.25" customHeight="1">
      <c r="A25" s="6">
        <v>24.0</v>
      </c>
      <c r="B25" s="6" t="s">
        <v>23</v>
      </c>
      <c r="C25" s="6" t="s">
        <v>50</v>
      </c>
      <c r="D25" s="7">
        <v>8.0</v>
      </c>
      <c r="E25" s="7">
        <v>8.0</v>
      </c>
      <c r="F25" s="6"/>
      <c r="G25" s="7">
        <v>71.0</v>
      </c>
      <c r="H25" s="6"/>
      <c r="I25" s="6">
        <f t="shared" si="1"/>
        <v>136</v>
      </c>
      <c r="J25" s="6"/>
      <c r="K25" s="7">
        <v>207.0</v>
      </c>
      <c r="L25" s="6">
        <f t="shared" si="2"/>
        <v>0</v>
      </c>
      <c r="M25" s="6">
        <f t="shared" si="3"/>
        <v>207</v>
      </c>
      <c r="N25" s="6"/>
      <c r="O25" s="6">
        <v>11.31</v>
      </c>
      <c r="P25" s="6">
        <v>13.482</v>
      </c>
      <c r="Q25" s="6">
        <f t="shared" si="4"/>
        <v>198.336</v>
      </c>
      <c r="R25" s="33"/>
      <c r="S25" s="33"/>
      <c r="T25" s="33"/>
      <c r="U25" s="31"/>
      <c r="V25" s="10">
        <f t="shared" si="5"/>
        <v>0</v>
      </c>
      <c r="W25" s="10">
        <f t="shared" si="6"/>
        <v>0</v>
      </c>
      <c r="X25" s="11"/>
      <c r="Y25" s="11"/>
      <c r="Z25" s="11"/>
      <c r="AA25" s="11"/>
      <c r="AB25" s="11"/>
    </row>
    <row r="26" ht="14.25" customHeight="1">
      <c r="A26" s="6">
        <v>25.0</v>
      </c>
      <c r="B26" s="6" t="s">
        <v>23</v>
      </c>
      <c r="C26" s="6" t="s">
        <v>51</v>
      </c>
      <c r="D26" s="7">
        <v>8.0</v>
      </c>
      <c r="E26" s="7">
        <v>8.0</v>
      </c>
      <c r="F26" s="6"/>
      <c r="G26" s="7">
        <v>66.0</v>
      </c>
      <c r="H26" s="6"/>
      <c r="I26" s="6">
        <f t="shared" si="1"/>
        <v>138</v>
      </c>
      <c r="J26" s="6"/>
      <c r="K26" s="7">
        <v>204.0</v>
      </c>
      <c r="L26" s="6">
        <f t="shared" si="2"/>
        <v>0</v>
      </c>
      <c r="M26" s="6">
        <f t="shared" si="3"/>
        <v>204</v>
      </c>
      <c r="N26" s="6"/>
      <c r="O26" s="6">
        <v>11.31</v>
      </c>
      <c r="P26" s="6">
        <v>13.482</v>
      </c>
      <c r="Q26" s="6">
        <f t="shared" si="4"/>
        <v>198.336</v>
      </c>
      <c r="R26" s="33"/>
      <c r="S26" s="33"/>
      <c r="T26" s="33"/>
      <c r="U26" s="31"/>
      <c r="V26" s="10">
        <f t="shared" si="5"/>
        <v>0</v>
      </c>
      <c r="W26" s="10">
        <f t="shared" si="6"/>
        <v>0</v>
      </c>
      <c r="X26" s="11"/>
      <c r="Y26" s="11"/>
      <c r="Z26" s="11"/>
      <c r="AA26" s="11"/>
      <c r="AB26" s="11"/>
    </row>
    <row r="27" ht="14.25" customHeight="1">
      <c r="A27" s="6">
        <v>26.0</v>
      </c>
      <c r="B27" s="6" t="s">
        <v>23</v>
      </c>
      <c r="C27" s="6" t="s">
        <v>52</v>
      </c>
      <c r="D27" s="7">
        <v>8.0</v>
      </c>
      <c r="E27" s="7">
        <v>8.0</v>
      </c>
      <c r="F27" s="6"/>
      <c r="G27" s="7">
        <v>64.0</v>
      </c>
      <c r="H27" s="6"/>
      <c r="I27" s="6">
        <f t="shared" si="1"/>
        <v>94</v>
      </c>
      <c r="J27" s="6"/>
      <c r="K27" s="7">
        <v>158.0</v>
      </c>
      <c r="L27" s="6">
        <f t="shared" si="2"/>
        <v>0</v>
      </c>
      <c r="M27" s="6">
        <f t="shared" si="3"/>
        <v>158</v>
      </c>
      <c r="N27" s="6"/>
      <c r="O27" s="6">
        <v>11.31</v>
      </c>
      <c r="P27" s="6">
        <v>13.482</v>
      </c>
      <c r="Q27" s="6">
        <f t="shared" si="4"/>
        <v>198.336</v>
      </c>
      <c r="R27" s="33"/>
      <c r="S27" s="33"/>
      <c r="T27" s="33"/>
      <c r="U27" s="31"/>
      <c r="V27" s="10">
        <f t="shared" si="5"/>
        <v>0</v>
      </c>
      <c r="W27" s="10">
        <f t="shared" si="6"/>
        <v>0</v>
      </c>
      <c r="X27" s="11"/>
      <c r="Y27" s="11"/>
      <c r="Z27" s="11"/>
      <c r="AA27" s="11"/>
      <c r="AB27" s="11"/>
    </row>
    <row r="28" ht="14.25" customHeight="1">
      <c r="A28" s="6">
        <v>27.0</v>
      </c>
      <c r="B28" s="6" t="s">
        <v>23</v>
      </c>
      <c r="C28" s="6" t="s">
        <v>53</v>
      </c>
      <c r="D28" s="7">
        <v>8.0</v>
      </c>
      <c r="E28" s="7">
        <v>8.0</v>
      </c>
      <c r="F28" s="6"/>
      <c r="G28" s="7">
        <v>66.0</v>
      </c>
      <c r="H28" s="6"/>
      <c r="I28" s="6">
        <f t="shared" si="1"/>
        <v>122</v>
      </c>
      <c r="J28" s="6"/>
      <c r="K28" s="7">
        <v>188.0</v>
      </c>
      <c r="L28" s="6">
        <f t="shared" si="2"/>
        <v>0</v>
      </c>
      <c r="M28" s="6">
        <f t="shared" si="3"/>
        <v>188</v>
      </c>
      <c r="N28" s="6"/>
      <c r="O28" s="6">
        <v>11.31</v>
      </c>
      <c r="P28" s="6">
        <v>13.482</v>
      </c>
      <c r="Q28" s="6">
        <f t="shared" si="4"/>
        <v>198.336</v>
      </c>
      <c r="R28" s="33"/>
      <c r="S28" s="33"/>
      <c r="T28" s="33"/>
      <c r="U28" s="31"/>
      <c r="V28" s="10">
        <f t="shared" si="5"/>
        <v>0</v>
      </c>
      <c r="W28" s="10">
        <f t="shared" si="6"/>
        <v>0</v>
      </c>
      <c r="X28" s="11"/>
      <c r="Y28" s="11"/>
      <c r="Z28" s="11"/>
      <c r="AA28" s="11"/>
      <c r="AB28" s="11"/>
    </row>
    <row r="29" ht="14.25" customHeight="1">
      <c r="A29" s="6">
        <v>28.0</v>
      </c>
      <c r="B29" s="6" t="s">
        <v>23</v>
      </c>
      <c r="C29" s="6" t="s">
        <v>54</v>
      </c>
      <c r="D29" s="7">
        <v>8.0</v>
      </c>
      <c r="E29" s="7">
        <v>8.0</v>
      </c>
      <c r="F29" s="6"/>
      <c r="G29" s="44">
        <v>64.0</v>
      </c>
      <c r="H29" s="6"/>
      <c r="I29" s="6">
        <f t="shared" si="1"/>
        <v>89</v>
      </c>
      <c r="J29" s="6"/>
      <c r="K29" s="7">
        <v>153.0</v>
      </c>
      <c r="L29" s="6">
        <f t="shared" si="2"/>
        <v>0</v>
      </c>
      <c r="M29" s="6">
        <f t="shared" si="3"/>
        <v>153</v>
      </c>
      <c r="N29" s="6"/>
      <c r="O29" s="6">
        <v>11.31</v>
      </c>
      <c r="P29" s="6">
        <v>13.482</v>
      </c>
      <c r="Q29" s="6">
        <f t="shared" si="4"/>
        <v>198.336</v>
      </c>
      <c r="R29" s="33"/>
      <c r="S29" s="33"/>
      <c r="T29" s="33"/>
      <c r="U29" s="31"/>
      <c r="V29" s="10">
        <f t="shared" si="5"/>
        <v>0</v>
      </c>
      <c r="W29" s="10">
        <f t="shared" si="6"/>
        <v>0</v>
      </c>
      <c r="X29" s="11"/>
      <c r="Y29" s="11"/>
      <c r="Z29" s="11"/>
      <c r="AA29" s="11"/>
      <c r="AB29" s="11"/>
    </row>
    <row r="30" ht="14.25" customHeight="1">
      <c r="A30" s="6">
        <v>29.0</v>
      </c>
      <c r="B30" s="6" t="s">
        <v>23</v>
      </c>
      <c r="C30" s="6" t="s">
        <v>55</v>
      </c>
      <c r="D30" s="7">
        <v>8.0</v>
      </c>
      <c r="E30" s="7">
        <v>8.0</v>
      </c>
      <c r="F30" s="45"/>
      <c r="G30" s="46">
        <v>65.0</v>
      </c>
      <c r="H30" s="47"/>
      <c r="I30" s="6">
        <f t="shared" si="1"/>
        <v>92</v>
      </c>
      <c r="J30" s="6"/>
      <c r="K30" s="7">
        <v>157.0</v>
      </c>
      <c r="L30" s="6">
        <f t="shared" si="2"/>
        <v>0</v>
      </c>
      <c r="M30" s="6">
        <f t="shared" si="3"/>
        <v>157</v>
      </c>
      <c r="N30" s="6"/>
      <c r="O30" s="6">
        <v>11.31</v>
      </c>
      <c r="P30" s="6">
        <v>13.482</v>
      </c>
      <c r="Q30" s="6">
        <f t="shared" si="4"/>
        <v>198.336</v>
      </c>
      <c r="R30" s="33"/>
      <c r="S30" s="33"/>
      <c r="T30" s="33"/>
      <c r="U30" s="31"/>
      <c r="V30" s="10">
        <f t="shared" si="5"/>
        <v>0</v>
      </c>
      <c r="W30" s="10">
        <f t="shared" si="6"/>
        <v>0</v>
      </c>
      <c r="X30" s="11"/>
      <c r="Y30" s="11"/>
      <c r="Z30" s="11"/>
      <c r="AA30" s="11"/>
      <c r="AB30" s="11"/>
    </row>
    <row r="31" ht="14.25" customHeight="1">
      <c r="A31" s="6">
        <v>30.0</v>
      </c>
      <c r="B31" s="6" t="s">
        <v>23</v>
      </c>
      <c r="C31" s="6" t="s">
        <v>56</v>
      </c>
      <c r="D31" s="7">
        <v>8.0</v>
      </c>
      <c r="E31" s="7">
        <v>8.0</v>
      </c>
      <c r="F31" s="45"/>
      <c r="G31" s="46">
        <v>82.0</v>
      </c>
      <c r="H31" s="47"/>
      <c r="I31" s="6">
        <f t="shared" si="1"/>
        <v>80</v>
      </c>
      <c r="J31" s="6"/>
      <c r="K31" s="7">
        <v>162.0</v>
      </c>
      <c r="L31" s="6">
        <f t="shared" si="2"/>
        <v>0</v>
      </c>
      <c r="M31" s="6">
        <f t="shared" si="3"/>
        <v>162</v>
      </c>
      <c r="N31" s="6"/>
      <c r="O31" s="6">
        <v>11.31</v>
      </c>
      <c r="P31" s="6">
        <v>13.482</v>
      </c>
      <c r="Q31" s="6">
        <f t="shared" si="4"/>
        <v>198.336</v>
      </c>
      <c r="R31" s="33"/>
      <c r="S31" s="33"/>
      <c r="T31" s="33"/>
      <c r="U31" s="31"/>
      <c r="V31" s="10">
        <f t="shared" si="5"/>
        <v>0</v>
      </c>
      <c r="W31" s="10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23" t="s">
        <v>57</v>
      </c>
      <c r="E32" s="23">
        <f>SUM(M:M)</f>
        <v>4671</v>
      </c>
      <c r="F32" s="11"/>
      <c r="G32" s="48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23" t="s">
        <v>58</v>
      </c>
      <c r="E33" s="23">
        <f>SUM(Q:Q)</f>
        <v>5539.476</v>
      </c>
      <c r="F33" s="11"/>
      <c r="G33" s="48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23" t="s">
        <v>59</v>
      </c>
      <c r="E34" s="23">
        <f>E32/E33</f>
        <v>0.8432205501</v>
      </c>
      <c r="F34" s="11"/>
      <c r="G34" s="48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25"/>
      <c r="E35" s="25"/>
      <c r="F35" s="11"/>
      <c r="G35" s="48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26" t="s">
        <v>60</v>
      </c>
      <c r="E36" s="26">
        <f>AVERAGEIF(Q:Q,"&gt;0",Q:Q)</f>
        <v>191.0164138</v>
      </c>
      <c r="F36" s="11"/>
      <c r="G36" s="48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25"/>
      <c r="E37" s="25"/>
      <c r="F37" s="11"/>
      <c r="G37" s="48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27" t="s">
        <v>61</v>
      </c>
      <c r="E38" s="27">
        <f>SUM(G:G)</f>
        <v>2148</v>
      </c>
      <c r="F38" s="11"/>
      <c r="G38" s="48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27" t="s">
        <v>62</v>
      </c>
      <c r="E39" s="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27" t="s">
        <v>63</v>
      </c>
      <c r="E40" s="27">
        <f>E39+E38</f>
        <v>2148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25"/>
      <c r="E41" s="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28" t="s">
        <v>64</v>
      </c>
      <c r="E42" s="28">
        <f>SUM(I:I)</f>
        <v>2430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28" t="s">
        <v>65</v>
      </c>
      <c r="E43" s="28">
        <f>SUM(J:J)</f>
        <v>93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28" t="s">
        <v>66</v>
      </c>
      <c r="E44" s="28">
        <f>E43+E42</f>
        <v>2523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25"/>
      <c r="E45" s="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29" t="s">
        <v>10</v>
      </c>
      <c r="E46" s="29">
        <f t="shared" ref="E46:E47" si="7">E42+E38</f>
        <v>4578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29" t="s">
        <v>11</v>
      </c>
      <c r="E47" s="29">
        <f t="shared" si="7"/>
        <v>93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25"/>
      <c r="E48" s="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25"/>
      <c r="E49" s="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25"/>
      <c r="E50" s="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25"/>
      <c r="E51" s="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.57"/>
    <col customWidth="1" min="2" max="2" width="5.57"/>
    <col customWidth="1" min="3" max="3" width="13.86"/>
    <col customWidth="1" min="4" max="4" width="16.86"/>
    <col customWidth="1" min="5" max="5" width="16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1" width="7.86"/>
    <col customWidth="1" min="12" max="12" width="9.14"/>
    <col customWidth="1" min="13" max="13" width="11.86"/>
    <col customWidth="1" min="14" max="14" width="24.14"/>
    <col customWidth="1" min="15" max="15" width="6.29"/>
    <col customWidth="1" min="16" max="16" width="7.57"/>
    <col customWidth="1" min="17" max="17" width="8.14"/>
    <col customWidth="1" min="18" max="28" width="8.71"/>
  </cols>
  <sheetData>
    <row r="1" ht="30.0" customHeight="1">
      <c r="A1" s="49" t="s">
        <v>0</v>
      </c>
      <c r="B1" s="49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1" t="s">
        <v>17</v>
      </c>
      <c r="S1" s="52" t="s">
        <v>18</v>
      </c>
      <c r="T1" s="52" t="s">
        <v>19</v>
      </c>
      <c r="U1" s="52" t="s">
        <v>20</v>
      </c>
      <c r="V1" s="53" t="s">
        <v>21</v>
      </c>
      <c r="W1" s="53" t="s">
        <v>22</v>
      </c>
      <c r="X1" s="54"/>
      <c r="Y1" s="54"/>
      <c r="Z1" s="54"/>
      <c r="AA1" s="54"/>
      <c r="AB1" s="54"/>
    </row>
    <row r="2" ht="14.25" customHeight="1">
      <c r="A2" s="55">
        <v>1.0</v>
      </c>
      <c r="B2" s="55" t="s">
        <v>23</v>
      </c>
      <c r="C2" s="56" t="s">
        <v>24</v>
      </c>
      <c r="D2" s="57">
        <v>8.0</v>
      </c>
      <c r="E2" s="57">
        <v>8.0</v>
      </c>
      <c r="F2" s="56"/>
      <c r="G2" s="57">
        <v>78.0</v>
      </c>
      <c r="H2" s="56"/>
      <c r="I2" s="56">
        <f t="shared" ref="I2:I31" si="1">max(0,K2-G2)</f>
        <v>83</v>
      </c>
      <c r="J2" s="56"/>
      <c r="K2" s="57">
        <v>161.0</v>
      </c>
      <c r="L2" s="56">
        <f t="shared" ref="L2:L31" si="2">J2+H2</f>
        <v>0</v>
      </c>
      <c r="M2" s="56">
        <f t="shared" ref="M2:M31" si="3">G2+H2+I2+J2</f>
        <v>161</v>
      </c>
      <c r="N2" s="58"/>
      <c r="O2" s="56">
        <v>11.31</v>
      </c>
      <c r="P2" s="56">
        <v>13.482</v>
      </c>
      <c r="Q2" s="56">
        <f t="shared" ref="Q2:Q31" si="4">(O2*D2)+(P2*E2)</f>
        <v>198.336</v>
      </c>
      <c r="R2" s="59">
        <v>364751.0</v>
      </c>
      <c r="S2" s="59">
        <v>364.0</v>
      </c>
      <c r="T2" s="60"/>
      <c r="U2" s="61">
        <v>364953.0</v>
      </c>
      <c r="V2" s="62">
        <f t="shared" ref="V2:V31" si="5">S2-R2</f>
        <v>-364387</v>
      </c>
      <c r="W2" s="62">
        <f t="shared" ref="W2:W31" si="6">U2-T2</f>
        <v>364953</v>
      </c>
      <c r="X2" s="63"/>
      <c r="Y2" s="63"/>
      <c r="Z2" s="63"/>
      <c r="AA2" s="63"/>
      <c r="AB2" s="63"/>
    </row>
    <row r="3" ht="14.25" customHeight="1">
      <c r="A3" s="55">
        <v>2.0</v>
      </c>
      <c r="B3" s="55" t="s">
        <v>23</v>
      </c>
      <c r="C3" s="56" t="s">
        <v>25</v>
      </c>
      <c r="D3" s="57">
        <v>8.0</v>
      </c>
      <c r="E3" s="57">
        <v>8.0</v>
      </c>
      <c r="F3" s="56"/>
      <c r="G3" s="57">
        <v>63.0</v>
      </c>
      <c r="H3" s="56"/>
      <c r="I3" s="56">
        <f t="shared" si="1"/>
        <v>59</v>
      </c>
      <c r="J3" s="56"/>
      <c r="K3" s="57">
        <v>122.0</v>
      </c>
      <c r="L3" s="56">
        <f t="shared" si="2"/>
        <v>0</v>
      </c>
      <c r="M3" s="56">
        <f t="shared" si="3"/>
        <v>122</v>
      </c>
      <c r="N3" s="58"/>
      <c r="O3" s="56">
        <v>11.31</v>
      </c>
      <c r="P3" s="56">
        <v>13.482</v>
      </c>
      <c r="Q3" s="56">
        <f t="shared" si="4"/>
        <v>198.336</v>
      </c>
      <c r="R3" s="59">
        <v>358717.0</v>
      </c>
      <c r="S3" s="59">
        <v>358.0</v>
      </c>
      <c r="T3" s="60"/>
      <c r="U3" s="61">
        <v>358919.0</v>
      </c>
      <c r="V3" s="62">
        <f t="shared" si="5"/>
        <v>-358359</v>
      </c>
      <c r="W3" s="62">
        <f t="shared" si="6"/>
        <v>358919</v>
      </c>
      <c r="X3" s="63"/>
      <c r="Y3" s="63"/>
      <c r="Z3" s="63"/>
      <c r="AA3" s="63"/>
      <c r="AB3" s="63"/>
    </row>
    <row r="4" ht="14.25" customHeight="1">
      <c r="A4" s="55">
        <v>3.0</v>
      </c>
      <c r="B4" s="55" t="s">
        <v>23</v>
      </c>
      <c r="C4" s="56" t="s">
        <v>26</v>
      </c>
      <c r="D4" s="57">
        <v>8.0</v>
      </c>
      <c r="E4" s="57">
        <v>8.0</v>
      </c>
      <c r="F4" s="56"/>
      <c r="G4" s="57">
        <v>62.0</v>
      </c>
      <c r="H4" s="56"/>
      <c r="I4" s="56">
        <f t="shared" si="1"/>
        <v>127</v>
      </c>
      <c r="J4" s="56"/>
      <c r="K4" s="57">
        <v>189.0</v>
      </c>
      <c r="L4" s="56">
        <f t="shared" si="2"/>
        <v>0</v>
      </c>
      <c r="M4" s="56">
        <f t="shared" si="3"/>
        <v>189</v>
      </c>
      <c r="N4" s="58"/>
      <c r="O4" s="56">
        <v>11.31</v>
      </c>
      <c r="P4" s="56">
        <v>13.482</v>
      </c>
      <c r="Q4" s="56">
        <f t="shared" si="4"/>
        <v>198.336</v>
      </c>
      <c r="R4" s="59">
        <v>363729.0</v>
      </c>
      <c r="S4" s="59">
        <v>363.0</v>
      </c>
      <c r="T4" s="64"/>
      <c r="U4" s="61">
        <v>363959.0</v>
      </c>
      <c r="V4" s="62">
        <f t="shared" si="5"/>
        <v>-363366</v>
      </c>
      <c r="W4" s="62">
        <f t="shared" si="6"/>
        <v>363959</v>
      </c>
      <c r="X4" s="63"/>
      <c r="Y4" s="63"/>
      <c r="Z4" s="63"/>
      <c r="AA4" s="63"/>
      <c r="AB4" s="63"/>
    </row>
    <row r="5" ht="14.25" customHeight="1">
      <c r="A5" s="55">
        <v>4.0</v>
      </c>
      <c r="B5" s="55" t="s">
        <v>23</v>
      </c>
      <c r="C5" s="65" t="s">
        <v>27</v>
      </c>
      <c r="D5" s="65"/>
      <c r="E5" s="65"/>
      <c r="F5" s="65"/>
      <c r="G5" s="65"/>
      <c r="H5" s="65"/>
      <c r="I5" s="65">
        <f t="shared" si="1"/>
        <v>0</v>
      </c>
      <c r="J5" s="65"/>
      <c r="K5" s="65"/>
      <c r="L5" s="65">
        <f t="shared" si="2"/>
        <v>0</v>
      </c>
      <c r="M5" s="65">
        <f t="shared" si="3"/>
        <v>0</v>
      </c>
      <c r="N5" s="66"/>
      <c r="O5" s="65">
        <v>11.31</v>
      </c>
      <c r="P5" s="65">
        <v>13.482</v>
      </c>
      <c r="Q5" s="65">
        <f t="shared" si="4"/>
        <v>0</v>
      </c>
      <c r="R5" s="67"/>
      <c r="S5" s="67"/>
      <c r="T5" s="67"/>
      <c r="U5" s="68"/>
      <c r="V5" s="69">
        <f t="shared" si="5"/>
        <v>0</v>
      </c>
      <c r="W5" s="69">
        <f t="shared" si="6"/>
        <v>0</v>
      </c>
      <c r="X5" s="63"/>
      <c r="Y5" s="63"/>
      <c r="Z5" s="63"/>
      <c r="AA5" s="63"/>
      <c r="AB5" s="63"/>
    </row>
    <row r="6" ht="14.25" customHeight="1">
      <c r="A6" s="55">
        <v>5.0</v>
      </c>
      <c r="B6" s="55" t="s">
        <v>23</v>
      </c>
      <c r="C6" s="65" t="s">
        <v>28</v>
      </c>
      <c r="D6" s="65"/>
      <c r="E6" s="65"/>
      <c r="F6" s="65"/>
      <c r="G6" s="65"/>
      <c r="H6" s="65"/>
      <c r="I6" s="65">
        <f t="shared" si="1"/>
        <v>0</v>
      </c>
      <c r="J6" s="65"/>
      <c r="K6" s="65"/>
      <c r="L6" s="65">
        <f t="shared" si="2"/>
        <v>0</v>
      </c>
      <c r="M6" s="65">
        <f t="shared" si="3"/>
        <v>0</v>
      </c>
      <c r="N6" s="66"/>
      <c r="O6" s="65">
        <v>11.31</v>
      </c>
      <c r="P6" s="65">
        <v>13.482</v>
      </c>
      <c r="Q6" s="65">
        <f t="shared" si="4"/>
        <v>0</v>
      </c>
      <c r="R6" s="67"/>
      <c r="S6" s="67"/>
      <c r="T6" s="67"/>
      <c r="U6" s="68"/>
      <c r="V6" s="69">
        <f t="shared" si="5"/>
        <v>0</v>
      </c>
      <c r="W6" s="69">
        <f t="shared" si="6"/>
        <v>0</v>
      </c>
      <c r="X6" s="63"/>
      <c r="Y6" s="63"/>
      <c r="Z6" s="63"/>
      <c r="AA6" s="63"/>
      <c r="AB6" s="63"/>
    </row>
    <row r="7" ht="14.25" customHeight="1">
      <c r="A7" s="55">
        <v>6.0</v>
      </c>
      <c r="B7" s="55" t="s">
        <v>23</v>
      </c>
      <c r="C7" s="56" t="s">
        <v>29</v>
      </c>
      <c r="D7" s="57">
        <v>7.0</v>
      </c>
      <c r="E7" s="57">
        <v>8.0</v>
      </c>
      <c r="F7" s="56"/>
      <c r="G7" s="57">
        <v>44.0</v>
      </c>
      <c r="H7" s="56"/>
      <c r="I7" s="56">
        <f t="shared" si="1"/>
        <v>69</v>
      </c>
      <c r="J7" s="56"/>
      <c r="K7" s="57">
        <v>113.0</v>
      </c>
      <c r="L7" s="56">
        <f t="shared" si="2"/>
        <v>0</v>
      </c>
      <c r="M7" s="56">
        <f t="shared" si="3"/>
        <v>113</v>
      </c>
      <c r="N7" s="58"/>
      <c r="O7" s="56">
        <v>11.31</v>
      </c>
      <c r="P7" s="56">
        <v>13.482</v>
      </c>
      <c r="Q7" s="56">
        <f t="shared" si="4"/>
        <v>187.026</v>
      </c>
      <c r="R7" s="59">
        <v>367161.0</v>
      </c>
      <c r="S7" s="59">
        <v>367.0</v>
      </c>
      <c r="T7" s="64"/>
      <c r="U7" s="61">
        <v>367348.0</v>
      </c>
      <c r="V7" s="62">
        <f t="shared" si="5"/>
        <v>-366794</v>
      </c>
      <c r="W7" s="62">
        <f t="shared" si="6"/>
        <v>367348</v>
      </c>
      <c r="X7" s="63"/>
      <c r="Y7" s="63"/>
      <c r="Z7" s="63"/>
      <c r="AA7" s="63"/>
      <c r="AB7" s="63"/>
    </row>
    <row r="8" ht="14.25" customHeight="1">
      <c r="A8" s="55">
        <v>7.0</v>
      </c>
      <c r="B8" s="55" t="s">
        <v>23</v>
      </c>
      <c r="C8" s="56" t="s">
        <v>30</v>
      </c>
      <c r="D8" s="57">
        <v>7.0</v>
      </c>
      <c r="E8" s="57">
        <v>8.0</v>
      </c>
      <c r="F8" s="56"/>
      <c r="G8" s="57">
        <v>59.0</v>
      </c>
      <c r="H8" s="56"/>
      <c r="I8" s="56">
        <f t="shared" si="1"/>
        <v>123</v>
      </c>
      <c r="J8" s="56"/>
      <c r="K8" s="57">
        <v>182.0</v>
      </c>
      <c r="L8" s="56">
        <f t="shared" si="2"/>
        <v>0</v>
      </c>
      <c r="M8" s="56">
        <f t="shared" si="3"/>
        <v>182</v>
      </c>
      <c r="N8" s="58"/>
      <c r="O8" s="56">
        <v>11.31</v>
      </c>
      <c r="P8" s="56">
        <v>13.482</v>
      </c>
      <c r="Q8" s="56">
        <f t="shared" si="4"/>
        <v>187.026</v>
      </c>
      <c r="R8" s="59">
        <v>378399.0</v>
      </c>
      <c r="S8" s="59">
        <v>378.0</v>
      </c>
      <c r="T8" s="64"/>
      <c r="U8" s="61">
        <v>378588.0</v>
      </c>
      <c r="V8" s="62">
        <f t="shared" si="5"/>
        <v>-378021</v>
      </c>
      <c r="W8" s="62">
        <f t="shared" si="6"/>
        <v>378588</v>
      </c>
      <c r="X8" s="63"/>
      <c r="Y8" s="63"/>
      <c r="Z8" s="63"/>
      <c r="AA8" s="63"/>
      <c r="AB8" s="63"/>
    </row>
    <row r="9" ht="14.25" customHeight="1">
      <c r="A9" s="55">
        <v>8.0</v>
      </c>
      <c r="B9" s="55" t="s">
        <v>23</v>
      </c>
      <c r="C9" s="56" t="s">
        <v>31</v>
      </c>
      <c r="D9" s="57">
        <v>7.0</v>
      </c>
      <c r="E9" s="57">
        <v>8.0</v>
      </c>
      <c r="F9" s="56"/>
      <c r="G9" s="57">
        <v>48.0</v>
      </c>
      <c r="H9" s="56"/>
      <c r="I9" s="56">
        <f t="shared" si="1"/>
        <v>113</v>
      </c>
      <c r="J9" s="56"/>
      <c r="K9" s="57">
        <v>161.0</v>
      </c>
      <c r="L9" s="56">
        <f t="shared" si="2"/>
        <v>0</v>
      </c>
      <c r="M9" s="56">
        <f t="shared" si="3"/>
        <v>161</v>
      </c>
      <c r="N9" s="58"/>
      <c r="O9" s="56">
        <v>11.31</v>
      </c>
      <c r="P9" s="56">
        <v>13.482</v>
      </c>
      <c r="Q9" s="56">
        <f t="shared" si="4"/>
        <v>187.026</v>
      </c>
      <c r="R9" s="59">
        <v>369610.0</v>
      </c>
      <c r="S9" s="59">
        <v>369.0</v>
      </c>
      <c r="T9" s="64"/>
      <c r="U9" s="61">
        <v>369798.0</v>
      </c>
      <c r="V9" s="62">
        <f t="shared" si="5"/>
        <v>-369241</v>
      </c>
      <c r="W9" s="62">
        <f t="shared" si="6"/>
        <v>369798</v>
      </c>
      <c r="X9" s="63"/>
      <c r="Y9" s="63"/>
      <c r="Z9" s="63"/>
      <c r="AA9" s="63"/>
      <c r="AB9" s="63"/>
    </row>
    <row r="10" ht="14.25" customHeight="1">
      <c r="A10" s="55">
        <v>9.0</v>
      </c>
      <c r="B10" s="55" t="s">
        <v>23</v>
      </c>
      <c r="C10" s="56" t="s">
        <v>32</v>
      </c>
      <c r="D10" s="57">
        <v>7.0</v>
      </c>
      <c r="E10" s="57">
        <v>8.0</v>
      </c>
      <c r="F10" s="56"/>
      <c r="G10" s="57">
        <v>60.0</v>
      </c>
      <c r="H10" s="56"/>
      <c r="I10" s="56">
        <f t="shared" si="1"/>
        <v>146</v>
      </c>
      <c r="J10" s="56"/>
      <c r="K10" s="57">
        <v>206.0</v>
      </c>
      <c r="L10" s="56">
        <f t="shared" si="2"/>
        <v>0</v>
      </c>
      <c r="M10" s="56">
        <f t="shared" si="3"/>
        <v>206</v>
      </c>
      <c r="N10" s="58"/>
      <c r="O10" s="56">
        <v>11.31</v>
      </c>
      <c r="P10" s="56">
        <v>13.482</v>
      </c>
      <c r="Q10" s="56">
        <f t="shared" si="4"/>
        <v>187.026</v>
      </c>
      <c r="R10" s="59">
        <v>369105.0</v>
      </c>
      <c r="S10" s="59">
        <v>369.0</v>
      </c>
      <c r="T10" s="64"/>
      <c r="U10" s="61">
        <v>369296.0</v>
      </c>
      <c r="V10" s="62">
        <f t="shared" si="5"/>
        <v>-368736</v>
      </c>
      <c r="W10" s="62">
        <f t="shared" si="6"/>
        <v>369296</v>
      </c>
      <c r="X10" s="63"/>
      <c r="Y10" s="63"/>
      <c r="Z10" s="63"/>
      <c r="AA10" s="63"/>
      <c r="AB10" s="63"/>
    </row>
    <row r="11" ht="14.25" customHeight="1">
      <c r="A11" s="55">
        <v>10.0</v>
      </c>
      <c r="B11" s="55" t="s">
        <v>23</v>
      </c>
      <c r="C11" s="56" t="s">
        <v>33</v>
      </c>
      <c r="D11" s="57">
        <v>7.0</v>
      </c>
      <c r="E11" s="57">
        <v>8.0</v>
      </c>
      <c r="F11" s="56"/>
      <c r="G11" s="57">
        <v>50.0</v>
      </c>
      <c r="H11" s="56"/>
      <c r="I11" s="56">
        <f t="shared" si="1"/>
        <v>106</v>
      </c>
      <c r="J11" s="56"/>
      <c r="K11" s="57">
        <v>156.0</v>
      </c>
      <c r="L11" s="56">
        <f t="shared" si="2"/>
        <v>0</v>
      </c>
      <c r="M11" s="56">
        <f t="shared" si="3"/>
        <v>156</v>
      </c>
      <c r="N11" s="58"/>
      <c r="O11" s="56">
        <v>11.31</v>
      </c>
      <c r="P11" s="56">
        <v>13.482</v>
      </c>
      <c r="Q11" s="56">
        <f t="shared" si="4"/>
        <v>187.026</v>
      </c>
      <c r="R11" s="59">
        <v>361512.0</v>
      </c>
      <c r="S11" s="59">
        <v>361.0</v>
      </c>
      <c r="T11" s="64"/>
      <c r="U11" s="61">
        <v>361698.0</v>
      </c>
      <c r="V11" s="62">
        <f t="shared" si="5"/>
        <v>-361151</v>
      </c>
      <c r="W11" s="62">
        <f t="shared" si="6"/>
        <v>361698</v>
      </c>
      <c r="X11" s="63"/>
      <c r="Y11" s="63"/>
      <c r="Z11" s="63"/>
      <c r="AA11" s="63"/>
      <c r="AB11" s="63"/>
    </row>
    <row r="12" ht="14.25" customHeight="1">
      <c r="A12" s="55">
        <v>11.0</v>
      </c>
      <c r="B12" s="55" t="s">
        <v>23</v>
      </c>
      <c r="C12" s="56" t="s">
        <v>34</v>
      </c>
      <c r="D12" s="57">
        <v>7.0</v>
      </c>
      <c r="E12" s="57">
        <v>8.0</v>
      </c>
      <c r="F12" s="56"/>
      <c r="G12" s="57">
        <v>52.0</v>
      </c>
      <c r="H12" s="56"/>
      <c r="I12" s="56">
        <f t="shared" si="1"/>
        <v>92</v>
      </c>
      <c r="J12" s="56"/>
      <c r="K12" s="57">
        <v>144.0</v>
      </c>
      <c r="L12" s="56">
        <f t="shared" si="2"/>
        <v>0</v>
      </c>
      <c r="M12" s="56">
        <f t="shared" si="3"/>
        <v>144</v>
      </c>
      <c r="N12" s="58"/>
      <c r="O12" s="56">
        <v>11.31</v>
      </c>
      <c r="P12" s="56">
        <v>13.482</v>
      </c>
      <c r="Q12" s="56">
        <f t="shared" si="4"/>
        <v>187.026</v>
      </c>
      <c r="R12" s="59">
        <v>67533.0</v>
      </c>
      <c r="S12" s="59">
        <v>67.0</v>
      </c>
      <c r="T12" s="64"/>
      <c r="U12" s="61">
        <v>67723.0</v>
      </c>
      <c r="V12" s="62">
        <f t="shared" si="5"/>
        <v>-67466</v>
      </c>
      <c r="W12" s="62">
        <f t="shared" si="6"/>
        <v>67723</v>
      </c>
      <c r="X12" s="63"/>
      <c r="Y12" s="63"/>
      <c r="Z12" s="63"/>
      <c r="AA12" s="63"/>
      <c r="AB12" s="63"/>
    </row>
    <row r="13" ht="14.25" customHeight="1">
      <c r="A13" s="55">
        <v>12.0</v>
      </c>
      <c r="B13" s="55" t="s">
        <v>23</v>
      </c>
      <c r="C13" s="56" t="s">
        <v>35</v>
      </c>
      <c r="D13" s="57">
        <v>7.0</v>
      </c>
      <c r="E13" s="57">
        <v>8.0</v>
      </c>
      <c r="F13" s="56"/>
      <c r="G13" s="57">
        <v>68.0</v>
      </c>
      <c r="H13" s="56"/>
      <c r="I13" s="56">
        <f t="shared" si="1"/>
        <v>92</v>
      </c>
      <c r="J13" s="56"/>
      <c r="K13" s="57">
        <v>160.0</v>
      </c>
      <c r="L13" s="56">
        <f t="shared" si="2"/>
        <v>0</v>
      </c>
      <c r="M13" s="56">
        <f t="shared" si="3"/>
        <v>160</v>
      </c>
      <c r="N13" s="58"/>
      <c r="O13" s="56">
        <v>11.31</v>
      </c>
      <c r="P13" s="56">
        <v>13.482</v>
      </c>
      <c r="Q13" s="56">
        <f t="shared" si="4"/>
        <v>187.026</v>
      </c>
      <c r="R13" s="59">
        <v>368217.0</v>
      </c>
      <c r="S13" s="59">
        <v>368.0</v>
      </c>
      <c r="T13" s="64"/>
      <c r="U13" s="61">
        <v>368404.0</v>
      </c>
      <c r="V13" s="62">
        <f t="shared" si="5"/>
        <v>-367849</v>
      </c>
      <c r="W13" s="62">
        <f t="shared" si="6"/>
        <v>368404</v>
      </c>
      <c r="X13" s="63"/>
      <c r="Y13" s="63"/>
      <c r="Z13" s="63"/>
      <c r="AA13" s="63"/>
      <c r="AB13" s="63"/>
    </row>
    <row r="14" ht="14.25" customHeight="1">
      <c r="A14" s="55">
        <v>13.0</v>
      </c>
      <c r="B14" s="55" t="s">
        <v>23</v>
      </c>
      <c r="C14" s="65" t="s">
        <v>36</v>
      </c>
      <c r="D14" s="65"/>
      <c r="E14" s="65"/>
      <c r="F14" s="65"/>
      <c r="G14" s="65"/>
      <c r="H14" s="65"/>
      <c r="I14" s="65">
        <f t="shared" si="1"/>
        <v>0</v>
      </c>
      <c r="J14" s="65"/>
      <c r="K14" s="65"/>
      <c r="L14" s="65">
        <f t="shared" si="2"/>
        <v>0</v>
      </c>
      <c r="M14" s="65">
        <f t="shared" si="3"/>
        <v>0</v>
      </c>
      <c r="N14" s="66"/>
      <c r="O14" s="65">
        <v>11.31</v>
      </c>
      <c r="P14" s="65">
        <v>13.482</v>
      </c>
      <c r="Q14" s="65">
        <f t="shared" si="4"/>
        <v>0</v>
      </c>
      <c r="R14" s="67"/>
      <c r="S14" s="67"/>
      <c r="T14" s="67"/>
      <c r="U14" s="68"/>
      <c r="V14" s="69">
        <f t="shared" si="5"/>
        <v>0</v>
      </c>
      <c r="W14" s="69">
        <f t="shared" si="6"/>
        <v>0</v>
      </c>
      <c r="X14" s="63"/>
      <c r="Y14" s="63"/>
      <c r="Z14" s="63"/>
      <c r="AA14" s="63"/>
      <c r="AB14" s="63"/>
    </row>
    <row r="15" ht="14.25" customHeight="1">
      <c r="A15" s="55">
        <v>14.0</v>
      </c>
      <c r="B15" s="55" t="s">
        <v>23</v>
      </c>
      <c r="C15" s="56" t="s">
        <v>37</v>
      </c>
      <c r="D15" s="57">
        <v>7.0</v>
      </c>
      <c r="E15" s="57">
        <v>8.0</v>
      </c>
      <c r="F15" s="56"/>
      <c r="G15" s="57">
        <v>59.0</v>
      </c>
      <c r="H15" s="56"/>
      <c r="I15" s="56">
        <f t="shared" si="1"/>
        <v>145</v>
      </c>
      <c r="J15" s="56"/>
      <c r="K15" s="57">
        <v>204.0</v>
      </c>
      <c r="L15" s="56">
        <f t="shared" si="2"/>
        <v>0</v>
      </c>
      <c r="M15" s="56">
        <f t="shared" si="3"/>
        <v>204</v>
      </c>
      <c r="N15" s="58"/>
      <c r="O15" s="56">
        <v>11.31</v>
      </c>
      <c r="P15" s="56">
        <v>13.482</v>
      </c>
      <c r="Q15" s="56">
        <f t="shared" si="4"/>
        <v>187.026</v>
      </c>
      <c r="R15" s="59">
        <v>369318.0</v>
      </c>
      <c r="S15" s="59">
        <v>369.0</v>
      </c>
      <c r="T15" s="64"/>
      <c r="U15" s="61">
        <v>369511.0</v>
      </c>
      <c r="V15" s="62">
        <f t="shared" si="5"/>
        <v>-368949</v>
      </c>
      <c r="W15" s="62">
        <f t="shared" si="6"/>
        <v>369511</v>
      </c>
      <c r="X15" s="63"/>
      <c r="Y15" s="63"/>
      <c r="Z15" s="63"/>
      <c r="AA15" s="63"/>
      <c r="AB15" s="63"/>
    </row>
    <row r="16" ht="14.25" customHeight="1">
      <c r="A16" s="55">
        <v>15.0</v>
      </c>
      <c r="B16" s="55" t="s">
        <v>23</v>
      </c>
      <c r="C16" s="56" t="s">
        <v>38</v>
      </c>
      <c r="D16" s="57">
        <v>7.0</v>
      </c>
      <c r="E16" s="57">
        <v>8.0</v>
      </c>
      <c r="F16" s="56"/>
      <c r="G16" s="57">
        <v>40.0</v>
      </c>
      <c r="H16" s="56"/>
      <c r="I16" s="56">
        <f t="shared" si="1"/>
        <v>125</v>
      </c>
      <c r="J16" s="56"/>
      <c r="K16" s="57">
        <v>165.0</v>
      </c>
      <c r="L16" s="56">
        <f t="shared" si="2"/>
        <v>0</v>
      </c>
      <c r="M16" s="56">
        <f t="shared" si="3"/>
        <v>165</v>
      </c>
      <c r="N16" s="58"/>
      <c r="O16" s="56">
        <v>11.31</v>
      </c>
      <c r="P16" s="56">
        <v>13.482</v>
      </c>
      <c r="Q16" s="56">
        <f t="shared" si="4"/>
        <v>187.026</v>
      </c>
      <c r="R16" s="59">
        <v>360577.0</v>
      </c>
      <c r="S16" s="59">
        <v>360.0</v>
      </c>
      <c r="T16" s="64"/>
      <c r="U16" s="61">
        <v>360766.0</v>
      </c>
      <c r="V16" s="62">
        <f t="shared" si="5"/>
        <v>-360217</v>
      </c>
      <c r="W16" s="62">
        <f t="shared" si="6"/>
        <v>360766</v>
      </c>
      <c r="X16" s="63"/>
      <c r="Y16" s="63"/>
      <c r="Z16" s="63"/>
      <c r="AA16" s="63"/>
      <c r="AB16" s="63"/>
    </row>
    <row r="17" ht="14.25" customHeight="1">
      <c r="A17" s="55">
        <v>16.0</v>
      </c>
      <c r="B17" s="55" t="s">
        <v>23</v>
      </c>
      <c r="C17" s="70" t="s">
        <v>39</v>
      </c>
      <c r="D17" s="70"/>
      <c r="E17" s="70"/>
      <c r="F17" s="70"/>
      <c r="G17" s="70"/>
      <c r="H17" s="70"/>
      <c r="I17" s="70">
        <f t="shared" si="1"/>
        <v>0</v>
      </c>
      <c r="J17" s="70"/>
      <c r="K17" s="70"/>
      <c r="L17" s="70">
        <f t="shared" si="2"/>
        <v>0</v>
      </c>
      <c r="M17" s="70">
        <f t="shared" si="3"/>
        <v>0</v>
      </c>
      <c r="N17" s="71" t="s">
        <v>73</v>
      </c>
      <c r="O17" s="70">
        <v>11.31</v>
      </c>
      <c r="P17" s="70">
        <v>13.482</v>
      </c>
      <c r="Q17" s="70">
        <f t="shared" si="4"/>
        <v>0</v>
      </c>
      <c r="R17" s="72"/>
      <c r="S17" s="72"/>
      <c r="T17" s="72"/>
      <c r="U17" s="73"/>
      <c r="V17" s="74">
        <f t="shared" si="5"/>
        <v>0</v>
      </c>
      <c r="W17" s="74">
        <f t="shared" si="6"/>
        <v>0</v>
      </c>
      <c r="X17" s="63"/>
      <c r="Y17" s="63"/>
      <c r="Z17" s="63"/>
      <c r="AA17" s="63"/>
      <c r="AB17" s="63"/>
    </row>
    <row r="18" ht="14.25" customHeight="1">
      <c r="A18" s="55">
        <v>17.0</v>
      </c>
      <c r="B18" s="55" t="s">
        <v>23</v>
      </c>
      <c r="C18" s="56" t="s">
        <v>40</v>
      </c>
      <c r="D18" s="57">
        <v>8.0</v>
      </c>
      <c r="E18" s="57">
        <v>8.0</v>
      </c>
      <c r="F18" s="56"/>
      <c r="G18" s="57">
        <v>42.0</v>
      </c>
      <c r="H18" s="56"/>
      <c r="I18" s="56">
        <f t="shared" si="1"/>
        <v>55</v>
      </c>
      <c r="J18" s="56"/>
      <c r="K18" s="57">
        <v>97.0</v>
      </c>
      <c r="L18" s="56">
        <f t="shared" si="2"/>
        <v>0</v>
      </c>
      <c r="M18" s="56">
        <f t="shared" si="3"/>
        <v>97</v>
      </c>
      <c r="N18" s="58"/>
      <c r="O18" s="56">
        <v>11.31</v>
      </c>
      <c r="P18" s="56">
        <v>13.482</v>
      </c>
      <c r="Q18" s="56">
        <f t="shared" si="4"/>
        <v>198.336</v>
      </c>
      <c r="R18" s="59">
        <v>300098.0</v>
      </c>
      <c r="S18" s="59">
        <v>300.0</v>
      </c>
      <c r="T18" s="64"/>
      <c r="U18" s="61">
        <v>300301.0</v>
      </c>
      <c r="V18" s="62">
        <f t="shared" si="5"/>
        <v>-299798</v>
      </c>
      <c r="W18" s="62">
        <f t="shared" si="6"/>
        <v>300301</v>
      </c>
      <c r="X18" s="63"/>
      <c r="Y18" s="63"/>
      <c r="Z18" s="63"/>
      <c r="AA18" s="63"/>
      <c r="AB18" s="63"/>
    </row>
    <row r="19" ht="14.25" customHeight="1">
      <c r="A19" s="55">
        <v>18.0</v>
      </c>
      <c r="B19" s="55" t="s">
        <v>23</v>
      </c>
      <c r="C19" s="56" t="s">
        <v>42</v>
      </c>
      <c r="D19" s="57">
        <v>8.0</v>
      </c>
      <c r="E19" s="57">
        <v>8.0</v>
      </c>
      <c r="F19" s="56"/>
      <c r="G19" s="57">
        <v>67.0</v>
      </c>
      <c r="H19" s="56"/>
      <c r="I19" s="56">
        <f t="shared" si="1"/>
        <v>91</v>
      </c>
      <c r="J19" s="56"/>
      <c r="K19" s="57">
        <v>158.0</v>
      </c>
      <c r="L19" s="56">
        <f t="shared" si="2"/>
        <v>0</v>
      </c>
      <c r="M19" s="56">
        <f t="shared" si="3"/>
        <v>158</v>
      </c>
      <c r="N19" s="58"/>
      <c r="O19" s="56">
        <v>11.31</v>
      </c>
      <c r="P19" s="56">
        <v>13.482</v>
      </c>
      <c r="Q19" s="56">
        <f t="shared" si="4"/>
        <v>198.336</v>
      </c>
      <c r="R19" s="59">
        <v>401426.0</v>
      </c>
      <c r="S19" s="59">
        <v>401.0</v>
      </c>
      <c r="T19" s="64"/>
      <c r="U19" s="61">
        <v>401642.0</v>
      </c>
      <c r="V19" s="62">
        <f t="shared" si="5"/>
        <v>-401025</v>
      </c>
      <c r="W19" s="62">
        <f t="shared" si="6"/>
        <v>401642</v>
      </c>
      <c r="X19" s="63"/>
      <c r="Y19" s="63"/>
      <c r="Z19" s="63"/>
      <c r="AA19" s="63"/>
      <c r="AB19" s="63"/>
    </row>
    <row r="20" ht="14.25" customHeight="1">
      <c r="A20" s="55">
        <v>19.0</v>
      </c>
      <c r="B20" s="55" t="s">
        <v>23</v>
      </c>
      <c r="C20" s="56" t="s">
        <v>44</v>
      </c>
      <c r="D20" s="57">
        <v>9.0</v>
      </c>
      <c r="E20" s="57">
        <v>9.0</v>
      </c>
      <c r="F20" s="56"/>
      <c r="G20" s="57">
        <v>64.0</v>
      </c>
      <c r="H20" s="56"/>
      <c r="I20" s="56">
        <f t="shared" si="1"/>
        <v>117</v>
      </c>
      <c r="J20" s="56"/>
      <c r="K20" s="57">
        <v>181.0</v>
      </c>
      <c r="L20" s="56">
        <f t="shared" si="2"/>
        <v>0</v>
      </c>
      <c r="M20" s="56">
        <f t="shared" si="3"/>
        <v>181</v>
      </c>
      <c r="N20" s="58"/>
      <c r="O20" s="56">
        <v>11.31</v>
      </c>
      <c r="P20" s="56">
        <v>13.482</v>
      </c>
      <c r="Q20" s="56">
        <f t="shared" si="4"/>
        <v>223.128</v>
      </c>
      <c r="R20" s="59">
        <v>550438.0</v>
      </c>
      <c r="S20" s="59">
        <v>550.0</v>
      </c>
      <c r="T20" s="64"/>
      <c r="U20" s="61">
        <v>550673.0</v>
      </c>
      <c r="V20" s="62">
        <f t="shared" si="5"/>
        <v>-549888</v>
      </c>
      <c r="W20" s="62">
        <f t="shared" si="6"/>
        <v>550673</v>
      </c>
      <c r="X20" s="63"/>
      <c r="Y20" s="63"/>
      <c r="Z20" s="63"/>
      <c r="AA20" s="63"/>
      <c r="AB20" s="63"/>
    </row>
    <row r="21" ht="14.25" customHeight="1">
      <c r="A21" s="55">
        <v>20.0</v>
      </c>
      <c r="B21" s="55" t="s">
        <v>23</v>
      </c>
      <c r="C21" s="56" t="s">
        <v>45</v>
      </c>
      <c r="D21" s="57">
        <v>9.0</v>
      </c>
      <c r="E21" s="57">
        <v>9.0</v>
      </c>
      <c r="F21" s="56"/>
      <c r="G21" s="57">
        <v>60.0</v>
      </c>
      <c r="H21" s="56"/>
      <c r="I21" s="56">
        <f t="shared" si="1"/>
        <v>102</v>
      </c>
      <c r="J21" s="56"/>
      <c r="K21" s="57">
        <v>162.0</v>
      </c>
      <c r="L21" s="56">
        <f t="shared" si="2"/>
        <v>0</v>
      </c>
      <c r="M21" s="56">
        <f t="shared" si="3"/>
        <v>162</v>
      </c>
      <c r="N21" s="58"/>
      <c r="O21" s="56">
        <v>11.31</v>
      </c>
      <c r="P21" s="56">
        <v>13.482</v>
      </c>
      <c r="Q21" s="56">
        <f t="shared" si="4"/>
        <v>223.128</v>
      </c>
      <c r="R21" s="59">
        <v>427426.0</v>
      </c>
      <c r="S21" s="59">
        <v>427.0</v>
      </c>
      <c r="T21" s="64"/>
      <c r="U21" s="61">
        <v>427663.0</v>
      </c>
      <c r="V21" s="62">
        <f t="shared" si="5"/>
        <v>-426999</v>
      </c>
      <c r="W21" s="62">
        <f t="shared" si="6"/>
        <v>427663</v>
      </c>
      <c r="X21" s="63"/>
      <c r="Y21" s="63"/>
      <c r="Z21" s="63"/>
      <c r="AA21" s="63"/>
      <c r="AB21" s="63"/>
    </row>
    <row r="22" ht="14.25" customHeight="1">
      <c r="A22" s="55">
        <v>21.0</v>
      </c>
      <c r="B22" s="55" t="s">
        <v>23</v>
      </c>
      <c r="C22" s="56" t="s">
        <v>46</v>
      </c>
      <c r="D22" s="57">
        <v>8.0</v>
      </c>
      <c r="E22" s="57">
        <v>8.0</v>
      </c>
      <c r="F22" s="56"/>
      <c r="G22" s="57">
        <v>59.0</v>
      </c>
      <c r="H22" s="56"/>
      <c r="I22" s="56">
        <f t="shared" si="1"/>
        <v>93</v>
      </c>
      <c r="J22" s="57"/>
      <c r="K22" s="57">
        <v>152.0</v>
      </c>
      <c r="L22" s="56">
        <f t="shared" si="2"/>
        <v>0</v>
      </c>
      <c r="M22" s="56">
        <f t="shared" si="3"/>
        <v>152</v>
      </c>
      <c r="N22" s="58"/>
      <c r="O22" s="56">
        <v>11.31</v>
      </c>
      <c r="P22" s="56">
        <v>13.482</v>
      </c>
      <c r="Q22" s="56">
        <f t="shared" si="4"/>
        <v>198.336</v>
      </c>
      <c r="R22" s="59">
        <v>489295.0</v>
      </c>
      <c r="S22" s="59">
        <v>489.0</v>
      </c>
      <c r="T22" s="64"/>
      <c r="U22" s="61">
        <v>489506.0</v>
      </c>
      <c r="V22" s="62">
        <f t="shared" si="5"/>
        <v>-488806</v>
      </c>
      <c r="W22" s="62">
        <f t="shared" si="6"/>
        <v>489506</v>
      </c>
      <c r="X22" s="63"/>
      <c r="Y22" s="63"/>
      <c r="Z22" s="63"/>
      <c r="AA22" s="63"/>
      <c r="AB22" s="63"/>
    </row>
    <row r="23" ht="14.25" customHeight="1">
      <c r="A23" s="55">
        <v>22.0</v>
      </c>
      <c r="B23" s="55" t="s">
        <v>23</v>
      </c>
      <c r="C23" s="65" t="s">
        <v>47</v>
      </c>
      <c r="D23" s="65"/>
      <c r="E23" s="65"/>
      <c r="F23" s="65"/>
      <c r="G23" s="65"/>
      <c r="H23" s="65"/>
      <c r="I23" s="65">
        <f t="shared" si="1"/>
        <v>0</v>
      </c>
      <c r="J23" s="65"/>
      <c r="K23" s="65"/>
      <c r="L23" s="65">
        <f t="shared" si="2"/>
        <v>0</v>
      </c>
      <c r="M23" s="65">
        <f t="shared" si="3"/>
        <v>0</v>
      </c>
      <c r="N23" s="66"/>
      <c r="O23" s="65">
        <v>11.31</v>
      </c>
      <c r="P23" s="65">
        <v>13.482</v>
      </c>
      <c r="Q23" s="65">
        <f t="shared" si="4"/>
        <v>0</v>
      </c>
      <c r="R23" s="67"/>
      <c r="S23" s="67"/>
      <c r="T23" s="67"/>
      <c r="U23" s="68"/>
      <c r="V23" s="69">
        <f t="shared" si="5"/>
        <v>0</v>
      </c>
      <c r="W23" s="69">
        <f t="shared" si="6"/>
        <v>0</v>
      </c>
      <c r="X23" s="63"/>
      <c r="Y23" s="63"/>
      <c r="Z23" s="63"/>
      <c r="AA23" s="63"/>
      <c r="AB23" s="63"/>
    </row>
    <row r="24" ht="14.25" customHeight="1">
      <c r="A24" s="55">
        <v>23.0</v>
      </c>
      <c r="B24" s="55" t="s">
        <v>23</v>
      </c>
      <c r="C24" s="56" t="s">
        <v>49</v>
      </c>
      <c r="D24" s="57">
        <v>8.0</v>
      </c>
      <c r="E24" s="57">
        <v>8.0</v>
      </c>
      <c r="F24" s="56"/>
      <c r="G24" s="57">
        <v>50.0</v>
      </c>
      <c r="H24" s="56"/>
      <c r="I24" s="56">
        <f t="shared" si="1"/>
        <v>0</v>
      </c>
      <c r="J24" s="57">
        <v>68.0</v>
      </c>
      <c r="K24" s="56"/>
      <c r="L24" s="56">
        <f t="shared" si="2"/>
        <v>68</v>
      </c>
      <c r="M24" s="56">
        <f t="shared" si="3"/>
        <v>118</v>
      </c>
      <c r="N24" s="58"/>
      <c r="O24" s="56">
        <v>11.31</v>
      </c>
      <c r="P24" s="56">
        <v>13.482</v>
      </c>
      <c r="Q24" s="56">
        <f t="shared" si="4"/>
        <v>198.336</v>
      </c>
      <c r="R24" s="59">
        <v>255979.0</v>
      </c>
      <c r="S24" s="59">
        <v>255.0</v>
      </c>
      <c r="T24" s="64"/>
      <c r="U24" s="61">
        <v>256178.0</v>
      </c>
      <c r="V24" s="62">
        <f t="shared" si="5"/>
        <v>-255724</v>
      </c>
      <c r="W24" s="62">
        <f t="shared" si="6"/>
        <v>256178</v>
      </c>
      <c r="X24" s="63"/>
      <c r="Y24" s="63"/>
      <c r="Z24" s="63"/>
      <c r="AA24" s="63"/>
      <c r="AB24" s="63"/>
    </row>
    <row r="25" ht="14.25" customHeight="1">
      <c r="A25" s="55">
        <v>24.0</v>
      </c>
      <c r="B25" s="55" t="s">
        <v>23</v>
      </c>
      <c r="C25" s="56" t="s">
        <v>50</v>
      </c>
      <c r="D25" s="57">
        <v>8.0</v>
      </c>
      <c r="E25" s="57">
        <v>8.0</v>
      </c>
      <c r="F25" s="56"/>
      <c r="G25" s="57">
        <v>68.0</v>
      </c>
      <c r="H25" s="56"/>
      <c r="I25" s="56">
        <f t="shared" si="1"/>
        <v>80</v>
      </c>
      <c r="J25" s="56"/>
      <c r="K25" s="57">
        <v>148.0</v>
      </c>
      <c r="L25" s="56">
        <f t="shared" si="2"/>
        <v>0</v>
      </c>
      <c r="M25" s="56">
        <f t="shared" si="3"/>
        <v>148</v>
      </c>
      <c r="N25" s="58"/>
      <c r="O25" s="56">
        <v>11.31</v>
      </c>
      <c r="P25" s="56">
        <v>13.482</v>
      </c>
      <c r="Q25" s="56">
        <f t="shared" si="4"/>
        <v>198.336</v>
      </c>
      <c r="R25" s="59">
        <v>255011.0</v>
      </c>
      <c r="S25" s="59">
        <v>255.0</v>
      </c>
      <c r="T25" s="64"/>
      <c r="U25" s="61">
        <v>255209.0</v>
      </c>
      <c r="V25" s="62">
        <f t="shared" si="5"/>
        <v>-254756</v>
      </c>
      <c r="W25" s="62">
        <f t="shared" si="6"/>
        <v>255209</v>
      </c>
      <c r="X25" s="63"/>
      <c r="Y25" s="63"/>
      <c r="Z25" s="63"/>
      <c r="AA25" s="63"/>
      <c r="AB25" s="63"/>
    </row>
    <row r="26" ht="14.25" customHeight="1">
      <c r="A26" s="55">
        <v>25.0</v>
      </c>
      <c r="B26" s="55" t="s">
        <v>23</v>
      </c>
      <c r="C26" s="56" t="s">
        <v>51</v>
      </c>
      <c r="D26" s="57">
        <v>8.0</v>
      </c>
      <c r="E26" s="57">
        <v>8.0</v>
      </c>
      <c r="F26" s="56"/>
      <c r="G26" s="57">
        <v>55.0</v>
      </c>
      <c r="H26" s="56"/>
      <c r="I26" s="56">
        <f t="shared" si="1"/>
        <v>159</v>
      </c>
      <c r="J26" s="56"/>
      <c r="K26" s="57">
        <v>214.0</v>
      </c>
      <c r="L26" s="56">
        <f t="shared" si="2"/>
        <v>0</v>
      </c>
      <c r="M26" s="56">
        <f t="shared" si="3"/>
        <v>214</v>
      </c>
      <c r="N26" s="58"/>
      <c r="O26" s="56">
        <v>11.31</v>
      </c>
      <c r="P26" s="56">
        <v>13.482</v>
      </c>
      <c r="Q26" s="56">
        <f t="shared" si="4"/>
        <v>198.336</v>
      </c>
      <c r="R26" s="59">
        <v>257340.0</v>
      </c>
      <c r="S26" s="59">
        <v>257.0</v>
      </c>
      <c r="T26" s="64"/>
      <c r="U26" s="61">
        <v>257543.0</v>
      </c>
      <c r="V26" s="62">
        <f t="shared" si="5"/>
        <v>-257083</v>
      </c>
      <c r="W26" s="62">
        <f t="shared" si="6"/>
        <v>257543</v>
      </c>
      <c r="X26" s="63"/>
      <c r="Y26" s="63"/>
      <c r="Z26" s="63"/>
      <c r="AA26" s="63"/>
      <c r="AB26" s="63"/>
    </row>
    <row r="27" ht="14.25" customHeight="1">
      <c r="A27" s="55">
        <v>26.0</v>
      </c>
      <c r="B27" s="55" t="s">
        <v>23</v>
      </c>
      <c r="C27" s="65" t="s">
        <v>52</v>
      </c>
      <c r="D27" s="65"/>
      <c r="E27" s="65"/>
      <c r="F27" s="65"/>
      <c r="G27" s="65"/>
      <c r="H27" s="65"/>
      <c r="I27" s="65">
        <f t="shared" si="1"/>
        <v>0</v>
      </c>
      <c r="J27" s="65"/>
      <c r="K27" s="65"/>
      <c r="L27" s="65">
        <f t="shared" si="2"/>
        <v>0</v>
      </c>
      <c r="M27" s="65">
        <f t="shared" si="3"/>
        <v>0</v>
      </c>
      <c r="N27" s="66"/>
      <c r="O27" s="65">
        <v>11.31</v>
      </c>
      <c r="P27" s="65">
        <v>13.482</v>
      </c>
      <c r="Q27" s="65">
        <f t="shared" si="4"/>
        <v>0</v>
      </c>
      <c r="R27" s="67"/>
      <c r="S27" s="67"/>
      <c r="T27" s="67"/>
      <c r="U27" s="68"/>
      <c r="V27" s="69">
        <f t="shared" si="5"/>
        <v>0</v>
      </c>
      <c r="W27" s="69">
        <f t="shared" si="6"/>
        <v>0</v>
      </c>
      <c r="X27" s="63"/>
      <c r="Y27" s="63"/>
      <c r="Z27" s="63"/>
      <c r="AA27" s="63"/>
      <c r="AB27" s="63"/>
    </row>
    <row r="28" ht="14.25" customHeight="1">
      <c r="A28" s="55">
        <v>27.0</v>
      </c>
      <c r="B28" s="55" t="s">
        <v>23</v>
      </c>
      <c r="C28" s="56" t="s">
        <v>53</v>
      </c>
      <c r="D28" s="57">
        <v>8.0</v>
      </c>
      <c r="E28" s="57">
        <v>8.0</v>
      </c>
      <c r="F28" s="56"/>
      <c r="G28" s="57">
        <v>41.0</v>
      </c>
      <c r="H28" s="56"/>
      <c r="I28" s="56">
        <f t="shared" si="1"/>
        <v>81</v>
      </c>
      <c r="J28" s="56"/>
      <c r="K28" s="57">
        <v>122.0</v>
      </c>
      <c r="L28" s="56">
        <f t="shared" si="2"/>
        <v>0</v>
      </c>
      <c r="M28" s="56">
        <f t="shared" si="3"/>
        <v>122</v>
      </c>
      <c r="N28" s="58"/>
      <c r="O28" s="56">
        <v>11.31</v>
      </c>
      <c r="P28" s="56">
        <v>13.482</v>
      </c>
      <c r="Q28" s="56">
        <f t="shared" si="4"/>
        <v>198.336</v>
      </c>
      <c r="R28" s="59">
        <v>452262.0</v>
      </c>
      <c r="S28" s="59">
        <v>452.0</v>
      </c>
      <c r="T28" s="64"/>
      <c r="U28" s="61">
        <v>452472.0</v>
      </c>
      <c r="V28" s="62">
        <f t="shared" si="5"/>
        <v>-451810</v>
      </c>
      <c r="W28" s="62">
        <f t="shared" si="6"/>
        <v>452472</v>
      </c>
      <c r="X28" s="63"/>
      <c r="Y28" s="63"/>
      <c r="Z28" s="63"/>
      <c r="AA28" s="63"/>
      <c r="AB28" s="63"/>
    </row>
    <row r="29" ht="14.25" customHeight="1">
      <c r="A29" s="55">
        <v>28.0</v>
      </c>
      <c r="B29" s="55" t="s">
        <v>23</v>
      </c>
      <c r="C29" s="56" t="s">
        <v>54</v>
      </c>
      <c r="D29" s="57">
        <v>8.0</v>
      </c>
      <c r="E29" s="57">
        <v>8.0</v>
      </c>
      <c r="F29" s="56"/>
      <c r="G29" s="57">
        <v>36.0</v>
      </c>
      <c r="H29" s="56"/>
      <c r="I29" s="56">
        <f t="shared" si="1"/>
        <v>124</v>
      </c>
      <c r="J29" s="56"/>
      <c r="K29" s="57">
        <v>160.0</v>
      </c>
      <c r="L29" s="56">
        <f t="shared" si="2"/>
        <v>0</v>
      </c>
      <c r="M29" s="56">
        <f t="shared" si="3"/>
        <v>160</v>
      </c>
      <c r="N29" s="58"/>
      <c r="O29" s="56">
        <v>11.31</v>
      </c>
      <c r="P29" s="56">
        <v>13.482</v>
      </c>
      <c r="Q29" s="56">
        <f t="shared" si="4"/>
        <v>198.336</v>
      </c>
      <c r="R29" s="59">
        <v>266330.0</v>
      </c>
      <c r="S29" s="59">
        <v>266.0</v>
      </c>
      <c r="T29" s="64"/>
      <c r="U29" s="61">
        <v>266530.0</v>
      </c>
      <c r="V29" s="62">
        <f t="shared" si="5"/>
        <v>-266064</v>
      </c>
      <c r="W29" s="62">
        <f t="shared" si="6"/>
        <v>266530</v>
      </c>
      <c r="X29" s="63"/>
      <c r="Y29" s="63"/>
      <c r="Z29" s="63"/>
      <c r="AA29" s="63"/>
      <c r="AB29" s="63"/>
    </row>
    <row r="30" ht="14.25" customHeight="1">
      <c r="A30" s="55">
        <v>29.0</v>
      </c>
      <c r="B30" s="55" t="s">
        <v>23</v>
      </c>
      <c r="C30" s="56" t="s">
        <v>55</v>
      </c>
      <c r="D30" s="57">
        <v>8.0</v>
      </c>
      <c r="E30" s="57">
        <v>8.0</v>
      </c>
      <c r="F30" s="56"/>
      <c r="G30" s="57">
        <v>88.0</v>
      </c>
      <c r="H30" s="56"/>
      <c r="I30" s="56">
        <f t="shared" si="1"/>
        <v>64</v>
      </c>
      <c r="J30" s="56"/>
      <c r="K30" s="57">
        <v>152.0</v>
      </c>
      <c r="L30" s="56">
        <f t="shared" si="2"/>
        <v>0</v>
      </c>
      <c r="M30" s="56">
        <f t="shared" si="3"/>
        <v>152</v>
      </c>
      <c r="N30" s="58"/>
      <c r="O30" s="56">
        <v>11.31</v>
      </c>
      <c r="P30" s="56">
        <v>13.482</v>
      </c>
      <c r="Q30" s="56">
        <f t="shared" si="4"/>
        <v>198.336</v>
      </c>
      <c r="R30" s="59">
        <v>269198.0</v>
      </c>
      <c r="S30" s="59">
        <v>269.0</v>
      </c>
      <c r="T30" s="64"/>
      <c r="U30" s="61">
        <v>269403.0</v>
      </c>
      <c r="V30" s="62">
        <f t="shared" si="5"/>
        <v>-268929</v>
      </c>
      <c r="W30" s="62">
        <f t="shared" si="6"/>
        <v>269403</v>
      </c>
      <c r="X30" s="63"/>
      <c r="Y30" s="63"/>
      <c r="Z30" s="63"/>
      <c r="AA30" s="63"/>
      <c r="AB30" s="63"/>
    </row>
    <row r="31" ht="14.25" customHeight="1">
      <c r="A31" s="55">
        <v>30.0</v>
      </c>
      <c r="B31" s="55" t="s">
        <v>23</v>
      </c>
      <c r="C31" s="65" t="s">
        <v>56</v>
      </c>
      <c r="D31" s="65"/>
      <c r="E31" s="65"/>
      <c r="F31" s="65"/>
      <c r="G31" s="65"/>
      <c r="H31" s="65"/>
      <c r="I31" s="65">
        <f t="shared" si="1"/>
        <v>0</v>
      </c>
      <c r="J31" s="65"/>
      <c r="K31" s="65"/>
      <c r="L31" s="65">
        <f t="shared" si="2"/>
        <v>0</v>
      </c>
      <c r="M31" s="65">
        <f t="shared" si="3"/>
        <v>0</v>
      </c>
      <c r="N31" s="66"/>
      <c r="O31" s="65">
        <v>11.31</v>
      </c>
      <c r="P31" s="65">
        <v>13.482</v>
      </c>
      <c r="Q31" s="65">
        <f t="shared" si="4"/>
        <v>0</v>
      </c>
      <c r="R31" s="67"/>
      <c r="S31" s="67"/>
      <c r="T31" s="67"/>
      <c r="U31" s="68"/>
      <c r="V31" s="69">
        <f t="shared" si="5"/>
        <v>0</v>
      </c>
      <c r="W31" s="69">
        <f t="shared" si="6"/>
        <v>0</v>
      </c>
      <c r="X31" s="63"/>
      <c r="Y31" s="63"/>
      <c r="Z31" s="63"/>
      <c r="AA31" s="63"/>
      <c r="AB31" s="63"/>
    </row>
    <row r="32" ht="14.25" customHeight="1">
      <c r="A32" s="75"/>
      <c r="B32" s="75"/>
      <c r="C32" s="63"/>
      <c r="D32" s="76" t="s">
        <v>57</v>
      </c>
      <c r="E32" s="77">
        <f>SUM(M:M)</f>
        <v>3627</v>
      </c>
      <c r="F32" s="63"/>
      <c r="G32" s="63"/>
      <c r="H32" s="63"/>
      <c r="I32" s="63"/>
      <c r="J32" s="63"/>
      <c r="K32" s="63"/>
      <c r="L32" s="63"/>
      <c r="M32" s="63"/>
      <c r="N32" s="78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</row>
    <row r="33" ht="14.25" customHeight="1">
      <c r="A33" s="75"/>
      <c r="B33" s="75"/>
      <c r="C33" s="63"/>
      <c r="D33" s="76" t="s">
        <v>58</v>
      </c>
      <c r="E33" s="77">
        <f>SUM(Q:Q)</f>
        <v>4509.522</v>
      </c>
      <c r="F33" s="63"/>
      <c r="G33" s="63"/>
      <c r="H33" s="63"/>
      <c r="I33" s="63"/>
      <c r="J33" s="63"/>
      <c r="K33" s="63"/>
      <c r="L33" s="63"/>
      <c r="M33" s="63"/>
      <c r="N33" s="78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</row>
    <row r="34" ht="14.25" customHeight="1">
      <c r="A34" s="75"/>
      <c r="B34" s="75"/>
      <c r="C34" s="63"/>
      <c r="D34" s="76" t="s">
        <v>59</v>
      </c>
      <c r="E34" s="77">
        <f>E32/E33</f>
        <v>0.8042981052</v>
      </c>
      <c r="F34" s="63"/>
      <c r="G34" s="63"/>
      <c r="H34" s="63"/>
      <c r="I34" s="63"/>
      <c r="J34" s="63"/>
      <c r="K34" s="63"/>
      <c r="L34" s="63"/>
      <c r="M34" s="63"/>
      <c r="N34" s="78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</row>
    <row r="35" ht="14.25" customHeight="1">
      <c r="A35" s="75"/>
      <c r="B35" s="75"/>
      <c r="C35" s="63"/>
      <c r="D35" s="79"/>
      <c r="E35" s="80"/>
      <c r="F35" s="63"/>
      <c r="G35" s="63"/>
      <c r="H35" s="63"/>
      <c r="I35" s="63"/>
      <c r="J35" s="63"/>
      <c r="K35" s="63"/>
      <c r="L35" s="63"/>
      <c r="M35" s="63"/>
      <c r="N35" s="78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</row>
    <row r="36" ht="14.25" customHeight="1">
      <c r="A36" s="75"/>
      <c r="B36" s="75"/>
      <c r="C36" s="63"/>
      <c r="D36" s="81" t="s">
        <v>60</v>
      </c>
      <c r="E36" s="82">
        <f>AVERAGEIF(Q:Q,"&gt;0",Q:Q)</f>
        <v>196.0661739</v>
      </c>
      <c r="F36" s="63"/>
      <c r="G36" s="63"/>
      <c r="H36" s="63"/>
      <c r="I36" s="63"/>
      <c r="J36" s="63"/>
      <c r="K36" s="63"/>
      <c r="L36" s="63"/>
      <c r="M36" s="63"/>
      <c r="N36" s="78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</row>
    <row r="37" ht="14.25" customHeight="1">
      <c r="A37" s="75"/>
      <c r="B37" s="75"/>
      <c r="C37" s="63"/>
      <c r="D37" s="79"/>
      <c r="E37" s="80"/>
      <c r="F37" s="63"/>
      <c r="G37" s="63"/>
      <c r="H37" s="63"/>
      <c r="I37" s="63"/>
      <c r="J37" s="63"/>
      <c r="K37" s="63"/>
      <c r="L37" s="63"/>
      <c r="M37" s="63"/>
      <c r="N37" s="78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</row>
    <row r="38" ht="14.25" customHeight="1">
      <c r="A38" s="75"/>
      <c r="B38" s="75"/>
      <c r="C38" s="63"/>
      <c r="D38" s="83" t="s">
        <v>61</v>
      </c>
      <c r="E38" s="84">
        <f>SUM(G:G)</f>
        <v>1313</v>
      </c>
      <c r="F38" s="63"/>
      <c r="G38" s="63"/>
      <c r="H38" s="63"/>
      <c r="I38" s="63"/>
      <c r="J38" s="63"/>
      <c r="K38" s="63"/>
      <c r="L38" s="63"/>
      <c r="M38" s="63"/>
      <c r="N38" s="78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</row>
    <row r="39" ht="14.25" customHeight="1">
      <c r="A39" s="75"/>
      <c r="B39" s="75"/>
      <c r="C39" s="63"/>
      <c r="D39" s="83" t="s">
        <v>62</v>
      </c>
      <c r="E39" s="84">
        <f>SUM(H:H)</f>
        <v>0</v>
      </c>
      <c r="F39" s="63"/>
      <c r="G39" s="63"/>
      <c r="H39" s="63"/>
      <c r="I39" s="63"/>
      <c r="J39" s="63"/>
      <c r="K39" s="63"/>
      <c r="L39" s="63"/>
      <c r="M39" s="63"/>
      <c r="N39" s="78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</row>
    <row r="40" ht="14.25" customHeight="1">
      <c r="A40" s="75"/>
      <c r="B40" s="75"/>
      <c r="C40" s="63"/>
      <c r="D40" s="83" t="s">
        <v>63</v>
      </c>
      <c r="E40" s="84">
        <f>E39+E38</f>
        <v>1313</v>
      </c>
      <c r="F40" s="63"/>
      <c r="G40" s="63"/>
      <c r="H40" s="63"/>
      <c r="I40" s="63"/>
      <c r="J40" s="63"/>
      <c r="K40" s="63"/>
      <c r="L40" s="63"/>
      <c r="M40" s="63"/>
      <c r="N40" s="78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</row>
    <row r="41" ht="14.25" customHeight="1">
      <c r="A41" s="75"/>
      <c r="B41" s="75"/>
      <c r="C41" s="63"/>
      <c r="D41" s="79"/>
      <c r="E41" s="80"/>
      <c r="F41" s="63"/>
      <c r="G41" s="63"/>
      <c r="H41" s="63"/>
      <c r="I41" s="63"/>
      <c r="J41" s="63"/>
      <c r="K41" s="63"/>
      <c r="L41" s="63"/>
      <c r="M41" s="63"/>
      <c r="N41" s="78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</row>
    <row r="42" ht="14.25" customHeight="1">
      <c r="A42" s="75"/>
      <c r="B42" s="75"/>
      <c r="C42" s="63"/>
      <c r="D42" s="49" t="s">
        <v>64</v>
      </c>
      <c r="E42" s="85">
        <f>SUM(I:I)</f>
        <v>2246</v>
      </c>
      <c r="F42" s="63"/>
      <c r="G42" s="63"/>
      <c r="H42" s="63"/>
      <c r="I42" s="63"/>
      <c r="J42" s="63"/>
      <c r="K42" s="63"/>
      <c r="L42" s="63"/>
      <c r="M42" s="63"/>
      <c r="N42" s="78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</row>
    <row r="43" ht="14.25" customHeight="1">
      <c r="A43" s="75"/>
      <c r="B43" s="75"/>
      <c r="C43" s="63"/>
      <c r="D43" s="49" t="s">
        <v>65</v>
      </c>
      <c r="E43" s="85">
        <f>SUM(J:J)</f>
        <v>68</v>
      </c>
      <c r="F43" s="63"/>
      <c r="G43" s="63"/>
      <c r="H43" s="63"/>
      <c r="I43" s="63"/>
      <c r="J43" s="63"/>
      <c r="K43" s="63"/>
      <c r="L43" s="63"/>
      <c r="M43" s="63"/>
      <c r="N43" s="78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</row>
    <row r="44" ht="14.25" customHeight="1">
      <c r="A44" s="75"/>
      <c r="B44" s="75"/>
      <c r="C44" s="63"/>
      <c r="D44" s="49" t="s">
        <v>66</v>
      </c>
      <c r="E44" s="85">
        <f>E43+E42</f>
        <v>2314</v>
      </c>
      <c r="F44" s="63"/>
      <c r="G44" s="63"/>
      <c r="H44" s="63"/>
      <c r="I44" s="63"/>
      <c r="J44" s="63"/>
      <c r="K44" s="63"/>
      <c r="L44" s="63"/>
      <c r="M44" s="63"/>
      <c r="N44" s="78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</row>
    <row r="45" ht="14.25" customHeight="1">
      <c r="A45" s="75"/>
      <c r="B45" s="75"/>
      <c r="C45" s="63"/>
      <c r="D45" s="79"/>
      <c r="E45" s="80"/>
      <c r="F45" s="63"/>
      <c r="G45" s="63"/>
      <c r="H45" s="63"/>
      <c r="I45" s="63"/>
      <c r="J45" s="63"/>
      <c r="K45" s="63"/>
      <c r="L45" s="63"/>
      <c r="M45" s="63"/>
      <c r="N45" s="78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</row>
    <row r="46" ht="14.25" customHeight="1">
      <c r="A46" s="75"/>
      <c r="B46" s="75"/>
      <c r="C46" s="63"/>
      <c r="D46" s="86" t="s">
        <v>10</v>
      </c>
      <c r="E46" s="87">
        <f t="shared" ref="E46:E47" si="7">E42+E38</f>
        <v>3559</v>
      </c>
      <c r="F46" s="63"/>
      <c r="G46" s="63"/>
      <c r="H46" s="63"/>
      <c r="I46" s="63"/>
      <c r="J46" s="63"/>
      <c r="K46" s="63"/>
      <c r="L46" s="63"/>
      <c r="M46" s="63"/>
      <c r="N46" s="78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</row>
    <row r="47" ht="14.25" customHeight="1">
      <c r="A47" s="75"/>
      <c r="B47" s="75"/>
      <c r="C47" s="63"/>
      <c r="D47" s="86" t="s">
        <v>11</v>
      </c>
      <c r="E47" s="87">
        <f t="shared" si="7"/>
        <v>68</v>
      </c>
      <c r="F47" s="63"/>
      <c r="G47" s="63"/>
      <c r="H47" s="63"/>
      <c r="I47" s="63"/>
      <c r="J47" s="63"/>
      <c r="K47" s="63"/>
      <c r="L47" s="63"/>
      <c r="M47" s="63"/>
      <c r="N47" s="78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</row>
    <row r="48" ht="14.25" customHeight="1">
      <c r="A48" s="75"/>
      <c r="B48" s="75"/>
      <c r="C48" s="63"/>
      <c r="D48" s="80"/>
      <c r="E48" s="80"/>
      <c r="F48" s="63"/>
      <c r="G48" s="63"/>
      <c r="H48" s="63"/>
      <c r="I48" s="63"/>
      <c r="J48" s="63"/>
      <c r="K48" s="63"/>
      <c r="L48" s="63"/>
      <c r="M48" s="63"/>
      <c r="N48" s="78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</row>
    <row r="49" ht="14.25" customHeight="1">
      <c r="A49" s="75"/>
      <c r="B49" s="75"/>
      <c r="C49" s="63"/>
      <c r="D49" s="80"/>
      <c r="E49" s="80"/>
      <c r="F49" s="63"/>
      <c r="G49" s="63"/>
      <c r="H49" s="63"/>
      <c r="I49" s="63"/>
      <c r="J49" s="63"/>
      <c r="K49" s="63"/>
      <c r="L49" s="63"/>
      <c r="M49" s="63"/>
      <c r="N49" s="78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</row>
    <row r="50" ht="14.25" customHeight="1">
      <c r="A50" s="75"/>
      <c r="B50" s="75"/>
      <c r="C50" s="63"/>
      <c r="D50" s="80"/>
      <c r="E50" s="80"/>
      <c r="F50" s="63"/>
      <c r="G50" s="63"/>
      <c r="H50" s="63"/>
      <c r="I50" s="63"/>
      <c r="J50" s="63"/>
      <c r="K50" s="63"/>
      <c r="L50" s="63"/>
      <c r="M50" s="63"/>
      <c r="N50" s="78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</row>
    <row r="51" ht="14.25" customHeight="1">
      <c r="A51" s="75"/>
      <c r="B51" s="75"/>
      <c r="C51" s="63"/>
      <c r="D51" s="80"/>
      <c r="E51" s="80"/>
      <c r="F51" s="63"/>
      <c r="G51" s="63"/>
      <c r="H51" s="63"/>
      <c r="I51" s="63"/>
      <c r="J51" s="63"/>
      <c r="K51" s="63"/>
      <c r="L51" s="63"/>
      <c r="M51" s="63"/>
      <c r="N51" s="78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</row>
    <row r="52" ht="14.25" customHeight="1">
      <c r="A52" s="75"/>
      <c r="B52" s="75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78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</row>
    <row r="53" ht="14.25" customHeight="1">
      <c r="A53" s="75"/>
      <c r="B53" s="75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78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</row>
    <row r="54" ht="14.25" customHeight="1">
      <c r="A54" s="75"/>
      <c r="B54" s="75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78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</row>
    <row r="55" ht="14.25" customHeight="1">
      <c r="A55" s="75"/>
      <c r="B55" s="75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78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</row>
    <row r="56" ht="14.25" customHeight="1">
      <c r="A56" s="75"/>
      <c r="B56" s="75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78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</row>
    <row r="57" ht="14.25" customHeight="1">
      <c r="A57" s="75"/>
      <c r="B57" s="75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78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</row>
    <row r="58" ht="14.25" customHeight="1">
      <c r="A58" s="75"/>
      <c r="B58" s="75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78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</row>
    <row r="59" ht="14.25" customHeight="1">
      <c r="A59" s="75"/>
      <c r="B59" s="75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78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</row>
    <row r="60" ht="14.25" customHeight="1">
      <c r="A60" s="75"/>
      <c r="B60" s="75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78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</row>
    <row r="61" ht="14.25" customHeight="1">
      <c r="A61" s="75"/>
      <c r="B61" s="75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78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</row>
    <row r="62" ht="14.25" customHeight="1">
      <c r="A62" s="75"/>
      <c r="B62" s="75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78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</row>
    <row r="63" ht="14.25" customHeight="1">
      <c r="A63" s="75"/>
      <c r="B63" s="75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78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</row>
    <row r="64" ht="14.25" customHeight="1">
      <c r="A64" s="75"/>
      <c r="B64" s="75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78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</row>
    <row r="65" ht="14.25" customHeight="1">
      <c r="A65" s="75"/>
      <c r="B65" s="75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78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</row>
    <row r="66" ht="14.25" customHeight="1">
      <c r="A66" s="75"/>
      <c r="B66" s="75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78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</row>
    <row r="67" ht="14.25" customHeight="1">
      <c r="A67" s="75"/>
      <c r="B67" s="75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78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</row>
    <row r="68" ht="14.25" customHeight="1">
      <c r="A68" s="75"/>
      <c r="B68" s="75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78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</row>
    <row r="69" ht="14.25" customHeight="1">
      <c r="A69" s="75"/>
      <c r="B69" s="75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78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</row>
    <row r="70" ht="14.25" customHeight="1">
      <c r="A70" s="75"/>
      <c r="B70" s="75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78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</row>
    <row r="71" ht="14.25" customHeight="1">
      <c r="A71" s="75"/>
      <c r="B71" s="75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78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</row>
    <row r="72" ht="14.25" customHeight="1">
      <c r="A72" s="75"/>
      <c r="B72" s="75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78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</row>
    <row r="73" ht="14.25" customHeight="1">
      <c r="A73" s="75"/>
      <c r="B73" s="75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78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</row>
    <row r="74" ht="14.25" customHeight="1">
      <c r="A74" s="75"/>
      <c r="B74" s="75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78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</row>
    <row r="75" ht="14.25" customHeight="1">
      <c r="A75" s="75"/>
      <c r="B75" s="75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78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</row>
    <row r="76" ht="14.25" customHeight="1">
      <c r="A76" s="75"/>
      <c r="B76" s="75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78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</row>
    <row r="77" ht="14.25" customHeight="1">
      <c r="A77" s="75"/>
      <c r="B77" s="75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78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</row>
    <row r="78" ht="14.25" customHeight="1">
      <c r="A78" s="75"/>
      <c r="B78" s="75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78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</row>
    <row r="79" ht="14.25" customHeight="1">
      <c r="A79" s="75"/>
      <c r="B79" s="75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78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</row>
    <row r="80" ht="14.25" customHeight="1">
      <c r="A80" s="75"/>
      <c r="B80" s="75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78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</row>
    <row r="81" ht="14.25" customHeight="1">
      <c r="A81" s="75"/>
      <c r="B81" s="75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78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</row>
    <row r="82" ht="14.25" customHeight="1">
      <c r="A82" s="75"/>
      <c r="B82" s="75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78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</row>
    <row r="83" ht="14.25" customHeight="1">
      <c r="A83" s="75"/>
      <c r="B83" s="75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78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</row>
    <row r="84" ht="14.25" customHeight="1">
      <c r="A84" s="75"/>
      <c r="B84" s="75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78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</row>
    <row r="85" ht="14.25" customHeight="1">
      <c r="A85" s="75"/>
      <c r="B85" s="75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78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</row>
    <row r="86" ht="14.25" customHeight="1">
      <c r="A86" s="75"/>
      <c r="B86" s="75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78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</row>
    <row r="87" ht="14.25" customHeight="1">
      <c r="A87" s="75"/>
      <c r="B87" s="75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78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</row>
    <row r="88" ht="14.25" customHeight="1">
      <c r="A88" s="75"/>
      <c r="B88" s="75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78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</row>
    <row r="89" ht="14.25" customHeight="1">
      <c r="A89" s="75"/>
      <c r="B89" s="75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78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</row>
    <row r="90" ht="14.25" customHeight="1">
      <c r="A90" s="75"/>
      <c r="B90" s="75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78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</row>
    <row r="91" ht="14.25" customHeight="1">
      <c r="A91" s="75"/>
      <c r="B91" s="75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78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</row>
    <row r="92" ht="14.25" customHeight="1">
      <c r="A92" s="75"/>
      <c r="B92" s="75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78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</row>
    <row r="93" ht="14.25" customHeight="1">
      <c r="A93" s="75"/>
      <c r="B93" s="75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78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</row>
    <row r="94" ht="14.25" customHeight="1">
      <c r="A94" s="75"/>
      <c r="B94" s="75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78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</row>
    <row r="95" ht="14.25" customHeight="1">
      <c r="A95" s="75"/>
      <c r="B95" s="75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78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</row>
    <row r="96" ht="14.25" customHeight="1">
      <c r="A96" s="75"/>
      <c r="B96" s="75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78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</row>
    <row r="97" ht="14.25" customHeight="1">
      <c r="A97" s="75"/>
      <c r="B97" s="75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78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</row>
    <row r="98" ht="14.25" customHeight="1">
      <c r="A98" s="75"/>
      <c r="B98" s="75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78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</row>
    <row r="99" ht="14.25" customHeight="1">
      <c r="A99" s="75"/>
      <c r="B99" s="75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78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</row>
    <row r="100" ht="14.25" customHeight="1">
      <c r="A100" s="75"/>
      <c r="B100" s="75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78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</row>
    <row r="101" ht="14.25" customHeight="1">
      <c r="A101" s="75"/>
      <c r="B101" s="75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78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</row>
    <row r="102" ht="14.25" customHeight="1">
      <c r="A102" s="75"/>
      <c r="B102" s="75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78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</row>
    <row r="103" ht="14.25" customHeight="1">
      <c r="A103" s="75"/>
      <c r="B103" s="75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78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</row>
    <row r="104" ht="14.25" customHeight="1">
      <c r="A104" s="75"/>
      <c r="B104" s="75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78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</row>
    <row r="105" ht="14.25" customHeight="1">
      <c r="A105" s="75"/>
      <c r="B105" s="75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78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</row>
    <row r="106" ht="14.25" customHeight="1">
      <c r="A106" s="75"/>
      <c r="B106" s="75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78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</row>
    <row r="107" ht="14.25" customHeight="1">
      <c r="A107" s="75"/>
      <c r="B107" s="75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78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</row>
    <row r="108" ht="14.25" customHeight="1">
      <c r="A108" s="75"/>
      <c r="B108" s="75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78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</row>
    <row r="109" ht="14.25" customHeight="1">
      <c r="A109" s="75"/>
      <c r="B109" s="75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78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</row>
    <row r="110" ht="14.25" customHeight="1">
      <c r="A110" s="75"/>
      <c r="B110" s="75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78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</row>
    <row r="111" ht="14.25" customHeight="1">
      <c r="A111" s="75"/>
      <c r="B111" s="75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78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</row>
    <row r="112" ht="14.25" customHeight="1">
      <c r="A112" s="75"/>
      <c r="B112" s="75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78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</row>
    <row r="113" ht="14.25" customHeight="1">
      <c r="A113" s="75"/>
      <c r="B113" s="75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78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</row>
    <row r="114" ht="14.25" customHeight="1">
      <c r="A114" s="75"/>
      <c r="B114" s="75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78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</row>
    <row r="115" ht="14.25" customHeight="1">
      <c r="A115" s="75"/>
      <c r="B115" s="75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78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</row>
    <row r="116" ht="14.25" customHeight="1">
      <c r="A116" s="75"/>
      <c r="B116" s="75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78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</row>
    <row r="117" ht="14.25" customHeight="1">
      <c r="A117" s="75"/>
      <c r="B117" s="75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78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</row>
    <row r="118" ht="14.25" customHeight="1">
      <c r="A118" s="75"/>
      <c r="B118" s="75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78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</row>
    <row r="119" ht="14.25" customHeight="1">
      <c r="A119" s="75"/>
      <c r="B119" s="75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78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</row>
    <row r="120" ht="14.25" customHeight="1">
      <c r="A120" s="75"/>
      <c r="B120" s="75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78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</row>
    <row r="121" ht="14.25" customHeight="1">
      <c r="A121" s="75"/>
      <c r="B121" s="75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78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</row>
    <row r="122" ht="14.25" customHeight="1">
      <c r="A122" s="75"/>
      <c r="B122" s="75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78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</row>
    <row r="123" ht="14.25" customHeight="1">
      <c r="A123" s="75"/>
      <c r="B123" s="75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78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</row>
    <row r="124" ht="14.25" customHeight="1">
      <c r="A124" s="75"/>
      <c r="B124" s="75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78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</row>
    <row r="125" ht="14.25" customHeight="1">
      <c r="A125" s="75"/>
      <c r="B125" s="75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78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</row>
    <row r="126" ht="14.25" customHeight="1">
      <c r="A126" s="75"/>
      <c r="B126" s="75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78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</row>
    <row r="127" ht="14.25" customHeight="1">
      <c r="A127" s="75"/>
      <c r="B127" s="75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78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</row>
    <row r="128" ht="14.25" customHeight="1">
      <c r="A128" s="75"/>
      <c r="B128" s="75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78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</row>
    <row r="129" ht="14.25" customHeight="1">
      <c r="A129" s="75"/>
      <c r="B129" s="75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78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</row>
    <row r="130" ht="14.25" customHeight="1">
      <c r="A130" s="75"/>
      <c r="B130" s="75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78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</row>
    <row r="131" ht="14.25" customHeight="1">
      <c r="A131" s="75"/>
      <c r="B131" s="75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78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</row>
    <row r="132" ht="14.25" customHeight="1">
      <c r="A132" s="75"/>
      <c r="B132" s="75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78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</row>
    <row r="133" ht="14.25" customHeight="1">
      <c r="A133" s="75"/>
      <c r="B133" s="75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78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</row>
    <row r="134" ht="14.25" customHeight="1">
      <c r="A134" s="75"/>
      <c r="B134" s="75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78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</row>
    <row r="135" ht="14.25" customHeight="1">
      <c r="A135" s="75"/>
      <c r="B135" s="75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78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</row>
    <row r="136" ht="14.25" customHeight="1">
      <c r="A136" s="75"/>
      <c r="B136" s="75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78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</row>
    <row r="137" ht="14.25" customHeight="1">
      <c r="A137" s="75"/>
      <c r="B137" s="75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78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</row>
    <row r="138" ht="14.25" customHeight="1">
      <c r="A138" s="75"/>
      <c r="B138" s="75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78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</row>
    <row r="139" ht="14.25" customHeight="1">
      <c r="A139" s="75"/>
      <c r="B139" s="75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78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</row>
    <row r="140" ht="14.25" customHeight="1">
      <c r="A140" s="75"/>
      <c r="B140" s="75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78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</row>
    <row r="141" ht="14.25" customHeight="1">
      <c r="A141" s="75"/>
      <c r="B141" s="75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78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</row>
    <row r="142" ht="14.25" customHeight="1">
      <c r="A142" s="75"/>
      <c r="B142" s="75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78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</row>
    <row r="143" ht="14.25" customHeight="1">
      <c r="A143" s="75"/>
      <c r="B143" s="75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78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</row>
    <row r="144" ht="14.25" customHeight="1">
      <c r="A144" s="75"/>
      <c r="B144" s="75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78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</row>
    <row r="145" ht="14.25" customHeight="1">
      <c r="A145" s="75"/>
      <c r="B145" s="75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78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</row>
    <row r="146" ht="14.25" customHeight="1">
      <c r="A146" s="75"/>
      <c r="B146" s="75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78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</row>
    <row r="147" ht="14.25" customHeight="1">
      <c r="A147" s="75"/>
      <c r="B147" s="75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78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</row>
    <row r="148" ht="14.25" customHeight="1">
      <c r="A148" s="75"/>
      <c r="B148" s="75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78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</row>
    <row r="149" ht="14.25" customHeight="1">
      <c r="A149" s="75"/>
      <c r="B149" s="75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78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</row>
    <row r="150" ht="14.25" customHeight="1">
      <c r="A150" s="75"/>
      <c r="B150" s="75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78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</row>
    <row r="151" ht="14.25" customHeight="1">
      <c r="A151" s="75"/>
      <c r="B151" s="75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78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</row>
    <row r="152" ht="14.25" customHeight="1">
      <c r="A152" s="75"/>
      <c r="B152" s="75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78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</row>
    <row r="153" ht="14.25" customHeight="1">
      <c r="A153" s="75"/>
      <c r="B153" s="75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78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</row>
    <row r="154" ht="14.25" customHeight="1">
      <c r="A154" s="75"/>
      <c r="B154" s="75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78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</row>
    <row r="155" ht="14.25" customHeight="1">
      <c r="A155" s="75"/>
      <c r="B155" s="75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78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</row>
    <row r="156" ht="14.25" customHeight="1">
      <c r="A156" s="75"/>
      <c r="B156" s="75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78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</row>
    <row r="157" ht="14.25" customHeight="1">
      <c r="A157" s="75"/>
      <c r="B157" s="75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78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</row>
    <row r="158" ht="14.25" customHeight="1">
      <c r="A158" s="75"/>
      <c r="B158" s="75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78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</row>
    <row r="159" ht="14.25" customHeight="1">
      <c r="A159" s="75"/>
      <c r="B159" s="75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78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</row>
    <row r="160" ht="14.25" customHeight="1">
      <c r="A160" s="75"/>
      <c r="B160" s="75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78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</row>
    <row r="161" ht="14.25" customHeight="1">
      <c r="A161" s="75"/>
      <c r="B161" s="75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78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</row>
    <row r="162" ht="14.25" customHeight="1">
      <c r="A162" s="75"/>
      <c r="B162" s="75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78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</row>
    <row r="163" ht="14.25" customHeight="1">
      <c r="A163" s="75"/>
      <c r="B163" s="75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78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</row>
    <row r="164" ht="14.25" customHeight="1">
      <c r="A164" s="75"/>
      <c r="B164" s="75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78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</row>
    <row r="165" ht="14.25" customHeight="1">
      <c r="A165" s="75"/>
      <c r="B165" s="75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78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</row>
    <row r="166" ht="14.25" customHeight="1">
      <c r="A166" s="75"/>
      <c r="B166" s="75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78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</row>
    <row r="167" ht="14.25" customHeight="1">
      <c r="A167" s="75"/>
      <c r="B167" s="75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78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</row>
    <row r="168" ht="14.25" customHeight="1">
      <c r="A168" s="75"/>
      <c r="B168" s="75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78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</row>
    <row r="169" ht="14.25" customHeight="1">
      <c r="A169" s="75"/>
      <c r="B169" s="75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78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</row>
    <row r="170" ht="14.25" customHeight="1">
      <c r="A170" s="75"/>
      <c r="B170" s="75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78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</row>
    <row r="171" ht="14.25" customHeight="1">
      <c r="A171" s="75"/>
      <c r="B171" s="75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78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</row>
    <row r="172" ht="14.25" customHeight="1">
      <c r="A172" s="75"/>
      <c r="B172" s="75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78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</row>
    <row r="173" ht="14.25" customHeight="1">
      <c r="A173" s="75"/>
      <c r="B173" s="75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78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</row>
    <row r="174" ht="14.25" customHeight="1">
      <c r="A174" s="75"/>
      <c r="B174" s="75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78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</row>
    <row r="175" ht="14.25" customHeight="1">
      <c r="A175" s="75"/>
      <c r="B175" s="75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78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</row>
    <row r="176" ht="14.25" customHeight="1">
      <c r="A176" s="75"/>
      <c r="B176" s="75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78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</row>
    <row r="177" ht="14.25" customHeight="1">
      <c r="A177" s="75"/>
      <c r="B177" s="75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78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</row>
    <row r="178" ht="14.25" customHeight="1">
      <c r="A178" s="75"/>
      <c r="B178" s="75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78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</row>
    <row r="179" ht="14.25" customHeight="1">
      <c r="A179" s="75"/>
      <c r="B179" s="75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78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</row>
    <row r="180" ht="14.25" customHeight="1">
      <c r="A180" s="75"/>
      <c r="B180" s="75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78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</row>
    <row r="181" ht="14.25" customHeight="1">
      <c r="A181" s="75"/>
      <c r="B181" s="75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78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</row>
    <row r="182" ht="14.25" customHeight="1">
      <c r="A182" s="75"/>
      <c r="B182" s="75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78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</row>
    <row r="183" ht="14.25" customHeight="1">
      <c r="A183" s="75"/>
      <c r="B183" s="75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78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</row>
    <row r="184" ht="14.25" customHeight="1">
      <c r="A184" s="75"/>
      <c r="B184" s="75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78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</row>
    <row r="185" ht="14.25" customHeight="1">
      <c r="A185" s="75"/>
      <c r="B185" s="75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78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</row>
    <row r="186" ht="14.25" customHeight="1">
      <c r="A186" s="75"/>
      <c r="B186" s="75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78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</row>
    <row r="187" ht="14.25" customHeight="1">
      <c r="A187" s="75"/>
      <c r="B187" s="75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78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</row>
    <row r="188" ht="14.25" customHeight="1">
      <c r="A188" s="75"/>
      <c r="B188" s="75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78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</row>
    <row r="189" ht="14.25" customHeight="1">
      <c r="A189" s="75"/>
      <c r="B189" s="75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78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</row>
    <row r="190" ht="14.25" customHeight="1">
      <c r="A190" s="75"/>
      <c r="B190" s="75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78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</row>
    <row r="191" ht="14.25" customHeight="1">
      <c r="A191" s="75"/>
      <c r="B191" s="75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78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</row>
    <row r="192" ht="14.25" customHeight="1">
      <c r="A192" s="75"/>
      <c r="B192" s="75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78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</row>
    <row r="193" ht="14.25" customHeight="1">
      <c r="A193" s="75"/>
      <c r="B193" s="75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78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</row>
    <row r="194" ht="14.25" customHeight="1">
      <c r="A194" s="75"/>
      <c r="B194" s="75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78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</row>
    <row r="195" ht="14.25" customHeight="1">
      <c r="A195" s="75"/>
      <c r="B195" s="75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78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</row>
    <row r="196" ht="14.25" customHeight="1">
      <c r="A196" s="75"/>
      <c r="B196" s="75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78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</row>
    <row r="197" ht="14.25" customHeight="1">
      <c r="A197" s="75"/>
      <c r="B197" s="75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78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</row>
    <row r="198" ht="14.25" customHeight="1">
      <c r="A198" s="75"/>
      <c r="B198" s="75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78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</row>
    <row r="199" ht="14.25" customHeight="1">
      <c r="A199" s="75"/>
      <c r="B199" s="75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78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</row>
    <row r="200" ht="14.25" customHeight="1">
      <c r="A200" s="75"/>
      <c r="B200" s="75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78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</row>
    <row r="201" ht="14.25" customHeight="1">
      <c r="A201" s="75"/>
      <c r="B201" s="75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78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</row>
    <row r="202" ht="14.25" customHeight="1">
      <c r="A202" s="75"/>
      <c r="B202" s="75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78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</row>
    <row r="203" ht="14.25" customHeight="1">
      <c r="A203" s="75"/>
      <c r="B203" s="75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78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</row>
    <row r="204" ht="14.25" customHeight="1">
      <c r="A204" s="75"/>
      <c r="B204" s="75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78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</row>
    <row r="205" ht="14.25" customHeight="1">
      <c r="A205" s="75"/>
      <c r="B205" s="75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78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</row>
    <row r="206" ht="14.25" customHeight="1">
      <c r="A206" s="75"/>
      <c r="B206" s="75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78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</row>
    <row r="207" ht="14.25" customHeight="1">
      <c r="A207" s="75"/>
      <c r="B207" s="75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78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</row>
    <row r="208" ht="14.25" customHeight="1">
      <c r="A208" s="75"/>
      <c r="B208" s="75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78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</row>
    <row r="209" ht="14.25" customHeight="1">
      <c r="A209" s="75"/>
      <c r="B209" s="75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78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</row>
    <row r="210" ht="14.25" customHeight="1">
      <c r="A210" s="75"/>
      <c r="B210" s="75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78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</row>
    <row r="211" ht="14.25" customHeight="1">
      <c r="A211" s="75"/>
      <c r="B211" s="75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78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</row>
    <row r="212" ht="14.25" customHeight="1">
      <c r="A212" s="75"/>
      <c r="B212" s="75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78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</row>
    <row r="213" ht="14.25" customHeight="1">
      <c r="A213" s="75"/>
      <c r="B213" s="75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78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</row>
    <row r="214" ht="14.25" customHeight="1">
      <c r="A214" s="75"/>
      <c r="B214" s="75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78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</row>
    <row r="215" ht="14.25" customHeight="1">
      <c r="A215" s="75"/>
      <c r="B215" s="75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78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</row>
    <row r="216" ht="14.25" customHeight="1">
      <c r="A216" s="75"/>
      <c r="B216" s="75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78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</row>
    <row r="217" ht="14.25" customHeight="1">
      <c r="A217" s="75"/>
      <c r="B217" s="75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78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</row>
    <row r="218" ht="14.25" customHeight="1">
      <c r="A218" s="75"/>
      <c r="B218" s="75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78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</row>
    <row r="219" ht="14.25" customHeight="1">
      <c r="A219" s="75"/>
      <c r="B219" s="75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78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</row>
    <row r="220" ht="14.25" customHeight="1">
      <c r="A220" s="75"/>
      <c r="B220" s="75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78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</row>
    <row r="221" ht="14.25" customHeight="1">
      <c r="A221" s="75"/>
      <c r="B221" s="75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78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</row>
    <row r="222" ht="14.25" customHeight="1">
      <c r="A222" s="75"/>
      <c r="B222" s="75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78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</row>
    <row r="223" ht="14.25" customHeight="1">
      <c r="A223" s="75"/>
      <c r="B223" s="75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78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</row>
    <row r="224" ht="14.25" customHeight="1">
      <c r="A224" s="75"/>
      <c r="B224" s="75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78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</row>
    <row r="225" ht="14.25" customHeight="1">
      <c r="A225" s="75"/>
      <c r="B225" s="75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78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</row>
    <row r="226" ht="14.25" customHeight="1">
      <c r="A226" s="75"/>
      <c r="B226" s="75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78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</row>
    <row r="227" ht="14.25" customHeight="1">
      <c r="A227" s="75"/>
      <c r="B227" s="75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78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</row>
    <row r="228" ht="14.25" customHeight="1">
      <c r="A228" s="75"/>
      <c r="B228" s="75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78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</row>
    <row r="229" ht="14.25" customHeight="1">
      <c r="A229" s="75"/>
      <c r="B229" s="75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78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</row>
    <row r="230" ht="14.25" customHeight="1">
      <c r="A230" s="75"/>
      <c r="B230" s="75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78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</row>
    <row r="231" ht="14.25" customHeight="1">
      <c r="A231" s="75"/>
      <c r="B231" s="75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78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</row>
    <row r="232" ht="14.25" customHeight="1">
      <c r="A232" s="75"/>
      <c r="B232" s="75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78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</row>
    <row r="233" ht="14.25" customHeight="1">
      <c r="A233" s="75"/>
      <c r="B233" s="75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78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</row>
    <row r="234" ht="14.25" customHeight="1">
      <c r="A234" s="75"/>
      <c r="B234" s="75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78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</row>
    <row r="235" ht="14.25" customHeight="1">
      <c r="A235" s="75"/>
      <c r="B235" s="75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78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</row>
    <row r="236" ht="14.25" customHeight="1">
      <c r="A236" s="75"/>
      <c r="B236" s="75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78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</row>
    <row r="237" ht="14.25" customHeight="1">
      <c r="A237" s="75"/>
      <c r="B237" s="75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78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</row>
    <row r="238" ht="14.25" customHeight="1">
      <c r="A238" s="75"/>
      <c r="B238" s="75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78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</row>
    <row r="239" ht="14.25" customHeight="1">
      <c r="A239" s="75"/>
      <c r="B239" s="75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78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</row>
    <row r="240" ht="14.25" customHeight="1">
      <c r="A240" s="75"/>
      <c r="B240" s="75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78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</row>
    <row r="241" ht="14.25" customHeight="1">
      <c r="A241" s="75"/>
      <c r="B241" s="75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78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</row>
    <row r="242" ht="14.25" customHeight="1">
      <c r="A242" s="75"/>
      <c r="B242" s="75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78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</row>
    <row r="243" ht="14.25" customHeight="1">
      <c r="A243" s="75"/>
      <c r="B243" s="75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78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</row>
    <row r="244" ht="14.25" customHeight="1">
      <c r="A244" s="75"/>
      <c r="B244" s="75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78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</row>
    <row r="245" ht="14.25" customHeight="1">
      <c r="A245" s="75"/>
      <c r="B245" s="75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78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</row>
    <row r="246" ht="14.25" customHeight="1">
      <c r="A246" s="75"/>
      <c r="B246" s="75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78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</row>
    <row r="247" ht="14.25" customHeight="1">
      <c r="A247" s="75"/>
      <c r="B247" s="75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78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</row>
    <row r="248" ht="15.75" customHeight="1">
      <c r="A248" s="88"/>
      <c r="B248" s="88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89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ht="15.75" customHeight="1">
      <c r="A249" s="88"/>
      <c r="B249" s="88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89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ht="15.75" customHeight="1">
      <c r="A250" s="88"/>
      <c r="B250" s="88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89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ht="15.75" customHeight="1">
      <c r="A251" s="88"/>
      <c r="B251" s="88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89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ht="15.75" customHeight="1">
      <c r="A252" s="88"/>
      <c r="B252" s="88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89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ht="15.75" customHeight="1">
      <c r="A253" s="88"/>
      <c r="B253" s="88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89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ht="15.75" customHeight="1">
      <c r="A254" s="88"/>
      <c r="B254" s="88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89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ht="15.75" customHeight="1">
      <c r="A255" s="88"/>
      <c r="B255" s="88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89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ht="15.75" customHeight="1">
      <c r="A256" s="88"/>
      <c r="B256" s="88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89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ht="15.75" customHeight="1">
      <c r="A257" s="88"/>
      <c r="B257" s="88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89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ht="15.75" customHeight="1">
      <c r="A258" s="88"/>
      <c r="B258" s="88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89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ht="15.75" customHeight="1">
      <c r="A259" s="88"/>
      <c r="B259" s="88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89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ht="15.75" customHeight="1">
      <c r="A260" s="88"/>
      <c r="B260" s="88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89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ht="15.75" customHeight="1">
      <c r="A261" s="88"/>
      <c r="B261" s="88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89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ht="15.75" customHeight="1">
      <c r="A262" s="88"/>
      <c r="B262" s="88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89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ht="15.75" customHeight="1">
      <c r="A263" s="88"/>
      <c r="B263" s="88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89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ht="15.75" customHeight="1">
      <c r="A264" s="88"/>
      <c r="B264" s="88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89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ht="15.75" customHeight="1">
      <c r="A265" s="88"/>
      <c r="B265" s="88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89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ht="15.75" customHeight="1">
      <c r="A266" s="88"/>
      <c r="B266" s="88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89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ht="15.75" customHeight="1">
      <c r="A267" s="88"/>
      <c r="B267" s="88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89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ht="15.75" customHeight="1">
      <c r="A268" s="88"/>
      <c r="B268" s="88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89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ht="15.75" customHeight="1">
      <c r="A269" s="88"/>
      <c r="B269" s="88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89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ht="15.75" customHeight="1">
      <c r="A270" s="88"/>
      <c r="B270" s="88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89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ht="15.75" customHeight="1">
      <c r="A271" s="88"/>
      <c r="B271" s="88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89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ht="15.75" customHeight="1">
      <c r="A272" s="88"/>
      <c r="B272" s="88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89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ht="15.75" customHeight="1">
      <c r="A273" s="88"/>
      <c r="B273" s="88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89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ht="15.75" customHeight="1">
      <c r="A274" s="88"/>
      <c r="B274" s="88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89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ht="15.75" customHeight="1">
      <c r="A275" s="88"/>
      <c r="B275" s="88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89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ht="15.75" customHeight="1">
      <c r="A276" s="88"/>
      <c r="B276" s="88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89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ht="15.75" customHeight="1">
      <c r="A277" s="88"/>
      <c r="B277" s="88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89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ht="15.75" customHeight="1">
      <c r="A278" s="88"/>
      <c r="B278" s="88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89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ht="15.75" customHeight="1">
      <c r="A279" s="88"/>
      <c r="B279" s="88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89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ht="15.75" customHeight="1">
      <c r="A280" s="88"/>
      <c r="B280" s="88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89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ht="15.75" customHeight="1">
      <c r="A281" s="88"/>
      <c r="B281" s="88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89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ht="15.75" customHeight="1">
      <c r="A282" s="88"/>
      <c r="B282" s="88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89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ht="15.75" customHeight="1">
      <c r="A283" s="88"/>
      <c r="B283" s="88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89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ht="15.75" customHeight="1">
      <c r="A284" s="88"/>
      <c r="B284" s="88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89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ht="15.75" customHeight="1">
      <c r="A285" s="88"/>
      <c r="B285" s="88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89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ht="15.75" customHeight="1">
      <c r="A286" s="88"/>
      <c r="B286" s="88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89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ht="15.75" customHeight="1">
      <c r="A287" s="88"/>
      <c r="B287" s="88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89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ht="15.75" customHeight="1">
      <c r="A288" s="88"/>
      <c r="B288" s="88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89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ht="15.75" customHeight="1">
      <c r="A289" s="88"/>
      <c r="B289" s="88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89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ht="15.75" customHeight="1">
      <c r="A290" s="88"/>
      <c r="B290" s="88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89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ht="15.75" customHeight="1">
      <c r="A291" s="88"/>
      <c r="B291" s="88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89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ht="15.75" customHeight="1">
      <c r="A292" s="88"/>
      <c r="B292" s="88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89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ht="15.75" customHeight="1">
      <c r="A293" s="88"/>
      <c r="B293" s="88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89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ht="15.75" customHeight="1">
      <c r="A294" s="88"/>
      <c r="B294" s="88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89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ht="15.75" customHeight="1">
      <c r="A295" s="88"/>
      <c r="B295" s="88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89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ht="15.75" customHeight="1">
      <c r="A296" s="88"/>
      <c r="B296" s="88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89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ht="15.75" customHeight="1">
      <c r="A297" s="88"/>
      <c r="B297" s="88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89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ht="15.75" customHeight="1">
      <c r="A298" s="88"/>
      <c r="B298" s="88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89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ht="15.75" customHeight="1">
      <c r="A299" s="88"/>
      <c r="B299" s="88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89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ht="15.75" customHeight="1">
      <c r="A300" s="88"/>
      <c r="B300" s="88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89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ht="15.75" customHeight="1">
      <c r="A301" s="88"/>
      <c r="B301" s="88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89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ht="15.75" customHeight="1">
      <c r="A302" s="88"/>
      <c r="B302" s="88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89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ht="15.75" customHeight="1">
      <c r="A303" s="88"/>
      <c r="B303" s="88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89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ht="15.75" customHeight="1">
      <c r="A304" s="88"/>
      <c r="B304" s="88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89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ht="15.75" customHeight="1">
      <c r="A305" s="88"/>
      <c r="B305" s="88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89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ht="15.75" customHeight="1">
      <c r="A306" s="88"/>
      <c r="B306" s="88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89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ht="15.75" customHeight="1">
      <c r="A307" s="88"/>
      <c r="B307" s="88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89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ht="15.75" customHeight="1">
      <c r="A308" s="88"/>
      <c r="B308" s="88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89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ht="15.75" customHeight="1">
      <c r="A309" s="88"/>
      <c r="B309" s="88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89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ht="15.75" customHeight="1">
      <c r="A310" s="88"/>
      <c r="B310" s="88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89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ht="15.75" customHeight="1">
      <c r="A311" s="88"/>
      <c r="B311" s="88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89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ht="15.75" customHeight="1">
      <c r="A312" s="88"/>
      <c r="B312" s="88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89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ht="15.75" customHeight="1">
      <c r="A313" s="88"/>
      <c r="B313" s="88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89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ht="15.75" customHeight="1">
      <c r="A314" s="88"/>
      <c r="B314" s="88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89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ht="15.75" customHeight="1">
      <c r="A315" s="88"/>
      <c r="B315" s="88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89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ht="15.75" customHeight="1">
      <c r="A316" s="88"/>
      <c r="B316" s="88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89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ht="15.75" customHeight="1">
      <c r="A317" s="88"/>
      <c r="B317" s="88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89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ht="15.75" customHeight="1">
      <c r="A318" s="88"/>
      <c r="B318" s="88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89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ht="15.75" customHeight="1">
      <c r="A319" s="88"/>
      <c r="B319" s="88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89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ht="15.75" customHeight="1">
      <c r="A320" s="88"/>
      <c r="B320" s="88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89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ht="15.75" customHeight="1">
      <c r="A321" s="88"/>
      <c r="B321" s="88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89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ht="15.75" customHeight="1">
      <c r="A322" s="88"/>
      <c r="B322" s="88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89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ht="15.75" customHeight="1">
      <c r="A323" s="88"/>
      <c r="B323" s="88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89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ht="15.75" customHeight="1">
      <c r="A324" s="88"/>
      <c r="B324" s="88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89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ht="15.75" customHeight="1">
      <c r="A325" s="88"/>
      <c r="B325" s="88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89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ht="15.75" customHeight="1">
      <c r="A326" s="88"/>
      <c r="B326" s="88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89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ht="15.75" customHeight="1">
      <c r="A327" s="88"/>
      <c r="B327" s="88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89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ht="15.75" customHeight="1">
      <c r="A328" s="88"/>
      <c r="B328" s="88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89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ht="15.75" customHeight="1">
      <c r="A329" s="88"/>
      <c r="B329" s="88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89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ht="15.75" customHeight="1">
      <c r="A330" s="88"/>
      <c r="B330" s="88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89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ht="15.75" customHeight="1">
      <c r="A331" s="88"/>
      <c r="B331" s="88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89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ht="15.75" customHeight="1">
      <c r="A332" s="88"/>
      <c r="B332" s="88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89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ht="15.75" customHeight="1">
      <c r="A333" s="88"/>
      <c r="B333" s="88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89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ht="15.75" customHeight="1">
      <c r="A334" s="88"/>
      <c r="B334" s="88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89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ht="15.75" customHeight="1">
      <c r="A335" s="88"/>
      <c r="B335" s="88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89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ht="15.75" customHeight="1">
      <c r="A336" s="88"/>
      <c r="B336" s="88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89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ht="15.75" customHeight="1">
      <c r="A337" s="88"/>
      <c r="B337" s="88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89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ht="15.75" customHeight="1">
      <c r="A338" s="88"/>
      <c r="B338" s="88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89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ht="15.75" customHeight="1">
      <c r="A339" s="88"/>
      <c r="B339" s="88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89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ht="15.75" customHeight="1">
      <c r="A340" s="88"/>
      <c r="B340" s="88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89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ht="15.75" customHeight="1">
      <c r="A341" s="88"/>
      <c r="B341" s="88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89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ht="15.75" customHeight="1">
      <c r="A342" s="88"/>
      <c r="B342" s="88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89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ht="15.75" customHeight="1">
      <c r="A343" s="88"/>
      <c r="B343" s="88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89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ht="15.75" customHeight="1">
      <c r="A344" s="88"/>
      <c r="B344" s="88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89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ht="15.75" customHeight="1">
      <c r="A345" s="88"/>
      <c r="B345" s="88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89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ht="15.75" customHeight="1">
      <c r="A346" s="88"/>
      <c r="B346" s="88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89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ht="15.75" customHeight="1">
      <c r="A347" s="88"/>
      <c r="B347" s="88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89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ht="15.75" customHeight="1">
      <c r="A348" s="88"/>
      <c r="B348" s="88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89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ht="15.75" customHeight="1">
      <c r="A349" s="88"/>
      <c r="B349" s="88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89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ht="15.75" customHeight="1">
      <c r="A350" s="88"/>
      <c r="B350" s="88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89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ht="15.75" customHeight="1">
      <c r="A351" s="88"/>
      <c r="B351" s="88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89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ht="15.75" customHeight="1">
      <c r="A352" s="88"/>
      <c r="B352" s="88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89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ht="15.75" customHeight="1">
      <c r="A353" s="88"/>
      <c r="B353" s="88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89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ht="15.75" customHeight="1">
      <c r="A354" s="88"/>
      <c r="B354" s="88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89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ht="15.75" customHeight="1">
      <c r="A355" s="88"/>
      <c r="B355" s="88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89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ht="15.75" customHeight="1">
      <c r="A356" s="88"/>
      <c r="B356" s="88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89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ht="15.75" customHeight="1">
      <c r="A357" s="88"/>
      <c r="B357" s="88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89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ht="15.75" customHeight="1">
      <c r="A358" s="88"/>
      <c r="B358" s="88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89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ht="15.75" customHeight="1">
      <c r="A359" s="88"/>
      <c r="B359" s="88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89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ht="15.75" customHeight="1">
      <c r="A360" s="88"/>
      <c r="B360" s="88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89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ht="15.75" customHeight="1">
      <c r="A361" s="88"/>
      <c r="B361" s="88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89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ht="15.75" customHeight="1">
      <c r="A362" s="88"/>
      <c r="B362" s="88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89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ht="15.75" customHeight="1">
      <c r="A363" s="88"/>
      <c r="B363" s="88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89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ht="15.75" customHeight="1">
      <c r="A364" s="88"/>
      <c r="B364" s="88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89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ht="15.75" customHeight="1">
      <c r="A365" s="88"/>
      <c r="B365" s="88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89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ht="15.75" customHeight="1">
      <c r="A366" s="88"/>
      <c r="B366" s="88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89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ht="15.75" customHeight="1">
      <c r="A367" s="88"/>
      <c r="B367" s="88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89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ht="15.75" customHeight="1">
      <c r="A368" s="88"/>
      <c r="B368" s="88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89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ht="15.75" customHeight="1">
      <c r="A369" s="88"/>
      <c r="B369" s="88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89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ht="15.75" customHeight="1">
      <c r="A370" s="88"/>
      <c r="B370" s="88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89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ht="15.75" customHeight="1">
      <c r="A371" s="88"/>
      <c r="B371" s="88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89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ht="15.75" customHeight="1">
      <c r="A372" s="88"/>
      <c r="B372" s="88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89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ht="15.75" customHeight="1">
      <c r="A373" s="88"/>
      <c r="B373" s="88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89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ht="15.75" customHeight="1">
      <c r="A374" s="88"/>
      <c r="B374" s="88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89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ht="15.75" customHeight="1">
      <c r="A375" s="88"/>
      <c r="B375" s="88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89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ht="15.75" customHeight="1">
      <c r="A376" s="88"/>
      <c r="B376" s="88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89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ht="15.75" customHeight="1">
      <c r="A377" s="88"/>
      <c r="B377" s="88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89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ht="15.75" customHeight="1">
      <c r="A378" s="88"/>
      <c r="B378" s="88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89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ht="15.75" customHeight="1">
      <c r="A379" s="88"/>
      <c r="B379" s="88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89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ht="15.75" customHeight="1">
      <c r="A380" s="88"/>
      <c r="B380" s="88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89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ht="15.75" customHeight="1">
      <c r="A381" s="88"/>
      <c r="B381" s="88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89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ht="15.75" customHeight="1">
      <c r="A382" s="88"/>
      <c r="B382" s="88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89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ht="15.75" customHeight="1">
      <c r="A383" s="88"/>
      <c r="B383" s="88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89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ht="15.75" customHeight="1">
      <c r="A384" s="88"/>
      <c r="B384" s="88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89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ht="15.75" customHeight="1">
      <c r="A385" s="88"/>
      <c r="B385" s="88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89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ht="15.75" customHeight="1">
      <c r="A386" s="88"/>
      <c r="B386" s="88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89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ht="15.75" customHeight="1">
      <c r="A387" s="88"/>
      <c r="B387" s="88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89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ht="15.75" customHeight="1">
      <c r="A388" s="88"/>
      <c r="B388" s="88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89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ht="15.75" customHeight="1">
      <c r="A389" s="88"/>
      <c r="B389" s="88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89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ht="15.75" customHeight="1">
      <c r="A390" s="88"/>
      <c r="B390" s="88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89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ht="15.75" customHeight="1">
      <c r="A391" s="88"/>
      <c r="B391" s="88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89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ht="15.75" customHeight="1">
      <c r="A392" s="88"/>
      <c r="B392" s="88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89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ht="15.75" customHeight="1">
      <c r="A393" s="88"/>
      <c r="B393" s="88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89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ht="15.75" customHeight="1">
      <c r="A394" s="88"/>
      <c r="B394" s="88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89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ht="15.75" customHeight="1">
      <c r="A395" s="88"/>
      <c r="B395" s="88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89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ht="15.75" customHeight="1">
      <c r="A396" s="88"/>
      <c r="B396" s="88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89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ht="15.75" customHeight="1">
      <c r="A397" s="88"/>
      <c r="B397" s="88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89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ht="15.75" customHeight="1">
      <c r="A398" s="88"/>
      <c r="B398" s="88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89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ht="15.75" customHeight="1">
      <c r="A399" s="88"/>
      <c r="B399" s="88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89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ht="15.75" customHeight="1">
      <c r="A400" s="88"/>
      <c r="B400" s="88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89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ht="15.75" customHeight="1">
      <c r="A401" s="88"/>
      <c r="B401" s="88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89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ht="15.75" customHeight="1">
      <c r="A402" s="88"/>
      <c r="B402" s="88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89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ht="15.75" customHeight="1">
      <c r="A403" s="88"/>
      <c r="B403" s="88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89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ht="15.75" customHeight="1">
      <c r="A404" s="88"/>
      <c r="B404" s="88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89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ht="15.75" customHeight="1">
      <c r="A405" s="88"/>
      <c r="B405" s="88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89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ht="15.75" customHeight="1">
      <c r="A406" s="88"/>
      <c r="B406" s="88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89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ht="15.75" customHeight="1">
      <c r="A407" s="88"/>
      <c r="B407" s="88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89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ht="15.75" customHeight="1">
      <c r="A408" s="88"/>
      <c r="B408" s="88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89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ht="15.75" customHeight="1">
      <c r="A409" s="88"/>
      <c r="B409" s="88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89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ht="15.75" customHeight="1">
      <c r="A410" s="88"/>
      <c r="B410" s="88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89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ht="15.75" customHeight="1">
      <c r="A411" s="88"/>
      <c r="B411" s="88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89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ht="15.75" customHeight="1">
      <c r="A412" s="88"/>
      <c r="B412" s="88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89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ht="15.75" customHeight="1">
      <c r="A413" s="88"/>
      <c r="B413" s="88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89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ht="15.75" customHeight="1">
      <c r="A414" s="88"/>
      <c r="B414" s="88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89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ht="15.75" customHeight="1">
      <c r="A415" s="88"/>
      <c r="B415" s="88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89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ht="15.75" customHeight="1">
      <c r="A416" s="88"/>
      <c r="B416" s="88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89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ht="15.75" customHeight="1">
      <c r="A417" s="88"/>
      <c r="B417" s="88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89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ht="15.75" customHeight="1">
      <c r="A418" s="88"/>
      <c r="B418" s="88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89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ht="15.75" customHeight="1">
      <c r="A419" s="88"/>
      <c r="B419" s="88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89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ht="15.75" customHeight="1">
      <c r="A420" s="88"/>
      <c r="B420" s="88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89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ht="15.75" customHeight="1">
      <c r="A421" s="88"/>
      <c r="B421" s="88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89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ht="15.75" customHeight="1">
      <c r="A422" s="88"/>
      <c r="B422" s="88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89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ht="15.75" customHeight="1">
      <c r="A423" s="88"/>
      <c r="B423" s="88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89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ht="15.75" customHeight="1">
      <c r="A424" s="88"/>
      <c r="B424" s="88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89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ht="15.75" customHeight="1">
      <c r="A425" s="88"/>
      <c r="B425" s="88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89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ht="15.75" customHeight="1">
      <c r="A426" s="88"/>
      <c r="B426" s="88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89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ht="15.75" customHeight="1">
      <c r="A427" s="88"/>
      <c r="B427" s="88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89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ht="15.75" customHeight="1">
      <c r="A428" s="88"/>
      <c r="B428" s="88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89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ht="15.75" customHeight="1">
      <c r="A429" s="88"/>
      <c r="B429" s="88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89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ht="15.75" customHeight="1">
      <c r="A430" s="88"/>
      <c r="B430" s="88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89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ht="15.75" customHeight="1">
      <c r="A431" s="88"/>
      <c r="B431" s="88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89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ht="15.75" customHeight="1">
      <c r="A432" s="88"/>
      <c r="B432" s="88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89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ht="15.75" customHeight="1">
      <c r="A433" s="88"/>
      <c r="B433" s="88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89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ht="15.75" customHeight="1">
      <c r="A434" s="88"/>
      <c r="B434" s="88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89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ht="15.75" customHeight="1">
      <c r="A435" s="88"/>
      <c r="B435" s="88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89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ht="15.75" customHeight="1">
      <c r="A436" s="88"/>
      <c r="B436" s="88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89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ht="15.75" customHeight="1">
      <c r="A437" s="88"/>
      <c r="B437" s="88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89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ht="15.75" customHeight="1">
      <c r="A438" s="88"/>
      <c r="B438" s="88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89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ht="15.75" customHeight="1">
      <c r="A439" s="88"/>
      <c r="B439" s="88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89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ht="15.75" customHeight="1">
      <c r="A440" s="88"/>
      <c r="B440" s="88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89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ht="15.75" customHeight="1">
      <c r="A441" s="88"/>
      <c r="B441" s="88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89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ht="15.75" customHeight="1">
      <c r="A442" s="88"/>
      <c r="B442" s="88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89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ht="15.75" customHeight="1">
      <c r="A443" s="88"/>
      <c r="B443" s="88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89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ht="15.75" customHeight="1">
      <c r="A444" s="88"/>
      <c r="B444" s="88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89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ht="15.75" customHeight="1">
      <c r="A445" s="88"/>
      <c r="B445" s="88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89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ht="15.75" customHeight="1">
      <c r="A446" s="88"/>
      <c r="B446" s="88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89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ht="15.75" customHeight="1">
      <c r="A447" s="88"/>
      <c r="B447" s="88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89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ht="15.75" customHeight="1">
      <c r="A448" s="88"/>
      <c r="B448" s="88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89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ht="15.75" customHeight="1">
      <c r="A449" s="88"/>
      <c r="B449" s="88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89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ht="15.75" customHeight="1">
      <c r="A450" s="88"/>
      <c r="B450" s="88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89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ht="15.75" customHeight="1">
      <c r="A451" s="88"/>
      <c r="B451" s="88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89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ht="15.75" customHeight="1">
      <c r="A452" s="88"/>
      <c r="B452" s="88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89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ht="15.75" customHeight="1">
      <c r="A453" s="88"/>
      <c r="B453" s="88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89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ht="15.75" customHeight="1">
      <c r="A454" s="88"/>
      <c r="B454" s="88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89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ht="15.75" customHeight="1">
      <c r="A455" s="88"/>
      <c r="B455" s="88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89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ht="15.75" customHeight="1">
      <c r="A456" s="88"/>
      <c r="B456" s="88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89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ht="15.75" customHeight="1">
      <c r="A457" s="88"/>
      <c r="B457" s="88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89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ht="15.75" customHeight="1">
      <c r="A458" s="88"/>
      <c r="B458" s="88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89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ht="15.75" customHeight="1">
      <c r="A459" s="88"/>
      <c r="B459" s="88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89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ht="15.75" customHeight="1">
      <c r="A460" s="88"/>
      <c r="B460" s="88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89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ht="15.75" customHeight="1">
      <c r="A461" s="88"/>
      <c r="B461" s="88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89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ht="15.75" customHeight="1">
      <c r="A462" s="88"/>
      <c r="B462" s="88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89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ht="15.75" customHeight="1">
      <c r="A463" s="88"/>
      <c r="B463" s="88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89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ht="15.75" customHeight="1">
      <c r="A464" s="88"/>
      <c r="B464" s="88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89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ht="15.75" customHeight="1">
      <c r="A465" s="88"/>
      <c r="B465" s="88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89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ht="15.75" customHeight="1">
      <c r="A466" s="88"/>
      <c r="B466" s="88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89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ht="15.75" customHeight="1">
      <c r="A467" s="88"/>
      <c r="B467" s="88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89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ht="15.75" customHeight="1">
      <c r="A468" s="88"/>
      <c r="B468" s="88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89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ht="15.75" customHeight="1">
      <c r="A469" s="88"/>
      <c r="B469" s="88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89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ht="15.75" customHeight="1">
      <c r="A470" s="88"/>
      <c r="B470" s="88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89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ht="15.75" customHeight="1">
      <c r="A471" s="88"/>
      <c r="B471" s="88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89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ht="15.75" customHeight="1">
      <c r="A472" s="88"/>
      <c r="B472" s="88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89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ht="15.75" customHeight="1">
      <c r="A473" s="88"/>
      <c r="B473" s="88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89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ht="15.75" customHeight="1">
      <c r="A474" s="88"/>
      <c r="B474" s="88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89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ht="15.75" customHeight="1">
      <c r="A475" s="88"/>
      <c r="B475" s="88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89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ht="15.75" customHeight="1">
      <c r="A476" s="88"/>
      <c r="B476" s="88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89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ht="15.75" customHeight="1">
      <c r="A477" s="88"/>
      <c r="B477" s="88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89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ht="15.75" customHeight="1">
      <c r="A478" s="88"/>
      <c r="B478" s="88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89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ht="15.75" customHeight="1">
      <c r="A479" s="88"/>
      <c r="B479" s="88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89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ht="15.75" customHeight="1">
      <c r="A480" s="88"/>
      <c r="B480" s="88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89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ht="15.75" customHeight="1">
      <c r="A481" s="88"/>
      <c r="B481" s="88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89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ht="15.75" customHeight="1">
      <c r="A482" s="88"/>
      <c r="B482" s="88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89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ht="15.75" customHeight="1">
      <c r="A483" s="88"/>
      <c r="B483" s="88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89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ht="15.75" customHeight="1">
      <c r="A484" s="88"/>
      <c r="B484" s="88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89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ht="15.75" customHeight="1">
      <c r="A485" s="88"/>
      <c r="B485" s="88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89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ht="15.75" customHeight="1">
      <c r="A486" s="88"/>
      <c r="B486" s="88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89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ht="15.75" customHeight="1">
      <c r="A487" s="88"/>
      <c r="B487" s="88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89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ht="15.75" customHeight="1">
      <c r="A488" s="88"/>
      <c r="B488" s="88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89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ht="15.75" customHeight="1">
      <c r="A489" s="88"/>
      <c r="B489" s="88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89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ht="15.75" customHeight="1">
      <c r="A490" s="88"/>
      <c r="B490" s="88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89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ht="15.75" customHeight="1">
      <c r="A491" s="88"/>
      <c r="B491" s="88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89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ht="15.75" customHeight="1">
      <c r="A492" s="88"/>
      <c r="B492" s="88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89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ht="15.75" customHeight="1">
      <c r="A493" s="88"/>
      <c r="B493" s="88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89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ht="15.75" customHeight="1">
      <c r="A494" s="88"/>
      <c r="B494" s="88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89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ht="15.75" customHeight="1">
      <c r="A495" s="88"/>
      <c r="B495" s="88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89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ht="15.75" customHeight="1">
      <c r="A496" s="88"/>
      <c r="B496" s="88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89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ht="15.75" customHeight="1">
      <c r="A497" s="88"/>
      <c r="B497" s="88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89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ht="15.75" customHeight="1">
      <c r="A498" s="88"/>
      <c r="B498" s="88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89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ht="15.75" customHeight="1">
      <c r="A499" s="88"/>
      <c r="B499" s="88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89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ht="15.75" customHeight="1">
      <c r="A500" s="88"/>
      <c r="B500" s="88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89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ht="15.75" customHeight="1">
      <c r="A501" s="88"/>
      <c r="B501" s="88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89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ht="15.75" customHeight="1">
      <c r="A502" s="88"/>
      <c r="B502" s="88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89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ht="15.75" customHeight="1">
      <c r="A503" s="88"/>
      <c r="B503" s="88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89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ht="15.75" customHeight="1">
      <c r="A504" s="88"/>
      <c r="B504" s="88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89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ht="15.75" customHeight="1">
      <c r="A505" s="88"/>
      <c r="B505" s="88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89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ht="15.75" customHeight="1">
      <c r="A506" s="88"/>
      <c r="B506" s="88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89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ht="15.75" customHeight="1">
      <c r="A507" s="88"/>
      <c r="B507" s="88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89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ht="15.75" customHeight="1">
      <c r="A508" s="88"/>
      <c r="B508" s="88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89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ht="15.75" customHeight="1">
      <c r="A509" s="88"/>
      <c r="B509" s="88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89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ht="15.75" customHeight="1">
      <c r="A510" s="88"/>
      <c r="B510" s="88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89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ht="15.75" customHeight="1">
      <c r="A511" s="88"/>
      <c r="B511" s="88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89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ht="15.75" customHeight="1">
      <c r="A512" s="88"/>
      <c r="B512" s="88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89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ht="15.75" customHeight="1">
      <c r="A513" s="88"/>
      <c r="B513" s="88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89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ht="15.75" customHeight="1">
      <c r="A514" s="88"/>
      <c r="B514" s="88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89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ht="15.75" customHeight="1">
      <c r="A515" s="88"/>
      <c r="B515" s="88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89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ht="15.75" customHeight="1">
      <c r="A516" s="88"/>
      <c r="B516" s="88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89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ht="15.75" customHeight="1">
      <c r="A517" s="88"/>
      <c r="B517" s="88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89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ht="15.75" customHeight="1">
      <c r="A518" s="88"/>
      <c r="B518" s="88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89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ht="15.75" customHeight="1">
      <c r="A519" s="88"/>
      <c r="B519" s="88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89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ht="15.75" customHeight="1">
      <c r="A520" s="88"/>
      <c r="B520" s="88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89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ht="15.75" customHeight="1">
      <c r="A521" s="88"/>
      <c r="B521" s="88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89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ht="15.75" customHeight="1">
      <c r="A522" s="88"/>
      <c r="B522" s="88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89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ht="15.75" customHeight="1">
      <c r="A523" s="88"/>
      <c r="B523" s="88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89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ht="15.75" customHeight="1">
      <c r="A524" s="88"/>
      <c r="B524" s="88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89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ht="15.75" customHeight="1">
      <c r="A525" s="88"/>
      <c r="B525" s="88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89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ht="15.75" customHeight="1">
      <c r="A526" s="88"/>
      <c r="B526" s="88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89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ht="15.75" customHeight="1">
      <c r="A527" s="88"/>
      <c r="B527" s="88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89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ht="15.75" customHeight="1">
      <c r="A528" s="88"/>
      <c r="B528" s="88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89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ht="15.75" customHeight="1">
      <c r="A529" s="88"/>
      <c r="B529" s="88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89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ht="15.75" customHeight="1">
      <c r="A530" s="88"/>
      <c r="B530" s="88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89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ht="15.75" customHeight="1">
      <c r="A531" s="88"/>
      <c r="B531" s="88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89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ht="15.75" customHeight="1">
      <c r="A532" s="88"/>
      <c r="B532" s="88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89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ht="15.75" customHeight="1">
      <c r="A533" s="88"/>
      <c r="B533" s="88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89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ht="15.75" customHeight="1">
      <c r="A534" s="88"/>
      <c r="B534" s="88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89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ht="15.75" customHeight="1">
      <c r="A535" s="88"/>
      <c r="B535" s="88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89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ht="15.75" customHeight="1">
      <c r="A536" s="88"/>
      <c r="B536" s="88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89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ht="15.75" customHeight="1">
      <c r="A537" s="88"/>
      <c r="B537" s="88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89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ht="15.75" customHeight="1">
      <c r="A538" s="88"/>
      <c r="B538" s="88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89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ht="15.75" customHeight="1">
      <c r="A539" s="88"/>
      <c r="B539" s="88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89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ht="15.75" customHeight="1">
      <c r="A540" s="88"/>
      <c r="B540" s="88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89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ht="15.75" customHeight="1">
      <c r="A541" s="88"/>
      <c r="B541" s="88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89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ht="15.75" customHeight="1">
      <c r="A542" s="88"/>
      <c r="B542" s="88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89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ht="15.75" customHeight="1">
      <c r="A543" s="88"/>
      <c r="B543" s="88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89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ht="15.75" customHeight="1">
      <c r="A544" s="88"/>
      <c r="B544" s="88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89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ht="15.75" customHeight="1">
      <c r="A545" s="88"/>
      <c r="B545" s="88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89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ht="15.75" customHeight="1">
      <c r="A546" s="88"/>
      <c r="B546" s="88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89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ht="15.75" customHeight="1">
      <c r="A547" s="88"/>
      <c r="B547" s="88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89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ht="15.75" customHeight="1">
      <c r="A548" s="88"/>
      <c r="B548" s="88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89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ht="15.75" customHeight="1">
      <c r="A549" s="88"/>
      <c r="B549" s="88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89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ht="15.75" customHeight="1">
      <c r="A550" s="88"/>
      <c r="B550" s="88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89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ht="15.75" customHeight="1">
      <c r="A551" s="88"/>
      <c r="B551" s="88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89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ht="15.75" customHeight="1">
      <c r="A552" s="88"/>
      <c r="B552" s="88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89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ht="15.75" customHeight="1">
      <c r="A553" s="88"/>
      <c r="B553" s="88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89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ht="15.75" customHeight="1">
      <c r="A554" s="88"/>
      <c r="B554" s="88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89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ht="15.75" customHeight="1">
      <c r="A555" s="88"/>
      <c r="B555" s="88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89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ht="15.75" customHeight="1">
      <c r="A556" s="88"/>
      <c r="B556" s="88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89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ht="15.75" customHeight="1">
      <c r="A557" s="88"/>
      <c r="B557" s="88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89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ht="15.75" customHeight="1">
      <c r="A558" s="88"/>
      <c r="B558" s="88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89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ht="15.75" customHeight="1">
      <c r="A559" s="88"/>
      <c r="B559" s="88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89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ht="15.75" customHeight="1">
      <c r="A560" s="88"/>
      <c r="B560" s="88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89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ht="15.75" customHeight="1">
      <c r="A561" s="88"/>
      <c r="B561" s="88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89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ht="15.75" customHeight="1">
      <c r="A562" s="88"/>
      <c r="B562" s="88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89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ht="15.75" customHeight="1">
      <c r="A563" s="88"/>
      <c r="B563" s="88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89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ht="15.75" customHeight="1">
      <c r="A564" s="88"/>
      <c r="B564" s="88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89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ht="15.75" customHeight="1">
      <c r="A565" s="88"/>
      <c r="B565" s="88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89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ht="15.75" customHeight="1">
      <c r="A566" s="88"/>
      <c r="B566" s="88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89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ht="15.75" customHeight="1">
      <c r="A567" s="88"/>
      <c r="B567" s="88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89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ht="15.75" customHeight="1">
      <c r="A568" s="88"/>
      <c r="B568" s="88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89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ht="15.75" customHeight="1">
      <c r="A569" s="88"/>
      <c r="B569" s="88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89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ht="15.75" customHeight="1">
      <c r="A570" s="88"/>
      <c r="B570" s="88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89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ht="15.75" customHeight="1">
      <c r="A571" s="88"/>
      <c r="B571" s="88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89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ht="15.75" customHeight="1">
      <c r="A572" s="88"/>
      <c r="B572" s="88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89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ht="15.75" customHeight="1">
      <c r="A573" s="88"/>
      <c r="B573" s="88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89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ht="15.75" customHeight="1">
      <c r="A574" s="88"/>
      <c r="B574" s="88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89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ht="15.75" customHeight="1">
      <c r="A575" s="88"/>
      <c r="B575" s="88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89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ht="15.75" customHeight="1">
      <c r="A576" s="88"/>
      <c r="B576" s="88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89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ht="15.75" customHeight="1">
      <c r="A577" s="88"/>
      <c r="B577" s="88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89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ht="15.75" customHeight="1">
      <c r="A578" s="88"/>
      <c r="B578" s="88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89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ht="15.75" customHeight="1">
      <c r="A579" s="88"/>
      <c r="B579" s="88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89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ht="15.75" customHeight="1">
      <c r="A580" s="88"/>
      <c r="B580" s="88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89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ht="15.75" customHeight="1">
      <c r="A581" s="88"/>
      <c r="B581" s="88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89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ht="15.75" customHeight="1">
      <c r="A582" s="88"/>
      <c r="B582" s="88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89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ht="15.75" customHeight="1">
      <c r="A583" s="88"/>
      <c r="B583" s="88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89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ht="15.75" customHeight="1">
      <c r="A584" s="88"/>
      <c r="B584" s="88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89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ht="15.75" customHeight="1">
      <c r="A585" s="88"/>
      <c r="B585" s="88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89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ht="15.75" customHeight="1">
      <c r="A586" s="88"/>
      <c r="B586" s="88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89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ht="15.75" customHeight="1">
      <c r="A587" s="88"/>
      <c r="B587" s="88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89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ht="15.75" customHeight="1">
      <c r="A588" s="88"/>
      <c r="B588" s="88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89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ht="15.75" customHeight="1">
      <c r="A589" s="88"/>
      <c r="B589" s="88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89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ht="15.75" customHeight="1">
      <c r="A590" s="88"/>
      <c r="B590" s="88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89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ht="15.75" customHeight="1">
      <c r="A591" s="88"/>
      <c r="B591" s="88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89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ht="15.75" customHeight="1">
      <c r="A592" s="88"/>
      <c r="B592" s="88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89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ht="15.75" customHeight="1">
      <c r="A593" s="88"/>
      <c r="B593" s="88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89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ht="15.75" customHeight="1">
      <c r="A594" s="88"/>
      <c r="B594" s="88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89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ht="15.75" customHeight="1">
      <c r="A595" s="88"/>
      <c r="B595" s="88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89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ht="15.75" customHeight="1">
      <c r="A596" s="88"/>
      <c r="B596" s="88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89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ht="15.75" customHeight="1">
      <c r="A597" s="88"/>
      <c r="B597" s="88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89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ht="15.75" customHeight="1">
      <c r="A598" s="88"/>
      <c r="B598" s="88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89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ht="15.75" customHeight="1">
      <c r="A599" s="88"/>
      <c r="B599" s="88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89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ht="15.75" customHeight="1">
      <c r="A600" s="88"/>
      <c r="B600" s="88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89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ht="15.75" customHeight="1">
      <c r="A601" s="88"/>
      <c r="B601" s="88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89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ht="15.75" customHeight="1">
      <c r="A602" s="88"/>
      <c r="B602" s="88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89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ht="15.75" customHeight="1">
      <c r="A603" s="88"/>
      <c r="B603" s="88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89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ht="15.75" customHeight="1">
      <c r="A604" s="88"/>
      <c r="B604" s="88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89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ht="15.75" customHeight="1">
      <c r="A605" s="88"/>
      <c r="B605" s="88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89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ht="15.75" customHeight="1">
      <c r="A606" s="88"/>
      <c r="B606" s="88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89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ht="15.75" customHeight="1">
      <c r="A607" s="88"/>
      <c r="B607" s="88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89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ht="15.75" customHeight="1">
      <c r="A608" s="88"/>
      <c r="B608" s="88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89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ht="15.75" customHeight="1">
      <c r="A609" s="88"/>
      <c r="B609" s="88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89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ht="15.75" customHeight="1">
      <c r="A610" s="88"/>
      <c r="B610" s="88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89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ht="15.75" customHeight="1">
      <c r="A611" s="88"/>
      <c r="B611" s="88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89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ht="15.75" customHeight="1">
      <c r="A612" s="88"/>
      <c r="B612" s="88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89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ht="15.75" customHeight="1">
      <c r="A613" s="88"/>
      <c r="B613" s="88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89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ht="15.75" customHeight="1">
      <c r="A614" s="88"/>
      <c r="B614" s="88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89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ht="15.75" customHeight="1">
      <c r="A615" s="88"/>
      <c r="B615" s="88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89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ht="15.75" customHeight="1">
      <c r="A616" s="88"/>
      <c r="B616" s="88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89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ht="15.75" customHeight="1">
      <c r="A617" s="88"/>
      <c r="B617" s="88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89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ht="15.75" customHeight="1">
      <c r="A618" s="88"/>
      <c r="B618" s="88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89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ht="15.75" customHeight="1">
      <c r="A619" s="88"/>
      <c r="B619" s="88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89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ht="15.75" customHeight="1">
      <c r="A620" s="88"/>
      <c r="B620" s="88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89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ht="15.75" customHeight="1">
      <c r="A621" s="88"/>
      <c r="B621" s="88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89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ht="15.75" customHeight="1">
      <c r="A622" s="88"/>
      <c r="B622" s="88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89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ht="15.75" customHeight="1">
      <c r="A623" s="88"/>
      <c r="B623" s="88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89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ht="15.75" customHeight="1">
      <c r="A624" s="88"/>
      <c r="B624" s="88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89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ht="15.75" customHeight="1">
      <c r="A625" s="88"/>
      <c r="B625" s="88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89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ht="15.75" customHeight="1">
      <c r="A626" s="88"/>
      <c r="B626" s="88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89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ht="15.75" customHeight="1">
      <c r="A627" s="88"/>
      <c r="B627" s="88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89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ht="15.75" customHeight="1">
      <c r="A628" s="88"/>
      <c r="B628" s="88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89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ht="15.75" customHeight="1">
      <c r="A629" s="88"/>
      <c r="B629" s="88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89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ht="15.75" customHeight="1">
      <c r="A630" s="88"/>
      <c r="B630" s="88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89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ht="15.75" customHeight="1">
      <c r="A631" s="88"/>
      <c r="B631" s="88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89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ht="15.75" customHeight="1">
      <c r="A632" s="88"/>
      <c r="B632" s="88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89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ht="15.75" customHeight="1">
      <c r="A633" s="88"/>
      <c r="B633" s="88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89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ht="15.75" customHeight="1">
      <c r="A634" s="88"/>
      <c r="B634" s="88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89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ht="15.75" customHeight="1">
      <c r="A635" s="88"/>
      <c r="B635" s="88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89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ht="15.75" customHeight="1">
      <c r="A636" s="88"/>
      <c r="B636" s="88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89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ht="15.75" customHeight="1">
      <c r="A637" s="88"/>
      <c r="B637" s="88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89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ht="15.75" customHeight="1">
      <c r="A638" s="88"/>
      <c r="B638" s="88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89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ht="15.75" customHeight="1">
      <c r="A639" s="88"/>
      <c r="B639" s="88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89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ht="15.75" customHeight="1">
      <c r="A640" s="88"/>
      <c r="B640" s="88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89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ht="15.75" customHeight="1">
      <c r="A641" s="88"/>
      <c r="B641" s="88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89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ht="15.75" customHeight="1">
      <c r="A642" s="88"/>
      <c r="B642" s="88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89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ht="15.75" customHeight="1">
      <c r="A643" s="88"/>
      <c r="B643" s="88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89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ht="15.75" customHeight="1">
      <c r="A644" s="88"/>
      <c r="B644" s="88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89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ht="15.75" customHeight="1">
      <c r="A645" s="88"/>
      <c r="B645" s="88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89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ht="15.75" customHeight="1">
      <c r="A646" s="88"/>
      <c r="B646" s="88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89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ht="15.75" customHeight="1">
      <c r="A647" s="88"/>
      <c r="B647" s="88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89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ht="15.75" customHeight="1">
      <c r="A648" s="88"/>
      <c r="B648" s="88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89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ht="15.75" customHeight="1">
      <c r="A649" s="88"/>
      <c r="B649" s="88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89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ht="15.75" customHeight="1">
      <c r="A650" s="88"/>
      <c r="B650" s="88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89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ht="15.75" customHeight="1">
      <c r="A651" s="88"/>
      <c r="B651" s="88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89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ht="15.75" customHeight="1">
      <c r="A652" s="88"/>
      <c r="B652" s="88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89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ht="15.75" customHeight="1">
      <c r="A653" s="88"/>
      <c r="B653" s="88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89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ht="15.75" customHeight="1">
      <c r="A654" s="88"/>
      <c r="B654" s="88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89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ht="15.75" customHeight="1">
      <c r="A655" s="88"/>
      <c r="B655" s="88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89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ht="15.75" customHeight="1">
      <c r="A656" s="88"/>
      <c r="B656" s="88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89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ht="15.75" customHeight="1">
      <c r="A657" s="88"/>
      <c r="B657" s="88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89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ht="15.75" customHeight="1">
      <c r="A658" s="88"/>
      <c r="B658" s="88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89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ht="15.75" customHeight="1">
      <c r="A659" s="88"/>
      <c r="B659" s="88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89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ht="15.75" customHeight="1">
      <c r="A660" s="88"/>
      <c r="B660" s="88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89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ht="15.75" customHeight="1">
      <c r="A661" s="88"/>
      <c r="B661" s="88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89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ht="15.75" customHeight="1">
      <c r="A662" s="88"/>
      <c r="B662" s="88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89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ht="15.75" customHeight="1">
      <c r="A663" s="88"/>
      <c r="B663" s="88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89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ht="15.75" customHeight="1">
      <c r="A664" s="88"/>
      <c r="B664" s="88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89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ht="15.75" customHeight="1">
      <c r="A665" s="88"/>
      <c r="B665" s="88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89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ht="15.75" customHeight="1">
      <c r="A666" s="88"/>
      <c r="B666" s="88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89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ht="15.75" customHeight="1">
      <c r="A667" s="88"/>
      <c r="B667" s="88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89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ht="15.75" customHeight="1">
      <c r="A668" s="88"/>
      <c r="B668" s="88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89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ht="15.75" customHeight="1">
      <c r="A669" s="88"/>
      <c r="B669" s="88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89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ht="15.75" customHeight="1">
      <c r="A670" s="88"/>
      <c r="B670" s="88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89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ht="15.75" customHeight="1">
      <c r="A671" s="88"/>
      <c r="B671" s="88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89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ht="15.75" customHeight="1">
      <c r="A672" s="88"/>
      <c r="B672" s="88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89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ht="15.75" customHeight="1">
      <c r="A673" s="88"/>
      <c r="B673" s="88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89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ht="15.75" customHeight="1">
      <c r="A674" s="88"/>
      <c r="B674" s="88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89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ht="15.75" customHeight="1">
      <c r="A675" s="88"/>
      <c r="B675" s="88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89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ht="15.75" customHeight="1">
      <c r="A676" s="88"/>
      <c r="B676" s="88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89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ht="15.75" customHeight="1">
      <c r="A677" s="88"/>
      <c r="B677" s="88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89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ht="15.75" customHeight="1">
      <c r="A678" s="88"/>
      <c r="B678" s="88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89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ht="15.75" customHeight="1">
      <c r="A679" s="88"/>
      <c r="B679" s="88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89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ht="15.75" customHeight="1">
      <c r="A680" s="88"/>
      <c r="B680" s="88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89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ht="15.75" customHeight="1">
      <c r="A681" s="88"/>
      <c r="B681" s="88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89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ht="15.75" customHeight="1">
      <c r="A682" s="88"/>
      <c r="B682" s="88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89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ht="15.75" customHeight="1">
      <c r="A683" s="88"/>
      <c r="B683" s="88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89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ht="15.75" customHeight="1">
      <c r="A684" s="88"/>
      <c r="B684" s="88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89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ht="15.75" customHeight="1">
      <c r="A685" s="88"/>
      <c r="B685" s="88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89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ht="15.75" customHeight="1">
      <c r="A686" s="88"/>
      <c r="B686" s="88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89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ht="15.75" customHeight="1">
      <c r="A687" s="88"/>
      <c r="B687" s="88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89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ht="15.75" customHeight="1">
      <c r="A688" s="88"/>
      <c r="B688" s="88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89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ht="15.75" customHeight="1">
      <c r="A689" s="88"/>
      <c r="B689" s="88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89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ht="15.75" customHeight="1">
      <c r="A690" s="88"/>
      <c r="B690" s="88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89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ht="15.75" customHeight="1">
      <c r="A691" s="88"/>
      <c r="B691" s="88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89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ht="15.75" customHeight="1">
      <c r="A692" s="88"/>
      <c r="B692" s="88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89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ht="15.75" customHeight="1">
      <c r="A693" s="88"/>
      <c r="B693" s="88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89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ht="15.75" customHeight="1">
      <c r="A694" s="88"/>
      <c r="B694" s="88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89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ht="15.75" customHeight="1">
      <c r="A695" s="88"/>
      <c r="B695" s="88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89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ht="15.75" customHeight="1">
      <c r="A696" s="88"/>
      <c r="B696" s="88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89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ht="15.75" customHeight="1">
      <c r="A697" s="88"/>
      <c r="B697" s="88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89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ht="15.75" customHeight="1">
      <c r="A698" s="88"/>
      <c r="B698" s="88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89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ht="15.75" customHeight="1">
      <c r="A699" s="88"/>
      <c r="B699" s="88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89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ht="15.75" customHeight="1">
      <c r="A700" s="88"/>
      <c r="B700" s="88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89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ht="15.75" customHeight="1">
      <c r="A701" s="88"/>
      <c r="B701" s="88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89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ht="15.75" customHeight="1">
      <c r="A702" s="88"/>
      <c r="B702" s="88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89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ht="15.75" customHeight="1">
      <c r="A703" s="88"/>
      <c r="B703" s="88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89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ht="15.75" customHeight="1">
      <c r="A704" s="88"/>
      <c r="B704" s="88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89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ht="15.75" customHeight="1">
      <c r="A705" s="88"/>
      <c r="B705" s="88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89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ht="15.75" customHeight="1">
      <c r="A706" s="88"/>
      <c r="B706" s="88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89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ht="15.75" customHeight="1">
      <c r="A707" s="88"/>
      <c r="B707" s="88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89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ht="15.75" customHeight="1">
      <c r="A708" s="88"/>
      <c r="B708" s="88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89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ht="15.75" customHeight="1">
      <c r="A709" s="88"/>
      <c r="B709" s="88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89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ht="15.75" customHeight="1">
      <c r="A710" s="88"/>
      <c r="B710" s="88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89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ht="15.75" customHeight="1">
      <c r="A711" s="88"/>
      <c r="B711" s="88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89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ht="15.75" customHeight="1">
      <c r="A712" s="88"/>
      <c r="B712" s="88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89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ht="15.75" customHeight="1">
      <c r="A713" s="88"/>
      <c r="B713" s="88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89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ht="15.75" customHeight="1">
      <c r="A714" s="88"/>
      <c r="B714" s="88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89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ht="15.75" customHeight="1">
      <c r="A715" s="88"/>
      <c r="B715" s="88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89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ht="15.75" customHeight="1">
      <c r="A716" s="88"/>
      <c r="B716" s="88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89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ht="15.75" customHeight="1">
      <c r="A717" s="88"/>
      <c r="B717" s="88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89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ht="15.75" customHeight="1">
      <c r="A718" s="88"/>
      <c r="B718" s="88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89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ht="15.75" customHeight="1">
      <c r="A719" s="88"/>
      <c r="B719" s="88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89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ht="15.75" customHeight="1">
      <c r="A720" s="88"/>
      <c r="B720" s="88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89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 ht="15.75" customHeight="1">
      <c r="A721" s="88"/>
      <c r="B721" s="88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89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 ht="15.75" customHeight="1">
      <c r="A722" s="88"/>
      <c r="B722" s="88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89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 ht="15.75" customHeight="1">
      <c r="A723" s="88"/>
      <c r="B723" s="88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89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 ht="15.75" customHeight="1">
      <c r="A724" s="88"/>
      <c r="B724" s="88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89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 ht="15.75" customHeight="1">
      <c r="A725" s="88"/>
      <c r="B725" s="88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89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 ht="15.75" customHeight="1">
      <c r="A726" s="88"/>
      <c r="B726" s="88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89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 ht="15.75" customHeight="1">
      <c r="A727" s="88"/>
      <c r="B727" s="88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89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 ht="15.75" customHeight="1">
      <c r="A728" s="88"/>
      <c r="B728" s="88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89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 ht="15.75" customHeight="1">
      <c r="A729" s="88"/>
      <c r="B729" s="88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89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 ht="15.75" customHeight="1">
      <c r="A730" s="88"/>
      <c r="B730" s="88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89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 ht="15.75" customHeight="1">
      <c r="A731" s="88"/>
      <c r="B731" s="88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89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 ht="15.75" customHeight="1">
      <c r="A732" s="88"/>
      <c r="B732" s="88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89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 ht="15.75" customHeight="1">
      <c r="A733" s="88"/>
      <c r="B733" s="88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89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 ht="15.75" customHeight="1">
      <c r="A734" s="88"/>
      <c r="B734" s="88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89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 ht="15.75" customHeight="1">
      <c r="A735" s="88"/>
      <c r="B735" s="88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89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 ht="15.75" customHeight="1">
      <c r="A736" s="88"/>
      <c r="B736" s="88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89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 ht="15.75" customHeight="1">
      <c r="A737" s="88"/>
      <c r="B737" s="88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89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 ht="15.75" customHeight="1">
      <c r="A738" s="88"/>
      <c r="B738" s="88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89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 ht="15.75" customHeight="1">
      <c r="A739" s="88"/>
      <c r="B739" s="88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89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 ht="15.75" customHeight="1">
      <c r="A740" s="88"/>
      <c r="B740" s="88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89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 ht="15.75" customHeight="1">
      <c r="A741" s="88"/>
      <c r="B741" s="88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89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 ht="15.75" customHeight="1">
      <c r="A742" s="88"/>
      <c r="B742" s="88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89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 ht="15.75" customHeight="1">
      <c r="A743" s="88"/>
      <c r="B743" s="88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89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 ht="15.75" customHeight="1">
      <c r="A744" s="88"/>
      <c r="B744" s="88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89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 ht="15.75" customHeight="1">
      <c r="A745" s="88"/>
      <c r="B745" s="88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89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 ht="15.75" customHeight="1">
      <c r="A746" s="88"/>
      <c r="B746" s="88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89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 ht="15.75" customHeight="1">
      <c r="A747" s="88"/>
      <c r="B747" s="88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89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 ht="15.75" customHeight="1">
      <c r="A748" s="88"/>
      <c r="B748" s="88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89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 ht="15.75" customHeight="1">
      <c r="A749" s="88"/>
      <c r="B749" s="88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89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 ht="15.75" customHeight="1">
      <c r="A750" s="88"/>
      <c r="B750" s="88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89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 ht="15.75" customHeight="1">
      <c r="A751" s="88"/>
      <c r="B751" s="88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89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 ht="15.75" customHeight="1">
      <c r="A752" s="88"/>
      <c r="B752" s="88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89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 ht="15.75" customHeight="1">
      <c r="A753" s="88"/>
      <c r="B753" s="88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89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 ht="15.75" customHeight="1">
      <c r="A754" s="88"/>
      <c r="B754" s="88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89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 ht="15.75" customHeight="1">
      <c r="A755" s="88"/>
      <c r="B755" s="88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89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 ht="15.75" customHeight="1">
      <c r="A756" s="88"/>
      <c r="B756" s="88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89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 ht="15.75" customHeight="1">
      <c r="A757" s="88"/>
      <c r="B757" s="88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89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 ht="15.75" customHeight="1">
      <c r="A758" s="88"/>
      <c r="B758" s="88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89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 ht="15.75" customHeight="1">
      <c r="A759" s="88"/>
      <c r="B759" s="88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89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 ht="15.75" customHeight="1">
      <c r="A760" s="88"/>
      <c r="B760" s="88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89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 ht="15.75" customHeight="1">
      <c r="A761" s="88"/>
      <c r="B761" s="88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89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 ht="15.75" customHeight="1">
      <c r="A762" s="88"/>
      <c r="B762" s="88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89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 ht="15.75" customHeight="1">
      <c r="A763" s="88"/>
      <c r="B763" s="88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89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 ht="15.75" customHeight="1">
      <c r="A764" s="88"/>
      <c r="B764" s="88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89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 ht="15.75" customHeight="1">
      <c r="A765" s="88"/>
      <c r="B765" s="88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89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 ht="15.75" customHeight="1">
      <c r="A766" s="88"/>
      <c r="B766" s="88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89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 ht="15.75" customHeight="1">
      <c r="A767" s="88"/>
      <c r="B767" s="88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89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 ht="15.75" customHeight="1">
      <c r="A768" s="88"/>
      <c r="B768" s="88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89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 ht="15.75" customHeight="1">
      <c r="A769" s="88"/>
      <c r="B769" s="88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89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 ht="15.75" customHeight="1">
      <c r="A770" s="88"/>
      <c r="B770" s="88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89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 ht="15.75" customHeight="1">
      <c r="A771" s="88"/>
      <c r="B771" s="88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89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 ht="15.75" customHeight="1">
      <c r="A772" s="88"/>
      <c r="B772" s="88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89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 ht="15.75" customHeight="1">
      <c r="A773" s="88"/>
      <c r="B773" s="88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89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 ht="15.75" customHeight="1">
      <c r="A774" s="88"/>
      <c r="B774" s="88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89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 ht="15.75" customHeight="1">
      <c r="A775" s="88"/>
      <c r="B775" s="88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89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 ht="15.75" customHeight="1">
      <c r="A776" s="88"/>
      <c r="B776" s="88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89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 ht="15.75" customHeight="1">
      <c r="A777" s="88"/>
      <c r="B777" s="88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89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 ht="15.75" customHeight="1">
      <c r="A778" s="88"/>
      <c r="B778" s="88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89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 ht="15.75" customHeight="1">
      <c r="A779" s="88"/>
      <c r="B779" s="88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89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 ht="15.75" customHeight="1">
      <c r="A780" s="88"/>
      <c r="B780" s="88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89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 ht="15.75" customHeight="1">
      <c r="A781" s="88"/>
      <c r="B781" s="88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89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 ht="15.75" customHeight="1">
      <c r="A782" s="88"/>
      <c r="B782" s="88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89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 ht="15.75" customHeight="1">
      <c r="A783" s="88"/>
      <c r="B783" s="88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89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 ht="15.75" customHeight="1">
      <c r="A784" s="88"/>
      <c r="B784" s="88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89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 ht="15.75" customHeight="1">
      <c r="A785" s="88"/>
      <c r="B785" s="88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89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 ht="15.75" customHeight="1">
      <c r="A786" s="88"/>
      <c r="B786" s="88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89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 ht="15.75" customHeight="1">
      <c r="A787" s="88"/>
      <c r="B787" s="88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89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 ht="15.75" customHeight="1">
      <c r="A788" s="88"/>
      <c r="B788" s="88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89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 ht="15.75" customHeight="1">
      <c r="A789" s="88"/>
      <c r="B789" s="88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89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 ht="15.75" customHeight="1">
      <c r="A790" s="88"/>
      <c r="B790" s="88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89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 ht="15.75" customHeight="1">
      <c r="A791" s="88"/>
      <c r="B791" s="88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89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 ht="15.75" customHeight="1">
      <c r="A792" s="88"/>
      <c r="B792" s="88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89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 ht="15.75" customHeight="1">
      <c r="A793" s="88"/>
      <c r="B793" s="88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89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 ht="15.75" customHeight="1">
      <c r="A794" s="88"/>
      <c r="B794" s="88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89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 ht="15.75" customHeight="1">
      <c r="A795" s="88"/>
      <c r="B795" s="88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89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 ht="15.75" customHeight="1">
      <c r="A796" s="88"/>
      <c r="B796" s="88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89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 ht="15.75" customHeight="1">
      <c r="A797" s="88"/>
      <c r="B797" s="88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89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 ht="15.75" customHeight="1">
      <c r="A798" s="88"/>
      <c r="B798" s="88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89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 ht="15.75" customHeight="1">
      <c r="A799" s="88"/>
      <c r="B799" s="88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89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 ht="15.75" customHeight="1">
      <c r="A800" s="88"/>
      <c r="B800" s="88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89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 ht="15.75" customHeight="1">
      <c r="A801" s="88"/>
      <c r="B801" s="88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89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 ht="15.75" customHeight="1">
      <c r="A802" s="88"/>
      <c r="B802" s="88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89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 ht="15.75" customHeight="1">
      <c r="A803" s="88"/>
      <c r="B803" s="88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89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 ht="15.75" customHeight="1">
      <c r="A804" s="88"/>
      <c r="B804" s="88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89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 ht="15.75" customHeight="1">
      <c r="A805" s="88"/>
      <c r="B805" s="88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89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 ht="15.75" customHeight="1">
      <c r="A806" s="88"/>
      <c r="B806" s="88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89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 ht="15.75" customHeight="1">
      <c r="A807" s="88"/>
      <c r="B807" s="88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89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 ht="15.75" customHeight="1">
      <c r="A808" s="88"/>
      <c r="B808" s="88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89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 ht="15.75" customHeight="1">
      <c r="A809" s="88"/>
      <c r="B809" s="88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89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ht="15.75" customHeight="1">
      <c r="A810" s="88"/>
      <c r="B810" s="88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89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 ht="15.75" customHeight="1">
      <c r="A811" s="88"/>
      <c r="B811" s="88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89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 ht="15.75" customHeight="1">
      <c r="A812" s="88"/>
      <c r="B812" s="88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89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 ht="15.75" customHeight="1">
      <c r="A813" s="88"/>
      <c r="B813" s="88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89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 ht="15.75" customHeight="1">
      <c r="A814" s="88"/>
      <c r="B814" s="88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89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 ht="15.75" customHeight="1">
      <c r="A815" s="88"/>
      <c r="B815" s="88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89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 ht="15.75" customHeight="1">
      <c r="A816" s="88"/>
      <c r="B816" s="88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89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 ht="15.75" customHeight="1">
      <c r="A817" s="88"/>
      <c r="B817" s="88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89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 ht="15.75" customHeight="1">
      <c r="A818" s="88"/>
      <c r="B818" s="88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89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 ht="15.75" customHeight="1">
      <c r="A819" s="88"/>
      <c r="B819" s="88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89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 ht="15.75" customHeight="1">
      <c r="A820" s="88"/>
      <c r="B820" s="88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89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 ht="15.75" customHeight="1">
      <c r="A821" s="88"/>
      <c r="B821" s="88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89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 ht="15.75" customHeight="1">
      <c r="A822" s="88"/>
      <c r="B822" s="88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89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 ht="15.75" customHeight="1">
      <c r="A823" s="88"/>
      <c r="B823" s="88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89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 ht="15.75" customHeight="1">
      <c r="A824" s="88"/>
      <c r="B824" s="88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89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 ht="15.75" customHeight="1">
      <c r="A825" s="88"/>
      <c r="B825" s="88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89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 ht="15.75" customHeight="1">
      <c r="A826" s="88"/>
      <c r="B826" s="88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89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 ht="15.75" customHeight="1">
      <c r="A827" s="88"/>
      <c r="B827" s="88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89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 ht="15.75" customHeight="1">
      <c r="A828" s="88"/>
      <c r="B828" s="88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89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 ht="15.75" customHeight="1">
      <c r="A829" s="88"/>
      <c r="B829" s="88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89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 ht="15.75" customHeight="1">
      <c r="A830" s="88"/>
      <c r="B830" s="88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89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 ht="15.75" customHeight="1">
      <c r="A831" s="88"/>
      <c r="B831" s="88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89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 ht="15.75" customHeight="1">
      <c r="A832" s="88"/>
      <c r="B832" s="88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89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 ht="15.75" customHeight="1">
      <c r="A833" s="88"/>
      <c r="B833" s="88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89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 ht="15.75" customHeight="1">
      <c r="A834" s="88"/>
      <c r="B834" s="88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89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 ht="15.75" customHeight="1">
      <c r="A835" s="88"/>
      <c r="B835" s="88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89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 ht="15.75" customHeight="1">
      <c r="A836" s="88"/>
      <c r="B836" s="88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89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 ht="15.75" customHeight="1">
      <c r="A837" s="88"/>
      <c r="B837" s="88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89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 ht="15.75" customHeight="1">
      <c r="A838" s="88"/>
      <c r="B838" s="88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89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ht="15.75" customHeight="1">
      <c r="A839" s="88"/>
      <c r="B839" s="88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89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 ht="15.75" customHeight="1">
      <c r="A840" s="88"/>
      <c r="B840" s="88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89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 ht="15.75" customHeight="1">
      <c r="A841" s="88"/>
      <c r="B841" s="88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89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 ht="15.75" customHeight="1">
      <c r="A842" s="88"/>
      <c r="B842" s="88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89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ht="15.75" customHeight="1">
      <c r="A843" s="88"/>
      <c r="B843" s="88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89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 ht="15.75" customHeight="1">
      <c r="A844" s="88"/>
      <c r="B844" s="88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89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 ht="15.75" customHeight="1">
      <c r="A845" s="88"/>
      <c r="B845" s="88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89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 ht="15.75" customHeight="1">
      <c r="A846" s="88"/>
      <c r="B846" s="88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89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 ht="15.75" customHeight="1">
      <c r="A847" s="88"/>
      <c r="B847" s="88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89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 ht="15.75" customHeight="1">
      <c r="A848" s="88"/>
      <c r="B848" s="88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89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 ht="15.75" customHeight="1">
      <c r="A849" s="88"/>
      <c r="B849" s="88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89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 ht="15.75" customHeight="1">
      <c r="A850" s="88"/>
      <c r="B850" s="88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89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 ht="15.75" customHeight="1">
      <c r="A851" s="88"/>
      <c r="B851" s="88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89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 ht="15.75" customHeight="1">
      <c r="A852" s="88"/>
      <c r="B852" s="88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89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 ht="15.75" customHeight="1">
      <c r="A853" s="88"/>
      <c r="B853" s="88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89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 ht="15.75" customHeight="1">
      <c r="A854" s="88"/>
      <c r="B854" s="88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89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 ht="15.75" customHeight="1">
      <c r="A855" s="88"/>
      <c r="B855" s="88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89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 ht="15.75" customHeight="1">
      <c r="A856" s="88"/>
      <c r="B856" s="88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89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 ht="15.75" customHeight="1">
      <c r="A857" s="88"/>
      <c r="B857" s="88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89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ht="15.75" customHeight="1">
      <c r="A858" s="88"/>
      <c r="B858" s="88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89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 ht="15.75" customHeight="1">
      <c r="A859" s="88"/>
      <c r="B859" s="88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89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 ht="15.75" customHeight="1">
      <c r="A860" s="88"/>
      <c r="B860" s="88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89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 ht="15.75" customHeight="1">
      <c r="A861" s="88"/>
      <c r="B861" s="88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89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 ht="15.75" customHeight="1">
      <c r="A862" s="88"/>
      <c r="B862" s="88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89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 ht="15.75" customHeight="1">
      <c r="A863" s="88"/>
      <c r="B863" s="88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89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 ht="15.75" customHeight="1">
      <c r="A864" s="88"/>
      <c r="B864" s="88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89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 ht="15.75" customHeight="1">
      <c r="A865" s="88"/>
      <c r="B865" s="88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89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 ht="15.75" customHeight="1">
      <c r="A866" s="88"/>
      <c r="B866" s="88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89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 ht="15.75" customHeight="1">
      <c r="A867" s="88"/>
      <c r="B867" s="88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89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 ht="15.75" customHeight="1">
      <c r="A868" s="88"/>
      <c r="B868" s="88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89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 ht="15.75" customHeight="1">
      <c r="A869" s="88"/>
      <c r="B869" s="88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89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ht="15.75" customHeight="1">
      <c r="A870" s="88"/>
      <c r="B870" s="88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89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 ht="15.75" customHeight="1">
      <c r="A871" s="88"/>
      <c r="B871" s="88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89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ht="15.75" customHeight="1">
      <c r="A872" s="88"/>
      <c r="B872" s="88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89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 ht="15.75" customHeight="1">
      <c r="A873" s="88"/>
      <c r="B873" s="88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89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 ht="15.75" customHeight="1">
      <c r="A874" s="88"/>
      <c r="B874" s="88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89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 ht="15.75" customHeight="1">
      <c r="A875" s="88"/>
      <c r="B875" s="88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89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 ht="15.75" customHeight="1">
      <c r="A876" s="88"/>
      <c r="B876" s="88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89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 ht="15.75" customHeight="1">
      <c r="A877" s="88"/>
      <c r="B877" s="88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89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 ht="15.75" customHeight="1">
      <c r="A878" s="88"/>
      <c r="B878" s="88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89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 ht="15.75" customHeight="1">
      <c r="A879" s="88"/>
      <c r="B879" s="88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89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 ht="15.75" customHeight="1">
      <c r="A880" s="88"/>
      <c r="B880" s="88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89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 ht="15.75" customHeight="1">
      <c r="A881" s="88"/>
      <c r="B881" s="88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89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 ht="15.75" customHeight="1">
      <c r="A882" s="88"/>
      <c r="B882" s="88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89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 ht="15.75" customHeight="1">
      <c r="A883" s="88"/>
      <c r="B883" s="88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89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 ht="15.75" customHeight="1">
      <c r="A884" s="88"/>
      <c r="B884" s="88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89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 ht="15.75" customHeight="1">
      <c r="A885" s="88"/>
      <c r="B885" s="88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89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 ht="15.75" customHeight="1">
      <c r="A886" s="88"/>
      <c r="B886" s="88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89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 ht="15.75" customHeight="1">
      <c r="A887" s="88"/>
      <c r="B887" s="88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89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 ht="15.75" customHeight="1">
      <c r="A888" s="88"/>
      <c r="B888" s="88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89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 ht="15.75" customHeight="1">
      <c r="A889" s="88"/>
      <c r="B889" s="88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89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 ht="15.75" customHeight="1">
      <c r="A890" s="88"/>
      <c r="B890" s="88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89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 ht="15.75" customHeight="1">
      <c r="A891" s="88"/>
      <c r="B891" s="88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89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 ht="15.75" customHeight="1">
      <c r="A892" s="88"/>
      <c r="B892" s="88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89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 ht="15.75" customHeight="1">
      <c r="A893" s="88"/>
      <c r="B893" s="88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89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 ht="15.75" customHeight="1">
      <c r="A894" s="88"/>
      <c r="B894" s="88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89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 ht="15.75" customHeight="1">
      <c r="A895" s="88"/>
      <c r="B895" s="88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89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 ht="15.75" customHeight="1">
      <c r="A896" s="88"/>
      <c r="B896" s="88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89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 ht="15.75" customHeight="1">
      <c r="A897" s="88"/>
      <c r="B897" s="88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89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 ht="15.75" customHeight="1">
      <c r="A898" s="88"/>
      <c r="B898" s="88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89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 ht="15.75" customHeight="1">
      <c r="A899" s="88"/>
      <c r="B899" s="88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89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 ht="15.75" customHeight="1">
      <c r="A900" s="88"/>
      <c r="B900" s="88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89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 ht="15.75" customHeight="1">
      <c r="A901" s="88"/>
      <c r="B901" s="88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89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 ht="15.75" customHeight="1">
      <c r="A902" s="88"/>
      <c r="B902" s="88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89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 ht="15.75" customHeight="1">
      <c r="A903" s="88"/>
      <c r="B903" s="88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89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 ht="15.75" customHeight="1">
      <c r="A904" s="88"/>
      <c r="B904" s="88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89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 ht="15.75" customHeight="1">
      <c r="A905" s="88"/>
      <c r="B905" s="88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89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 ht="15.75" customHeight="1">
      <c r="A906" s="88"/>
      <c r="B906" s="88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89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 ht="15.75" customHeight="1">
      <c r="A907" s="88"/>
      <c r="B907" s="88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89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 ht="15.75" customHeight="1">
      <c r="A908" s="88"/>
      <c r="B908" s="88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89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 ht="15.75" customHeight="1">
      <c r="A909" s="88"/>
      <c r="B909" s="88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89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 ht="15.75" customHeight="1">
      <c r="A910" s="88"/>
      <c r="B910" s="88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89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 ht="15.75" customHeight="1">
      <c r="A911" s="88"/>
      <c r="B911" s="88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89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 ht="15.75" customHeight="1">
      <c r="A912" s="88"/>
      <c r="B912" s="88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89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 ht="15.75" customHeight="1">
      <c r="A913" s="88"/>
      <c r="B913" s="88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89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 ht="15.75" customHeight="1">
      <c r="A914" s="88"/>
      <c r="B914" s="88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89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 ht="15.75" customHeight="1">
      <c r="A915" s="88"/>
      <c r="B915" s="88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89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 ht="15.75" customHeight="1">
      <c r="A916" s="88"/>
      <c r="B916" s="88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89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 ht="15.75" customHeight="1">
      <c r="A917" s="88"/>
      <c r="B917" s="88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89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 ht="15.75" customHeight="1">
      <c r="A918" s="88"/>
      <c r="B918" s="88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89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 ht="15.75" customHeight="1">
      <c r="A919" s="88"/>
      <c r="B919" s="88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89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 ht="15.75" customHeight="1">
      <c r="A920" s="88"/>
      <c r="B920" s="88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89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 ht="15.75" customHeight="1">
      <c r="A921" s="88"/>
      <c r="B921" s="88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89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 ht="15.75" customHeight="1">
      <c r="A922" s="88"/>
      <c r="B922" s="88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89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 ht="15.75" customHeight="1">
      <c r="A923" s="88"/>
      <c r="B923" s="88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89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 ht="15.75" customHeight="1">
      <c r="A924" s="88"/>
      <c r="B924" s="88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89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 ht="15.75" customHeight="1">
      <c r="A925" s="88"/>
      <c r="B925" s="88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89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 ht="15.75" customHeight="1">
      <c r="A926" s="88"/>
      <c r="B926" s="88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89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 ht="15.75" customHeight="1">
      <c r="A927" s="88"/>
      <c r="B927" s="88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89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 ht="15.75" customHeight="1">
      <c r="A928" s="88"/>
      <c r="B928" s="88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89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 ht="15.75" customHeight="1">
      <c r="A929" s="88"/>
      <c r="B929" s="88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89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 ht="15.75" customHeight="1">
      <c r="A930" s="88"/>
      <c r="B930" s="88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89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 ht="15.75" customHeight="1">
      <c r="A931" s="88"/>
      <c r="B931" s="88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89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 ht="15.75" customHeight="1">
      <c r="A932" s="88"/>
      <c r="B932" s="88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89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 ht="15.75" customHeight="1">
      <c r="A933" s="88"/>
      <c r="B933" s="88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89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 ht="15.75" customHeight="1">
      <c r="A934" s="88"/>
      <c r="B934" s="88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89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 ht="15.75" customHeight="1">
      <c r="A935" s="88"/>
      <c r="B935" s="88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89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 ht="15.75" customHeight="1">
      <c r="A936" s="88"/>
      <c r="B936" s="88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89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 ht="15.75" customHeight="1">
      <c r="A937" s="88"/>
      <c r="B937" s="88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89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 ht="15.75" customHeight="1">
      <c r="A938" s="88"/>
      <c r="B938" s="88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89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 ht="15.75" customHeight="1">
      <c r="A939" s="88"/>
      <c r="B939" s="88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89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 ht="15.75" customHeight="1">
      <c r="A940" s="88"/>
      <c r="B940" s="88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89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 ht="15.75" customHeight="1">
      <c r="A941" s="88"/>
      <c r="B941" s="88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89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 ht="15.75" customHeight="1">
      <c r="A942" s="88"/>
      <c r="B942" s="88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89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 ht="15.75" customHeight="1">
      <c r="A943" s="88"/>
      <c r="B943" s="88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89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 ht="15.75" customHeight="1">
      <c r="A944" s="88"/>
      <c r="B944" s="88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89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 ht="15.75" customHeight="1">
      <c r="A945" s="88"/>
      <c r="B945" s="88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89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 ht="15.75" customHeight="1">
      <c r="A946" s="88"/>
      <c r="B946" s="88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89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 ht="15.75" customHeight="1">
      <c r="A947" s="88"/>
      <c r="B947" s="88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89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 ht="15.75" customHeight="1">
      <c r="A948" s="88"/>
      <c r="B948" s="88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89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 ht="15.75" customHeight="1">
      <c r="A949" s="88"/>
      <c r="B949" s="88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89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 ht="15.75" customHeight="1">
      <c r="A950" s="88"/>
      <c r="B950" s="88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89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 ht="15.75" customHeight="1">
      <c r="A951" s="88"/>
      <c r="B951" s="88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89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 ht="15.75" customHeight="1">
      <c r="A952" s="88"/>
      <c r="B952" s="88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89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 ht="15.75" customHeight="1">
      <c r="A953" s="88"/>
      <c r="B953" s="88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89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 ht="15.75" customHeight="1">
      <c r="A954" s="88"/>
      <c r="B954" s="88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89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 ht="15.75" customHeight="1">
      <c r="A955" s="88"/>
      <c r="B955" s="88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89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 ht="15.75" customHeight="1">
      <c r="A956" s="88"/>
      <c r="B956" s="88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89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 ht="15.75" customHeight="1">
      <c r="A957" s="88"/>
      <c r="B957" s="88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89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 ht="15.75" customHeight="1">
      <c r="A958" s="88"/>
      <c r="B958" s="88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89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 ht="15.75" customHeight="1">
      <c r="A959" s="88"/>
      <c r="B959" s="88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89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 ht="15.75" customHeight="1">
      <c r="A960" s="88"/>
      <c r="B960" s="88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89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 ht="15.75" customHeight="1">
      <c r="A961" s="88"/>
      <c r="B961" s="88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89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 ht="15.75" customHeight="1">
      <c r="A962" s="88"/>
      <c r="B962" s="88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89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 ht="15.75" customHeight="1">
      <c r="A963" s="88"/>
      <c r="B963" s="88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89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 ht="15.75" customHeight="1">
      <c r="A964" s="88"/>
      <c r="B964" s="88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89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 ht="15.75" customHeight="1">
      <c r="A965" s="88"/>
      <c r="B965" s="88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89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 ht="15.75" customHeight="1">
      <c r="A966" s="88"/>
      <c r="B966" s="88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89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 ht="15.75" customHeight="1">
      <c r="A967" s="88"/>
      <c r="B967" s="88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89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 ht="15.75" customHeight="1">
      <c r="A968" s="88"/>
      <c r="B968" s="88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89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 ht="15.75" customHeight="1">
      <c r="A969" s="88"/>
      <c r="B969" s="88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89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 ht="15.75" customHeight="1">
      <c r="A970" s="88"/>
      <c r="B970" s="88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89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 ht="15.75" customHeight="1">
      <c r="A971" s="88"/>
      <c r="B971" s="88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89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 ht="15.75" customHeight="1">
      <c r="A972" s="88"/>
      <c r="B972" s="88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89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 ht="15.75" customHeight="1">
      <c r="A973" s="88"/>
      <c r="B973" s="88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89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 ht="15.75" customHeight="1">
      <c r="A974" s="88"/>
      <c r="B974" s="88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89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 ht="15.75" customHeight="1">
      <c r="A975" s="88"/>
      <c r="B975" s="88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89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 ht="15.75" customHeight="1">
      <c r="A976" s="88"/>
      <c r="B976" s="88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89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 ht="15.75" customHeight="1">
      <c r="A977" s="88"/>
      <c r="B977" s="88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89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 ht="15.75" customHeight="1">
      <c r="A978" s="88"/>
      <c r="B978" s="88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89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 ht="15.75" customHeight="1">
      <c r="A979" s="88"/>
      <c r="B979" s="88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89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 ht="15.75" customHeight="1">
      <c r="A980" s="88"/>
      <c r="B980" s="88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89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 ht="15.75" customHeight="1">
      <c r="A981" s="88"/>
      <c r="B981" s="88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89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 ht="15.75" customHeight="1">
      <c r="A982" s="88"/>
      <c r="B982" s="88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89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 ht="15.75" customHeight="1">
      <c r="A983" s="88"/>
      <c r="B983" s="88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89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 ht="15.75" customHeight="1">
      <c r="A984" s="88"/>
      <c r="B984" s="88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89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 ht="15.75" customHeight="1">
      <c r="A985" s="88"/>
      <c r="B985" s="88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89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 ht="15.75" customHeight="1">
      <c r="A986" s="88"/>
      <c r="B986" s="88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89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 ht="15.75" customHeight="1">
      <c r="A987" s="88"/>
      <c r="B987" s="88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89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 ht="15.75" customHeight="1">
      <c r="A988" s="88"/>
      <c r="B988" s="88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89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 ht="15.75" customHeight="1">
      <c r="A989" s="88"/>
      <c r="B989" s="88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89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 ht="15.75" customHeight="1">
      <c r="A990" s="88"/>
      <c r="B990" s="88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89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 ht="15.75" customHeight="1">
      <c r="A991" s="88"/>
      <c r="B991" s="88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89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 ht="15.75" customHeight="1">
      <c r="A992" s="88"/>
      <c r="B992" s="88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89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 ht="15.75" customHeight="1">
      <c r="A993" s="88"/>
      <c r="B993" s="88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89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 ht="15.75" customHeight="1">
      <c r="A994" s="88"/>
      <c r="B994" s="88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89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 ht="15.75" customHeight="1">
      <c r="A995" s="88"/>
      <c r="B995" s="88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89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 ht="15.75" customHeight="1">
      <c r="A996" s="88"/>
      <c r="B996" s="88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89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 ht="15.75" customHeight="1">
      <c r="A997" s="88"/>
      <c r="B997" s="88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89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 ht="15.75" customHeight="1">
      <c r="A998" s="88"/>
      <c r="B998" s="88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89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 ht="15.75" customHeight="1">
      <c r="A999" s="88"/>
      <c r="B999" s="88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89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 ht="15.75" customHeight="1">
      <c r="A1000" s="88"/>
      <c r="B1000" s="88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89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.57"/>
    <col customWidth="1" min="2" max="2" width="5.57"/>
    <col customWidth="1" min="3" max="3" width="13.86"/>
    <col customWidth="1" min="4" max="4" width="16.86"/>
    <col customWidth="1" min="5" max="5" width="16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1" width="7.86"/>
    <col customWidth="1" min="12" max="12" width="9.14"/>
    <col customWidth="1" min="13" max="13" width="11.86"/>
    <col customWidth="1" min="14" max="14" width="24.14"/>
    <col customWidth="1" min="15" max="15" width="6.29"/>
    <col customWidth="1" min="16" max="16" width="7.57"/>
    <col customWidth="1" min="17" max="17" width="8.43"/>
    <col customWidth="1" min="18" max="28" width="8.71"/>
  </cols>
  <sheetData>
    <row r="1" ht="30.0" customHeight="1">
      <c r="A1" s="49" t="s">
        <v>0</v>
      </c>
      <c r="B1" s="49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1" t="s">
        <v>17</v>
      </c>
      <c r="S1" s="52" t="s">
        <v>18</v>
      </c>
      <c r="T1" s="52" t="s">
        <v>19</v>
      </c>
      <c r="U1" s="52" t="s">
        <v>20</v>
      </c>
      <c r="V1" s="53" t="s">
        <v>21</v>
      </c>
      <c r="W1" s="53" t="s">
        <v>22</v>
      </c>
      <c r="X1" s="54"/>
      <c r="Y1" s="54"/>
      <c r="Z1" s="54"/>
      <c r="AA1" s="54"/>
      <c r="AB1" s="54"/>
    </row>
    <row r="2" ht="14.25" customHeight="1">
      <c r="A2" s="55">
        <v>1.0</v>
      </c>
      <c r="B2" s="55" t="s">
        <v>23</v>
      </c>
      <c r="C2" s="65" t="s">
        <v>24</v>
      </c>
      <c r="D2" s="65"/>
      <c r="E2" s="65"/>
      <c r="F2" s="65"/>
      <c r="G2" s="65"/>
      <c r="H2" s="65"/>
      <c r="I2" s="65">
        <f t="shared" ref="I2:I31" si="1">max(0,K2-G2)</f>
        <v>0</v>
      </c>
      <c r="J2" s="65"/>
      <c r="K2" s="65"/>
      <c r="L2" s="65">
        <f t="shared" ref="L2:L31" si="2">J2+H2</f>
        <v>0</v>
      </c>
      <c r="M2" s="65">
        <f t="shared" ref="M2:M31" si="3">G2+H2+I2+J2</f>
        <v>0</v>
      </c>
      <c r="N2" s="90" t="s">
        <v>74</v>
      </c>
      <c r="O2" s="65">
        <v>11.31</v>
      </c>
      <c r="P2" s="65">
        <v>13.482</v>
      </c>
      <c r="Q2" s="65">
        <f t="shared" ref="Q2:Q31" si="4">(O2*D2)+(P2*E2)</f>
        <v>0</v>
      </c>
      <c r="R2" s="67"/>
      <c r="S2" s="68"/>
      <c r="T2" s="68"/>
      <c r="U2" s="68"/>
      <c r="V2" s="69">
        <f t="shared" ref="V2:V31" si="5">S2-R2</f>
        <v>0</v>
      </c>
      <c r="W2" s="69">
        <f t="shared" ref="W2:W31" si="6">U2-T2</f>
        <v>0</v>
      </c>
      <c r="X2" s="63"/>
      <c r="Y2" s="63"/>
      <c r="Z2" s="63"/>
      <c r="AA2" s="63"/>
      <c r="AB2" s="63"/>
    </row>
    <row r="3" ht="14.25" customHeight="1">
      <c r="A3" s="55">
        <v>2.0</v>
      </c>
      <c r="B3" s="55" t="s">
        <v>23</v>
      </c>
      <c r="C3" s="56" t="s">
        <v>25</v>
      </c>
      <c r="D3" s="57">
        <v>8.0</v>
      </c>
      <c r="E3" s="57">
        <v>8.0</v>
      </c>
      <c r="F3" s="56"/>
      <c r="G3" s="57">
        <v>48.0</v>
      </c>
      <c r="H3" s="56"/>
      <c r="I3" s="56">
        <f t="shared" si="1"/>
        <v>108</v>
      </c>
      <c r="J3" s="56"/>
      <c r="K3" s="57">
        <v>156.0</v>
      </c>
      <c r="L3" s="56">
        <f t="shared" si="2"/>
        <v>0</v>
      </c>
      <c r="M3" s="56">
        <f t="shared" si="3"/>
        <v>156</v>
      </c>
      <c r="N3" s="58"/>
      <c r="O3" s="56">
        <v>11.31</v>
      </c>
      <c r="P3" s="56">
        <v>13.482</v>
      </c>
      <c r="Q3" s="56">
        <f t="shared" si="4"/>
        <v>198.336</v>
      </c>
      <c r="R3" s="59">
        <v>358923.0</v>
      </c>
      <c r="S3" s="61">
        <v>359029.0</v>
      </c>
      <c r="T3" s="61">
        <v>359029.0</v>
      </c>
      <c r="U3" s="61">
        <v>359129.0</v>
      </c>
      <c r="V3" s="62">
        <f t="shared" si="5"/>
        <v>106</v>
      </c>
      <c r="W3" s="62">
        <f t="shared" si="6"/>
        <v>100</v>
      </c>
      <c r="X3" s="63"/>
      <c r="Y3" s="63"/>
      <c r="Z3" s="63"/>
      <c r="AA3" s="63"/>
      <c r="AB3" s="63"/>
    </row>
    <row r="4" ht="14.25" customHeight="1">
      <c r="A4" s="55">
        <v>3.0</v>
      </c>
      <c r="B4" s="55" t="s">
        <v>23</v>
      </c>
      <c r="C4" s="65" t="s">
        <v>26</v>
      </c>
      <c r="D4" s="65"/>
      <c r="E4" s="65"/>
      <c r="F4" s="65"/>
      <c r="G4" s="65"/>
      <c r="H4" s="65"/>
      <c r="I4" s="65">
        <f t="shared" si="1"/>
        <v>0</v>
      </c>
      <c r="J4" s="65"/>
      <c r="K4" s="65"/>
      <c r="L4" s="65">
        <f t="shared" si="2"/>
        <v>0</v>
      </c>
      <c r="M4" s="65">
        <f t="shared" si="3"/>
        <v>0</v>
      </c>
      <c r="N4" s="90" t="s">
        <v>74</v>
      </c>
      <c r="O4" s="65">
        <v>11.31</v>
      </c>
      <c r="P4" s="65">
        <v>13.482</v>
      </c>
      <c r="Q4" s="65">
        <f t="shared" si="4"/>
        <v>0</v>
      </c>
      <c r="R4" s="67"/>
      <c r="S4" s="67"/>
      <c r="T4" s="67"/>
      <c r="U4" s="68"/>
      <c r="V4" s="69">
        <f t="shared" si="5"/>
        <v>0</v>
      </c>
      <c r="W4" s="69">
        <f t="shared" si="6"/>
        <v>0</v>
      </c>
      <c r="X4" s="63"/>
      <c r="Y4" s="63"/>
      <c r="Z4" s="63"/>
      <c r="AA4" s="63"/>
      <c r="AB4" s="63"/>
    </row>
    <row r="5" ht="14.25" customHeight="1">
      <c r="A5" s="55">
        <v>4.0</v>
      </c>
      <c r="B5" s="55" t="s">
        <v>23</v>
      </c>
      <c r="C5" s="56" t="s">
        <v>27</v>
      </c>
      <c r="D5" s="57">
        <v>8.0</v>
      </c>
      <c r="E5" s="57">
        <v>8.0</v>
      </c>
      <c r="F5" s="56"/>
      <c r="G5" s="57">
        <v>47.0</v>
      </c>
      <c r="H5" s="56"/>
      <c r="I5" s="56">
        <f t="shared" si="1"/>
        <v>100</v>
      </c>
      <c r="J5" s="56"/>
      <c r="K5" s="57">
        <v>147.0</v>
      </c>
      <c r="L5" s="56">
        <f t="shared" si="2"/>
        <v>0</v>
      </c>
      <c r="M5" s="56">
        <f t="shared" si="3"/>
        <v>147</v>
      </c>
      <c r="N5" s="58"/>
      <c r="O5" s="56">
        <v>11.31</v>
      </c>
      <c r="P5" s="56">
        <v>13.482</v>
      </c>
      <c r="Q5" s="56">
        <f t="shared" si="4"/>
        <v>198.336</v>
      </c>
      <c r="R5" s="59">
        <v>363430.0</v>
      </c>
      <c r="S5" s="59">
        <v>363532.0</v>
      </c>
      <c r="T5" s="59">
        <v>363532.0</v>
      </c>
      <c r="U5" s="61">
        <v>363634.0</v>
      </c>
      <c r="V5" s="62">
        <f t="shared" si="5"/>
        <v>102</v>
      </c>
      <c r="W5" s="62">
        <f t="shared" si="6"/>
        <v>102</v>
      </c>
      <c r="X5" s="63"/>
      <c r="Y5" s="63"/>
      <c r="Z5" s="63"/>
      <c r="AA5" s="63"/>
      <c r="AB5" s="63"/>
    </row>
    <row r="6" ht="14.25" customHeight="1">
      <c r="A6" s="55">
        <v>5.0</v>
      </c>
      <c r="B6" s="55" t="s">
        <v>23</v>
      </c>
      <c r="C6" s="56" t="s">
        <v>28</v>
      </c>
      <c r="D6" s="57">
        <v>8.0</v>
      </c>
      <c r="E6" s="57">
        <v>8.0</v>
      </c>
      <c r="F6" s="56"/>
      <c r="G6" s="57">
        <v>30.0</v>
      </c>
      <c r="H6" s="56"/>
      <c r="I6" s="56">
        <f t="shared" si="1"/>
        <v>105</v>
      </c>
      <c r="J6" s="56"/>
      <c r="K6" s="57">
        <v>135.0</v>
      </c>
      <c r="L6" s="56">
        <f t="shared" si="2"/>
        <v>0</v>
      </c>
      <c r="M6" s="56">
        <f t="shared" si="3"/>
        <v>135</v>
      </c>
      <c r="N6" s="58"/>
      <c r="O6" s="56">
        <v>11.31</v>
      </c>
      <c r="P6" s="56">
        <v>13.482</v>
      </c>
      <c r="Q6" s="56">
        <f t="shared" si="4"/>
        <v>198.336</v>
      </c>
      <c r="R6" s="59">
        <v>360156.0</v>
      </c>
      <c r="S6" s="59">
        <v>360261.0</v>
      </c>
      <c r="T6" s="59">
        <v>360261.0</v>
      </c>
      <c r="U6" s="61">
        <v>360366.0</v>
      </c>
      <c r="V6" s="62">
        <f t="shared" si="5"/>
        <v>105</v>
      </c>
      <c r="W6" s="62">
        <f t="shared" si="6"/>
        <v>105</v>
      </c>
      <c r="X6" s="63"/>
      <c r="Y6" s="63"/>
      <c r="Z6" s="63"/>
      <c r="AA6" s="63"/>
      <c r="AB6" s="63"/>
    </row>
    <row r="7" ht="14.25" customHeight="1">
      <c r="A7" s="55">
        <v>6.0</v>
      </c>
      <c r="B7" s="55" t="s">
        <v>23</v>
      </c>
      <c r="C7" s="56" t="s">
        <v>29</v>
      </c>
      <c r="D7" s="57">
        <v>8.0</v>
      </c>
      <c r="E7" s="57">
        <v>8.0</v>
      </c>
      <c r="F7" s="56"/>
      <c r="G7" s="57">
        <v>52.0</v>
      </c>
      <c r="H7" s="56"/>
      <c r="I7" s="56">
        <f t="shared" si="1"/>
        <v>63</v>
      </c>
      <c r="J7" s="56"/>
      <c r="K7" s="57">
        <v>115.0</v>
      </c>
      <c r="L7" s="56">
        <f t="shared" si="2"/>
        <v>0</v>
      </c>
      <c r="M7" s="56">
        <f t="shared" si="3"/>
        <v>115</v>
      </c>
      <c r="N7" s="58"/>
      <c r="O7" s="56">
        <v>11.31</v>
      </c>
      <c r="P7" s="56">
        <v>13.482</v>
      </c>
      <c r="Q7" s="56">
        <f t="shared" si="4"/>
        <v>198.336</v>
      </c>
      <c r="R7" s="59">
        <v>367356.0</v>
      </c>
      <c r="S7" s="59">
        <v>367457.0</v>
      </c>
      <c r="T7" s="59">
        <v>367457.0</v>
      </c>
      <c r="U7" s="61">
        <v>367557.0</v>
      </c>
      <c r="V7" s="62">
        <f t="shared" si="5"/>
        <v>101</v>
      </c>
      <c r="W7" s="62">
        <f t="shared" si="6"/>
        <v>100</v>
      </c>
      <c r="X7" s="63"/>
      <c r="Y7" s="63"/>
      <c r="Z7" s="63"/>
      <c r="AA7" s="63"/>
      <c r="AB7" s="63"/>
    </row>
    <row r="8" ht="14.25" customHeight="1">
      <c r="A8" s="55">
        <v>7.0</v>
      </c>
      <c r="B8" s="55" t="s">
        <v>23</v>
      </c>
      <c r="C8" s="56" t="s">
        <v>30</v>
      </c>
      <c r="D8" s="57">
        <v>8.0</v>
      </c>
      <c r="E8" s="57">
        <v>8.0</v>
      </c>
      <c r="F8" s="56"/>
      <c r="G8" s="57">
        <v>46.0</v>
      </c>
      <c r="H8" s="56"/>
      <c r="I8" s="56">
        <f t="shared" si="1"/>
        <v>80</v>
      </c>
      <c r="J8" s="56"/>
      <c r="K8" s="57">
        <v>126.0</v>
      </c>
      <c r="L8" s="56">
        <f t="shared" si="2"/>
        <v>0</v>
      </c>
      <c r="M8" s="56">
        <f t="shared" si="3"/>
        <v>126</v>
      </c>
      <c r="N8" s="58"/>
      <c r="O8" s="56">
        <v>11.31</v>
      </c>
      <c r="P8" s="56">
        <v>13.482</v>
      </c>
      <c r="Q8" s="56">
        <f t="shared" si="4"/>
        <v>198.336</v>
      </c>
      <c r="R8" s="59">
        <v>378596.0</v>
      </c>
      <c r="S8" s="59">
        <v>378699.0</v>
      </c>
      <c r="T8" s="59">
        <v>378699.0</v>
      </c>
      <c r="U8" s="61">
        <v>378803.0</v>
      </c>
      <c r="V8" s="62">
        <f t="shared" si="5"/>
        <v>103</v>
      </c>
      <c r="W8" s="62">
        <f t="shared" si="6"/>
        <v>104</v>
      </c>
      <c r="X8" s="63"/>
      <c r="Y8" s="63"/>
      <c r="Z8" s="63"/>
      <c r="AA8" s="63"/>
      <c r="AB8" s="63"/>
    </row>
    <row r="9" ht="14.25" customHeight="1">
      <c r="A9" s="55">
        <v>8.0</v>
      </c>
      <c r="B9" s="55" t="s">
        <v>23</v>
      </c>
      <c r="C9" s="56" t="s">
        <v>31</v>
      </c>
      <c r="D9" s="57">
        <v>7.0</v>
      </c>
      <c r="E9" s="57">
        <v>8.0</v>
      </c>
      <c r="F9" s="56"/>
      <c r="G9" s="57">
        <v>49.0</v>
      </c>
      <c r="H9" s="56"/>
      <c r="I9" s="56">
        <f t="shared" si="1"/>
        <v>96</v>
      </c>
      <c r="J9" s="56"/>
      <c r="K9" s="57">
        <v>145.0</v>
      </c>
      <c r="L9" s="56">
        <f t="shared" si="2"/>
        <v>0</v>
      </c>
      <c r="M9" s="56">
        <f t="shared" si="3"/>
        <v>145</v>
      </c>
      <c r="N9" s="58"/>
      <c r="O9" s="56">
        <v>11.31</v>
      </c>
      <c r="P9" s="56">
        <v>13.482</v>
      </c>
      <c r="Q9" s="56">
        <f t="shared" si="4"/>
        <v>187.026</v>
      </c>
      <c r="R9" s="59">
        <v>369816.0</v>
      </c>
      <c r="S9" s="59">
        <v>369904.0</v>
      </c>
      <c r="T9" s="59">
        <v>369904.0</v>
      </c>
      <c r="U9" s="61">
        <v>370006.0</v>
      </c>
      <c r="V9" s="62">
        <f t="shared" si="5"/>
        <v>88</v>
      </c>
      <c r="W9" s="62">
        <f t="shared" si="6"/>
        <v>102</v>
      </c>
      <c r="X9" s="63"/>
      <c r="Y9" s="63"/>
      <c r="Z9" s="63"/>
      <c r="AA9" s="63"/>
      <c r="AB9" s="63"/>
    </row>
    <row r="10" ht="14.25" customHeight="1">
      <c r="A10" s="55">
        <v>9.0</v>
      </c>
      <c r="B10" s="55" t="s">
        <v>23</v>
      </c>
      <c r="C10" s="56" t="s">
        <v>32</v>
      </c>
      <c r="D10" s="57">
        <v>7.0</v>
      </c>
      <c r="E10" s="57">
        <v>8.0</v>
      </c>
      <c r="F10" s="56"/>
      <c r="G10" s="57">
        <v>40.0</v>
      </c>
      <c r="H10" s="56"/>
      <c r="I10" s="56">
        <f t="shared" si="1"/>
        <v>105</v>
      </c>
      <c r="J10" s="56"/>
      <c r="K10" s="57">
        <v>145.0</v>
      </c>
      <c r="L10" s="56">
        <f t="shared" si="2"/>
        <v>0</v>
      </c>
      <c r="M10" s="56">
        <f t="shared" si="3"/>
        <v>145</v>
      </c>
      <c r="N10" s="58"/>
      <c r="O10" s="56">
        <v>11.31</v>
      </c>
      <c r="P10" s="56">
        <v>13.482</v>
      </c>
      <c r="Q10" s="56">
        <f t="shared" si="4"/>
        <v>187.026</v>
      </c>
      <c r="R10" s="59">
        <v>369312.0</v>
      </c>
      <c r="S10" s="59">
        <v>369403.0</v>
      </c>
      <c r="T10" s="59">
        <v>369403.0</v>
      </c>
      <c r="U10" s="61">
        <v>369505.0</v>
      </c>
      <c r="V10" s="62">
        <f t="shared" si="5"/>
        <v>91</v>
      </c>
      <c r="W10" s="62">
        <f t="shared" si="6"/>
        <v>102</v>
      </c>
      <c r="X10" s="63"/>
      <c r="Y10" s="63"/>
      <c r="Z10" s="63"/>
      <c r="AA10" s="63"/>
      <c r="AB10" s="63"/>
    </row>
    <row r="11" ht="14.25" customHeight="1">
      <c r="A11" s="55">
        <v>10.0</v>
      </c>
      <c r="B11" s="55" t="s">
        <v>23</v>
      </c>
      <c r="C11" s="56" t="s">
        <v>33</v>
      </c>
      <c r="D11" s="57">
        <v>7.0</v>
      </c>
      <c r="E11" s="57">
        <v>8.0</v>
      </c>
      <c r="F11" s="56"/>
      <c r="G11" s="57">
        <v>46.0</v>
      </c>
      <c r="H11" s="56"/>
      <c r="I11" s="56">
        <f t="shared" si="1"/>
        <v>95</v>
      </c>
      <c r="J11" s="56"/>
      <c r="K11" s="57">
        <v>141.0</v>
      </c>
      <c r="L11" s="56">
        <f t="shared" si="2"/>
        <v>0</v>
      </c>
      <c r="M11" s="56">
        <f t="shared" si="3"/>
        <v>141</v>
      </c>
      <c r="N11" s="58"/>
      <c r="O11" s="56">
        <v>11.31</v>
      </c>
      <c r="P11" s="56">
        <v>13.482</v>
      </c>
      <c r="Q11" s="56">
        <f t="shared" si="4"/>
        <v>187.026</v>
      </c>
      <c r="R11" s="59">
        <v>361707.0</v>
      </c>
      <c r="S11" s="59">
        <v>361795.0</v>
      </c>
      <c r="T11" s="59">
        <v>361795.0</v>
      </c>
      <c r="U11" s="61">
        <v>361895.0</v>
      </c>
      <c r="V11" s="62">
        <f t="shared" si="5"/>
        <v>88</v>
      </c>
      <c r="W11" s="62">
        <f t="shared" si="6"/>
        <v>100</v>
      </c>
      <c r="X11" s="63"/>
      <c r="Y11" s="63"/>
      <c r="Z11" s="63"/>
      <c r="AA11" s="63"/>
      <c r="AB11" s="63"/>
    </row>
    <row r="12" ht="14.25" customHeight="1">
      <c r="A12" s="55">
        <v>11.0</v>
      </c>
      <c r="B12" s="55" t="s">
        <v>23</v>
      </c>
      <c r="C12" s="56" t="s">
        <v>34</v>
      </c>
      <c r="D12" s="57">
        <v>7.0</v>
      </c>
      <c r="E12" s="57">
        <v>8.0</v>
      </c>
      <c r="F12" s="56"/>
      <c r="G12" s="57">
        <v>54.0</v>
      </c>
      <c r="H12" s="56"/>
      <c r="I12" s="56">
        <f t="shared" si="1"/>
        <v>103</v>
      </c>
      <c r="J12" s="56"/>
      <c r="K12" s="57">
        <v>157.0</v>
      </c>
      <c r="L12" s="56">
        <f t="shared" si="2"/>
        <v>0</v>
      </c>
      <c r="M12" s="56">
        <f t="shared" si="3"/>
        <v>157</v>
      </c>
      <c r="N12" s="58"/>
      <c r="O12" s="56">
        <v>11.31</v>
      </c>
      <c r="P12" s="56">
        <v>13.482</v>
      </c>
      <c r="Q12" s="56">
        <f t="shared" si="4"/>
        <v>187.026</v>
      </c>
      <c r="R12" s="59">
        <v>67738.0</v>
      </c>
      <c r="S12" s="59">
        <v>67829.0</v>
      </c>
      <c r="T12" s="59">
        <v>67829.0</v>
      </c>
      <c r="U12" s="61">
        <v>67930.0</v>
      </c>
      <c r="V12" s="62">
        <f t="shared" si="5"/>
        <v>91</v>
      </c>
      <c r="W12" s="62">
        <f t="shared" si="6"/>
        <v>101</v>
      </c>
      <c r="X12" s="63"/>
      <c r="Y12" s="63"/>
      <c r="Z12" s="63"/>
      <c r="AA12" s="63"/>
      <c r="AB12" s="63"/>
    </row>
    <row r="13" ht="14.25" customHeight="1">
      <c r="A13" s="55">
        <v>12.0</v>
      </c>
      <c r="B13" s="55" t="s">
        <v>23</v>
      </c>
      <c r="C13" s="56" t="s">
        <v>35</v>
      </c>
      <c r="D13" s="57">
        <v>7.0</v>
      </c>
      <c r="E13" s="57">
        <v>8.0</v>
      </c>
      <c r="F13" s="56"/>
      <c r="G13" s="57">
        <v>46.0</v>
      </c>
      <c r="H13" s="56"/>
      <c r="I13" s="56">
        <f t="shared" si="1"/>
        <v>114</v>
      </c>
      <c r="J13" s="56"/>
      <c r="K13" s="57">
        <v>160.0</v>
      </c>
      <c r="L13" s="56">
        <f t="shared" si="2"/>
        <v>0</v>
      </c>
      <c r="M13" s="56">
        <f t="shared" si="3"/>
        <v>160</v>
      </c>
      <c r="N13" s="58"/>
      <c r="O13" s="56">
        <v>11.31</v>
      </c>
      <c r="P13" s="56">
        <v>13.482</v>
      </c>
      <c r="Q13" s="56">
        <f t="shared" si="4"/>
        <v>187.026</v>
      </c>
      <c r="R13" s="59">
        <v>368411.0</v>
      </c>
      <c r="S13" s="59">
        <v>368500.0</v>
      </c>
      <c r="T13" s="59">
        <v>368500.0</v>
      </c>
      <c r="U13" s="61">
        <v>368600.0</v>
      </c>
      <c r="V13" s="62">
        <f t="shared" si="5"/>
        <v>89</v>
      </c>
      <c r="W13" s="62">
        <f t="shared" si="6"/>
        <v>100</v>
      </c>
      <c r="X13" s="63"/>
      <c r="Y13" s="63"/>
      <c r="Z13" s="63"/>
      <c r="AA13" s="63"/>
      <c r="AB13" s="63"/>
    </row>
    <row r="14" ht="14.25" customHeight="1">
      <c r="A14" s="55">
        <v>13.0</v>
      </c>
      <c r="B14" s="55" t="s">
        <v>23</v>
      </c>
      <c r="C14" s="70" t="s">
        <v>36</v>
      </c>
      <c r="D14" s="91">
        <v>4.0</v>
      </c>
      <c r="E14" s="91">
        <v>5.0</v>
      </c>
      <c r="F14" s="70"/>
      <c r="G14" s="91">
        <v>50.0</v>
      </c>
      <c r="H14" s="70"/>
      <c r="I14" s="70">
        <f t="shared" si="1"/>
        <v>0</v>
      </c>
      <c r="J14" s="70"/>
      <c r="K14" s="70"/>
      <c r="L14" s="70">
        <f t="shared" si="2"/>
        <v>0</v>
      </c>
      <c r="M14" s="70">
        <f t="shared" si="3"/>
        <v>50</v>
      </c>
      <c r="N14" s="71" t="s">
        <v>75</v>
      </c>
      <c r="O14" s="70">
        <v>11.31</v>
      </c>
      <c r="P14" s="70">
        <v>13.482</v>
      </c>
      <c r="Q14" s="70">
        <f t="shared" si="4"/>
        <v>112.65</v>
      </c>
      <c r="R14" s="92">
        <v>369355.0</v>
      </c>
      <c r="S14" s="92">
        <v>369470.0</v>
      </c>
      <c r="T14" s="72"/>
      <c r="U14" s="73"/>
      <c r="V14" s="74">
        <f t="shared" si="5"/>
        <v>115</v>
      </c>
      <c r="W14" s="74">
        <f t="shared" si="6"/>
        <v>0</v>
      </c>
      <c r="X14" s="63"/>
      <c r="Y14" s="63"/>
      <c r="Z14" s="63"/>
      <c r="AA14" s="63"/>
      <c r="AB14" s="63"/>
    </row>
    <row r="15" ht="14.25" customHeight="1">
      <c r="A15" s="55">
        <v>14.0</v>
      </c>
      <c r="B15" s="55" t="s">
        <v>23</v>
      </c>
      <c r="C15" s="56" t="s">
        <v>37</v>
      </c>
      <c r="D15" s="57">
        <v>7.0</v>
      </c>
      <c r="E15" s="57">
        <v>8.0</v>
      </c>
      <c r="F15" s="56"/>
      <c r="G15" s="57">
        <v>47.0</v>
      </c>
      <c r="H15" s="56"/>
      <c r="I15" s="56">
        <f t="shared" si="1"/>
        <v>113</v>
      </c>
      <c r="J15" s="56"/>
      <c r="K15" s="57">
        <v>160.0</v>
      </c>
      <c r="L15" s="56">
        <f t="shared" si="2"/>
        <v>0</v>
      </c>
      <c r="M15" s="56">
        <f t="shared" si="3"/>
        <v>160</v>
      </c>
      <c r="N15" s="58"/>
      <c r="O15" s="56">
        <v>11.31</v>
      </c>
      <c r="P15" s="56">
        <v>13.482</v>
      </c>
      <c r="Q15" s="56">
        <f t="shared" si="4"/>
        <v>187.026</v>
      </c>
      <c r="R15" s="59">
        <v>369528.0</v>
      </c>
      <c r="S15" s="59">
        <v>369619.0</v>
      </c>
      <c r="T15" s="59">
        <v>369619.0</v>
      </c>
      <c r="U15" s="61">
        <v>369722.0</v>
      </c>
      <c r="V15" s="62">
        <f t="shared" si="5"/>
        <v>91</v>
      </c>
      <c r="W15" s="62">
        <f t="shared" si="6"/>
        <v>103</v>
      </c>
      <c r="X15" s="63"/>
      <c r="Y15" s="63"/>
      <c r="Z15" s="63"/>
      <c r="AA15" s="63"/>
      <c r="AB15" s="63"/>
    </row>
    <row r="16" ht="14.25" customHeight="1">
      <c r="A16" s="55">
        <v>15.0</v>
      </c>
      <c r="B16" s="55" t="s">
        <v>23</v>
      </c>
      <c r="C16" s="56" t="s">
        <v>38</v>
      </c>
      <c r="D16" s="57">
        <v>7.0</v>
      </c>
      <c r="E16" s="57">
        <v>8.0</v>
      </c>
      <c r="F16" s="56"/>
      <c r="G16" s="57">
        <v>30.0</v>
      </c>
      <c r="H16" s="56"/>
      <c r="I16" s="56">
        <f t="shared" si="1"/>
        <v>72</v>
      </c>
      <c r="J16" s="56"/>
      <c r="K16" s="57">
        <v>102.0</v>
      </c>
      <c r="L16" s="56">
        <f t="shared" si="2"/>
        <v>0</v>
      </c>
      <c r="M16" s="56">
        <f t="shared" si="3"/>
        <v>102</v>
      </c>
      <c r="N16" s="58"/>
      <c r="O16" s="56">
        <v>11.31</v>
      </c>
      <c r="P16" s="56">
        <v>13.482</v>
      </c>
      <c r="Q16" s="56">
        <f t="shared" si="4"/>
        <v>187.026</v>
      </c>
      <c r="R16" s="59">
        <v>360773.0</v>
      </c>
      <c r="S16" s="59">
        <v>360866.0</v>
      </c>
      <c r="T16" s="59">
        <v>360866.0</v>
      </c>
      <c r="U16" s="61">
        <v>360968.0</v>
      </c>
      <c r="V16" s="62">
        <f t="shared" si="5"/>
        <v>93</v>
      </c>
      <c r="W16" s="62">
        <f t="shared" si="6"/>
        <v>102</v>
      </c>
      <c r="X16" s="63"/>
      <c r="Y16" s="63"/>
      <c r="Z16" s="63"/>
      <c r="AA16" s="63"/>
      <c r="AB16" s="63"/>
    </row>
    <row r="17" ht="14.25" customHeight="1">
      <c r="A17" s="55">
        <v>16.0</v>
      </c>
      <c r="B17" s="55" t="s">
        <v>23</v>
      </c>
      <c r="C17" s="93" t="s">
        <v>39</v>
      </c>
      <c r="D17" s="94"/>
      <c r="E17" s="94"/>
      <c r="F17" s="93"/>
      <c r="G17" s="93"/>
      <c r="H17" s="93"/>
      <c r="I17" s="93">
        <f t="shared" si="1"/>
        <v>0</v>
      </c>
      <c r="J17" s="93"/>
      <c r="K17" s="93"/>
      <c r="L17" s="93">
        <f t="shared" si="2"/>
        <v>0</v>
      </c>
      <c r="M17" s="93">
        <f t="shared" si="3"/>
        <v>0</v>
      </c>
      <c r="N17" s="95" t="s">
        <v>76</v>
      </c>
      <c r="O17" s="93">
        <v>11.31</v>
      </c>
      <c r="P17" s="93">
        <v>13.482</v>
      </c>
      <c r="Q17" s="93">
        <f t="shared" si="4"/>
        <v>0</v>
      </c>
      <c r="R17" s="96"/>
      <c r="S17" s="96"/>
      <c r="T17" s="96"/>
      <c r="U17" s="97"/>
      <c r="V17" s="98">
        <f t="shared" si="5"/>
        <v>0</v>
      </c>
      <c r="W17" s="98">
        <f t="shared" si="6"/>
        <v>0</v>
      </c>
      <c r="X17" s="63"/>
      <c r="Y17" s="63"/>
      <c r="Z17" s="63"/>
      <c r="AA17" s="63"/>
      <c r="AB17" s="63"/>
    </row>
    <row r="18" ht="14.25" customHeight="1">
      <c r="A18" s="55">
        <v>17.0</v>
      </c>
      <c r="B18" s="55" t="s">
        <v>23</v>
      </c>
      <c r="C18" s="56" t="s">
        <v>40</v>
      </c>
      <c r="D18" s="57">
        <v>7.0</v>
      </c>
      <c r="E18" s="57">
        <v>8.0</v>
      </c>
      <c r="F18" s="56"/>
      <c r="G18" s="57">
        <v>45.0</v>
      </c>
      <c r="H18" s="56"/>
      <c r="I18" s="56">
        <f t="shared" si="1"/>
        <v>69</v>
      </c>
      <c r="J18" s="56"/>
      <c r="K18" s="57">
        <v>114.0</v>
      </c>
      <c r="L18" s="56">
        <f t="shared" si="2"/>
        <v>0</v>
      </c>
      <c r="M18" s="56">
        <f t="shared" si="3"/>
        <v>114</v>
      </c>
      <c r="N18" s="58"/>
      <c r="O18" s="56">
        <v>11.31</v>
      </c>
      <c r="P18" s="56">
        <v>13.482</v>
      </c>
      <c r="Q18" s="56">
        <f t="shared" si="4"/>
        <v>187.026</v>
      </c>
      <c r="R18" s="59">
        <v>300314.0</v>
      </c>
      <c r="S18" s="59">
        <v>300406.0</v>
      </c>
      <c r="T18" s="59">
        <v>300406.0</v>
      </c>
      <c r="U18" s="61">
        <v>300507.0</v>
      </c>
      <c r="V18" s="62">
        <f t="shared" si="5"/>
        <v>92</v>
      </c>
      <c r="W18" s="62">
        <f t="shared" si="6"/>
        <v>101</v>
      </c>
      <c r="X18" s="63"/>
      <c r="Y18" s="63"/>
      <c r="Z18" s="63"/>
      <c r="AA18" s="63"/>
      <c r="AB18" s="63"/>
    </row>
    <row r="19" ht="14.25" customHeight="1">
      <c r="A19" s="55">
        <v>18.0</v>
      </c>
      <c r="B19" s="55" t="s">
        <v>23</v>
      </c>
      <c r="C19" s="65" t="s">
        <v>42</v>
      </c>
      <c r="D19" s="99"/>
      <c r="E19" s="99"/>
      <c r="F19" s="65"/>
      <c r="G19" s="65"/>
      <c r="H19" s="65"/>
      <c r="I19" s="65">
        <f t="shared" si="1"/>
        <v>0</v>
      </c>
      <c r="J19" s="65"/>
      <c r="K19" s="65"/>
      <c r="L19" s="65">
        <f t="shared" si="2"/>
        <v>0</v>
      </c>
      <c r="M19" s="65">
        <f t="shared" si="3"/>
        <v>0</v>
      </c>
      <c r="N19" s="90" t="s">
        <v>74</v>
      </c>
      <c r="O19" s="65">
        <v>11.31</v>
      </c>
      <c r="P19" s="65">
        <v>13.482</v>
      </c>
      <c r="Q19" s="65">
        <f t="shared" si="4"/>
        <v>0</v>
      </c>
      <c r="R19" s="67"/>
      <c r="S19" s="67"/>
      <c r="T19" s="67"/>
      <c r="U19" s="68"/>
      <c r="V19" s="69">
        <f t="shared" si="5"/>
        <v>0</v>
      </c>
      <c r="W19" s="69">
        <f t="shared" si="6"/>
        <v>0</v>
      </c>
      <c r="X19" s="63"/>
      <c r="Y19" s="63"/>
      <c r="Z19" s="63"/>
      <c r="AA19" s="63"/>
      <c r="AB19" s="63"/>
    </row>
    <row r="20" ht="14.25" customHeight="1">
      <c r="A20" s="55">
        <v>19.0</v>
      </c>
      <c r="B20" s="55" t="s">
        <v>23</v>
      </c>
      <c r="C20" s="56" t="s">
        <v>44</v>
      </c>
      <c r="D20" s="57">
        <v>9.0</v>
      </c>
      <c r="E20" s="57">
        <v>9.0</v>
      </c>
      <c r="F20" s="56"/>
      <c r="G20" s="57">
        <v>43.0</v>
      </c>
      <c r="H20" s="56"/>
      <c r="I20" s="56">
        <f t="shared" si="1"/>
        <v>82</v>
      </c>
      <c r="J20" s="56"/>
      <c r="K20" s="57">
        <v>125.0</v>
      </c>
      <c r="L20" s="56">
        <f t="shared" si="2"/>
        <v>0</v>
      </c>
      <c r="M20" s="56">
        <f t="shared" si="3"/>
        <v>125</v>
      </c>
      <c r="N20" s="58"/>
      <c r="O20" s="56">
        <v>11.31</v>
      </c>
      <c r="P20" s="56">
        <v>13.482</v>
      </c>
      <c r="Q20" s="56">
        <f t="shared" si="4"/>
        <v>223.128</v>
      </c>
      <c r="R20" s="59">
        <v>550675.0</v>
      </c>
      <c r="S20" s="59">
        <v>550783.0</v>
      </c>
      <c r="T20" s="59">
        <v>550783.0</v>
      </c>
      <c r="U20" s="61">
        <v>550917.0</v>
      </c>
      <c r="V20" s="62">
        <f t="shared" si="5"/>
        <v>108</v>
      </c>
      <c r="W20" s="62">
        <f t="shared" si="6"/>
        <v>134</v>
      </c>
      <c r="X20" s="63"/>
      <c r="Y20" s="63"/>
      <c r="Z20" s="63"/>
      <c r="AA20" s="63"/>
      <c r="AB20" s="63"/>
    </row>
    <row r="21" ht="14.25" customHeight="1">
      <c r="A21" s="55">
        <v>20.0</v>
      </c>
      <c r="B21" s="55" t="s">
        <v>23</v>
      </c>
      <c r="C21" s="56" t="s">
        <v>45</v>
      </c>
      <c r="D21" s="57">
        <v>9.0</v>
      </c>
      <c r="E21" s="57">
        <v>9.0</v>
      </c>
      <c r="F21" s="56"/>
      <c r="G21" s="57">
        <v>44.0</v>
      </c>
      <c r="H21" s="56"/>
      <c r="I21" s="56">
        <f t="shared" si="1"/>
        <v>84</v>
      </c>
      <c r="J21" s="56"/>
      <c r="K21" s="57">
        <v>128.0</v>
      </c>
      <c r="L21" s="56">
        <f t="shared" si="2"/>
        <v>0</v>
      </c>
      <c r="M21" s="56">
        <f t="shared" si="3"/>
        <v>128</v>
      </c>
      <c r="N21" s="58"/>
      <c r="O21" s="56">
        <v>11.31</v>
      </c>
      <c r="P21" s="56">
        <v>13.482</v>
      </c>
      <c r="Q21" s="56">
        <f t="shared" si="4"/>
        <v>223.128</v>
      </c>
      <c r="R21" s="59">
        <v>427670.0</v>
      </c>
      <c r="S21" s="59">
        <v>427780.0</v>
      </c>
      <c r="T21" s="59">
        <v>427780.0</v>
      </c>
      <c r="U21" s="61">
        <v>427915.0</v>
      </c>
      <c r="V21" s="62">
        <f t="shared" si="5"/>
        <v>110</v>
      </c>
      <c r="W21" s="62">
        <f t="shared" si="6"/>
        <v>135</v>
      </c>
      <c r="X21" s="63"/>
      <c r="Y21" s="63"/>
      <c r="Z21" s="63"/>
      <c r="AA21" s="63"/>
      <c r="AB21" s="63"/>
    </row>
    <row r="22" ht="14.25" customHeight="1">
      <c r="A22" s="55">
        <v>21.0</v>
      </c>
      <c r="B22" s="55" t="s">
        <v>23</v>
      </c>
      <c r="C22" s="56" t="s">
        <v>46</v>
      </c>
      <c r="D22" s="57">
        <v>9.0</v>
      </c>
      <c r="E22" s="57">
        <v>9.0</v>
      </c>
      <c r="F22" s="56"/>
      <c r="G22" s="57">
        <v>29.0</v>
      </c>
      <c r="H22" s="56"/>
      <c r="I22" s="56">
        <f t="shared" si="1"/>
        <v>103</v>
      </c>
      <c r="J22" s="56"/>
      <c r="K22" s="57">
        <v>132.0</v>
      </c>
      <c r="L22" s="56">
        <f t="shared" si="2"/>
        <v>0</v>
      </c>
      <c r="M22" s="56">
        <f t="shared" si="3"/>
        <v>132</v>
      </c>
      <c r="N22" s="58"/>
      <c r="O22" s="56">
        <v>11.31</v>
      </c>
      <c r="P22" s="56">
        <v>13.482</v>
      </c>
      <c r="Q22" s="56">
        <f t="shared" si="4"/>
        <v>223.128</v>
      </c>
      <c r="R22" s="59">
        <v>489512.0</v>
      </c>
      <c r="S22" s="59">
        <v>489618.0</v>
      </c>
      <c r="T22" s="59">
        <v>489618.0</v>
      </c>
      <c r="U22" s="61">
        <v>489753.0</v>
      </c>
      <c r="V22" s="62">
        <f t="shared" si="5"/>
        <v>106</v>
      </c>
      <c r="W22" s="62">
        <f t="shared" si="6"/>
        <v>135</v>
      </c>
      <c r="X22" s="63"/>
      <c r="Y22" s="63"/>
      <c r="Z22" s="63"/>
      <c r="AA22" s="63"/>
      <c r="AB22" s="63"/>
    </row>
    <row r="23" ht="14.25" customHeight="1">
      <c r="A23" s="55">
        <v>22.0</v>
      </c>
      <c r="B23" s="55" t="s">
        <v>23</v>
      </c>
      <c r="C23" s="65" t="s">
        <v>47</v>
      </c>
      <c r="D23" s="65"/>
      <c r="E23" s="65"/>
      <c r="F23" s="65"/>
      <c r="G23" s="65"/>
      <c r="H23" s="65"/>
      <c r="I23" s="65">
        <f t="shared" si="1"/>
        <v>0</v>
      </c>
      <c r="J23" s="65"/>
      <c r="K23" s="65"/>
      <c r="L23" s="65">
        <f t="shared" si="2"/>
        <v>0</v>
      </c>
      <c r="M23" s="65">
        <f t="shared" si="3"/>
        <v>0</v>
      </c>
      <c r="N23" s="90" t="s">
        <v>74</v>
      </c>
      <c r="O23" s="65">
        <v>11.31</v>
      </c>
      <c r="P23" s="65">
        <v>13.482</v>
      </c>
      <c r="Q23" s="65">
        <f t="shared" si="4"/>
        <v>0</v>
      </c>
      <c r="R23" s="67"/>
      <c r="S23" s="67"/>
      <c r="T23" s="67"/>
      <c r="U23" s="68"/>
      <c r="V23" s="69">
        <f t="shared" si="5"/>
        <v>0</v>
      </c>
      <c r="W23" s="69">
        <f t="shared" si="6"/>
        <v>0</v>
      </c>
      <c r="X23" s="63"/>
      <c r="Y23" s="63"/>
      <c r="Z23" s="63"/>
      <c r="AA23" s="63"/>
      <c r="AB23" s="63"/>
    </row>
    <row r="24" ht="14.25" customHeight="1">
      <c r="A24" s="55">
        <v>23.0</v>
      </c>
      <c r="B24" s="55" t="s">
        <v>23</v>
      </c>
      <c r="C24" s="56" t="s">
        <v>49</v>
      </c>
      <c r="D24" s="57">
        <v>9.0</v>
      </c>
      <c r="E24" s="57">
        <v>9.0</v>
      </c>
      <c r="F24" s="56"/>
      <c r="G24" s="57">
        <v>43.0</v>
      </c>
      <c r="H24" s="56"/>
      <c r="I24" s="56">
        <f t="shared" si="1"/>
        <v>0</v>
      </c>
      <c r="J24" s="57">
        <v>89.0</v>
      </c>
      <c r="K24" s="100"/>
      <c r="L24" s="56">
        <f t="shared" si="2"/>
        <v>89</v>
      </c>
      <c r="M24" s="56">
        <f t="shared" si="3"/>
        <v>132</v>
      </c>
      <c r="N24" s="58"/>
      <c r="O24" s="56">
        <v>11.31</v>
      </c>
      <c r="P24" s="56">
        <v>13.482</v>
      </c>
      <c r="Q24" s="56">
        <f t="shared" si="4"/>
        <v>223.128</v>
      </c>
      <c r="R24" s="59">
        <v>256185.0</v>
      </c>
      <c r="S24" s="59">
        <v>256287.0</v>
      </c>
      <c r="T24" s="59">
        <v>256287.0</v>
      </c>
      <c r="U24" s="61">
        <v>256415.0</v>
      </c>
      <c r="V24" s="62">
        <f t="shared" si="5"/>
        <v>102</v>
      </c>
      <c r="W24" s="62">
        <f t="shared" si="6"/>
        <v>128</v>
      </c>
      <c r="X24" s="63"/>
      <c r="Y24" s="63"/>
      <c r="Z24" s="63"/>
      <c r="AA24" s="63"/>
      <c r="AB24" s="63"/>
    </row>
    <row r="25" ht="14.25" customHeight="1">
      <c r="A25" s="55">
        <v>24.0</v>
      </c>
      <c r="B25" s="55" t="s">
        <v>23</v>
      </c>
      <c r="C25" s="56" t="s">
        <v>50</v>
      </c>
      <c r="D25" s="57">
        <v>9.0</v>
      </c>
      <c r="E25" s="57">
        <v>9.0</v>
      </c>
      <c r="F25" s="56"/>
      <c r="G25" s="57">
        <v>55.0</v>
      </c>
      <c r="H25" s="56"/>
      <c r="I25" s="56">
        <f t="shared" si="1"/>
        <v>116</v>
      </c>
      <c r="J25" s="56"/>
      <c r="K25" s="57">
        <v>171.0</v>
      </c>
      <c r="L25" s="56">
        <f t="shared" si="2"/>
        <v>0</v>
      </c>
      <c r="M25" s="56">
        <f t="shared" si="3"/>
        <v>171</v>
      </c>
      <c r="N25" s="58"/>
      <c r="O25" s="56">
        <v>11.31</v>
      </c>
      <c r="P25" s="56">
        <v>13.482</v>
      </c>
      <c r="Q25" s="56">
        <f t="shared" si="4"/>
        <v>223.128</v>
      </c>
      <c r="R25" s="59">
        <v>255216.0</v>
      </c>
      <c r="S25" s="59">
        <v>255318.0</v>
      </c>
      <c r="T25" s="59">
        <v>255318.0</v>
      </c>
      <c r="U25" s="61">
        <v>255443.0</v>
      </c>
      <c r="V25" s="62">
        <f t="shared" si="5"/>
        <v>102</v>
      </c>
      <c r="W25" s="62">
        <f t="shared" si="6"/>
        <v>125</v>
      </c>
      <c r="X25" s="63"/>
      <c r="Y25" s="63"/>
      <c r="Z25" s="63"/>
      <c r="AA25" s="63"/>
      <c r="AB25" s="63"/>
    </row>
    <row r="26" ht="14.25" customHeight="1">
      <c r="A26" s="55">
        <v>25.0</v>
      </c>
      <c r="B26" s="55" t="s">
        <v>23</v>
      </c>
      <c r="C26" s="56" t="s">
        <v>51</v>
      </c>
      <c r="D26" s="57">
        <v>8.0</v>
      </c>
      <c r="E26" s="57">
        <v>8.0</v>
      </c>
      <c r="F26" s="56"/>
      <c r="G26" s="57">
        <v>49.0</v>
      </c>
      <c r="H26" s="56"/>
      <c r="I26" s="56">
        <f t="shared" si="1"/>
        <v>99</v>
      </c>
      <c r="J26" s="56"/>
      <c r="K26" s="57">
        <v>148.0</v>
      </c>
      <c r="L26" s="56">
        <f t="shared" si="2"/>
        <v>0</v>
      </c>
      <c r="M26" s="56">
        <f t="shared" si="3"/>
        <v>148</v>
      </c>
      <c r="N26" s="58"/>
      <c r="O26" s="56">
        <v>11.31</v>
      </c>
      <c r="P26" s="56">
        <v>13.482</v>
      </c>
      <c r="Q26" s="56">
        <f t="shared" si="4"/>
        <v>198.336</v>
      </c>
      <c r="R26" s="59">
        <v>257545.0</v>
      </c>
      <c r="S26" s="59">
        <v>257649.0</v>
      </c>
      <c r="T26" s="59">
        <v>257649.0</v>
      </c>
      <c r="U26" s="61">
        <v>257753.0</v>
      </c>
      <c r="V26" s="62">
        <f t="shared" si="5"/>
        <v>104</v>
      </c>
      <c r="W26" s="62">
        <f t="shared" si="6"/>
        <v>104</v>
      </c>
      <c r="X26" s="63"/>
      <c r="Y26" s="63"/>
      <c r="Z26" s="63"/>
      <c r="AA26" s="63"/>
      <c r="AB26" s="63"/>
    </row>
    <row r="27" ht="14.25" customHeight="1">
      <c r="A27" s="55">
        <v>26.0</v>
      </c>
      <c r="B27" s="55" t="s">
        <v>23</v>
      </c>
      <c r="C27" s="56" t="s">
        <v>52</v>
      </c>
      <c r="D27" s="57">
        <v>8.0</v>
      </c>
      <c r="E27" s="57">
        <v>8.0</v>
      </c>
      <c r="F27" s="56"/>
      <c r="G27" s="57">
        <v>56.0</v>
      </c>
      <c r="H27" s="56"/>
      <c r="I27" s="56">
        <f t="shared" si="1"/>
        <v>79</v>
      </c>
      <c r="J27" s="56"/>
      <c r="K27" s="57">
        <v>135.0</v>
      </c>
      <c r="L27" s="56">
        <f t="shared" si="2"/>
        <v>0</v>
      </c>
      <c r="M27" s="56">
        <f t="shared" si="3"/>
        <v>135</v>
      </c>
      <c r="N27" s="58"/>
      <c r="O27" s="56">
        <v>11.31</v>
      </c>
      <c r="P27" s="56">
        <v>13.482</v>
      </c>
      <c r="Q27" s="56">
        <f t="shared" si="4"/>
        <v>198.336</v>
      </c>
      <c r="R27" s="59">
        <v>255813.0</v>
      </c>
      <c r="S27" s="59">
        <v>255917.0</v>
      </c>
      <c r="T27" s="59">
        <v>255917.0</v>
      </c>
      <c r="U27" s="61">
        <v>256021.0</v>
      </c>
      <c r="V27" s="62">
        <f t="shared" si="5"/>
        <v>104</v>
      </c>
      <c r="W27" s="62">
        <f t="shared" si="6"/>
        <v>104</v>
      </c>
      <c r="X27" s="63"/>
      <c r="Y27" s="63"/>
      <c r="Z27" s="63"/>
      <c r="AA27" s="63"/>
      <c r="AB27" s="63"/>
    </row>
    <row r="28" ht="14.25" customHeight="1">
      <c r="A28" s="55">
        <v>27.0</v>
      </c>
      <c r="B28" s="55" t="s">
        <v>23</v>
      </c>
      <c r="C28" s="65" t="s">
        <v>53</v>
      </c>
      <c r="D28" s="65"/>
      <c r="E28" s="65"/>
      <c r="F28" s="65"/>
      <c r="G28" s="65"/>
      <c r="H28" s="65"/>
      <c r="I28" s="65">
        <f t="shared" si="1"/>
        <v>0</v>
      </c>
      <c r="J28" s="65"/>
      <c r="K28" s="65"/>
      <c r="L28" s="65">
        <f t="shared" si="2"/>
        <v>0</v>
      </c>
      <c r="M28" s="65">
        <f t="shared" si="3"/>
        <v>0</v>
      </c>
      <c r="N28" s="90" t="s">
        <v>74</v>
      </c>
      <c r="O28" s="65">
        <v>11.31</v>
      </c>
      <c r="P28" s="65">
        <v>13.482</v>
      </c>
      <c r="Q28" s="65">
        <f t="shared" si="4"/>
        <v>0</v>
      </c>
      <c r="R28" s="67"/>
      <c r="S28" s="67"/>
      <c r="T28" s="67"/>
      <c r="U28" s="68"/>
      <c r="V28" s="69">
        <f t="shared" si="5"/>
        <v>0</v>
      </c>
      <c r="W28" s="69">
        <f t="shared" si="6"/>
        <v>0</v>
      </c>
      <c r="X28" s="63"/>
      <c r="Y28" s="63"/>
      <c r="Z28" s="63"/>
      <c r="AA28" s="63"/>
      <c r="AB28" s="63"/>
    </row>
    <row r="29" ht="14.25" customHeight="1">
      <c r="A29" s="55">
        <v>28.0</v>
      </c>
      <c r="B29" s="55" t="s">
        <v>23</v>
      </c>
      <c r="C29" s="65" t="s">
        <v>54</v>
      </c>
      <c r="D29" s="65"/>
      <c r="E29" s="65"/>
      <c r="F29" s="65"/>
      <c r="G29" s="65"/>
      <c r="H29" s="65"/>
      <c r="I29" s="65">
        <f t="shared" si="1"/>
        <v>0</v>
      </c>
      <c r="J29" s="65"/>
      <c r="K29" s="65"/>
      <c r="L29" s="65">
        <f t="shared" si="2"/>
        <v>0</v>
      </c>
      <c r="M29" s="65">
        <f t="shared" si="3"/>
        <v>0</v>
      </c>
      <c r="N29" s="90" t="s">
        <v>74</v>
      </c>
      <c r="O29" s="65">
        <v>11.31</v>
      </c>
      <c r="P29" s="65">
        <v>13.482</v>
      </c>
      <c r="Q29" s="65">
        <f t="shared" si="4"/>
        <v>0</v>
      </c>
      <c r="R29" s="67"/>
      <c r="S29" s="67"/>
      <c r="T29" s="67"/>
      <c r="U29" s="68"/>
      <c r="V29" s="69">
        <f t="shared" si="5"/>
        <v>0</v>
      </c>
      <c r="W29" s="69">
        <f t="shared" si="6"/>
        <v>0</v>
      </c>
      <c r="X29" s="63"/>
      <c r="Y29" s="63"/>
      <c r="Z29" s="63"/>
      <c r="AA29" s="63"/>
      <c r="AB29" s="63"/>
    </row>
    <row r="30" ht="14.25" customHeight="1">
      <c r="A30" s="55">
        <v>29.0</v>
      </c>
      <c r="B30" s="55" t="s">
        <v>23</v>
      </c>
      <c r="C30" s="65" t="s">
        <v>55</v>
      </c>
      <c r="D30" s="65"/>
      <c r="E30" s="65"/>
      <c r="F30" s="65"/>
      <c r="G30" s="65"/>
      <c r="H30" s="65"/>
      <c r="I30" s="65">
        <f t="shared" si="1"/>
        <v>0</v>
      </c>
      <c r="J30" s="65"/>
      <c r="K30" s="65"/>
      <c r="L30" s="65">
        <f t="shared" si="2"/>
        <v>0</v>
      </c>
      <c r="M30" s="65">
        <f t="shared" si="3"/>
        <v>0</v>
      </c>
      <c r="N30" s="90" t="s">
        <v>74</v>
      </c>
      <c r="O30" s="65">
        <v>11.31</v>
      </c>
      <c r="P30" s="65">
        <v>13.482</v>
      </c>
      <c r="Q30" s="65">
        <f t="shared" si="4"/>
        <v>0</v>
      </c>
      <c r="R30" s="67"/>
      <c r="S30" s="67"/>
      <c r="T30" s="67"/>
      <c r="U30" s="68"/>
      <c r="V30" s="69">
        <f t="shared" si="5"/>
        <v>0</v>
      </c>
      <c r="W30" s="69">
        <f t="shared" si="6"/>
        <v>0</v>
      </c>
      <c r="X30" s="63"/>
      <c r="Y30" s="63"/>
      <c r="Z30" s="63"/>
      <c r="AA30" s="63"/>
      <c r="AB30" s="63"/>
    </row>
    <row r="31" ht="14.25" customHeight="1">
      <c r="A31" s="55">
        <v>30.0</v>
      </c>
      <c r="B31" s="55" t="s">
        <v>23</v>
      </c>
      <c r="C31" s="56" t="s">
        <v>56</v>
      </c>
      <c r="D31" s="57">
        <v>8.0</v>
      </c>
      <c r="E31" s="57">
        <v>8.0</v>
      </c>
      <c r="F31" s="56"/>
      <c r="G31" s="57">
        <v>62.0</v>
      </c>
      <c r="H31" s="56"/>
      <c r="I31" s="56">
        <f t="shared" si="1"/>
        <v>89</v>
      </c>
      <c r="J31" s="56"/>
      <c r="K31" s="57">
        <v>151.0</v>
      </c>
      <c r="L31" s="56">
        <f t="shared" si="2"/>
        <v>0</v>
      </c>
      <c r="M31" s="56">
        <f t="shared" si="3"/>
        <v>151</v>
      </c>
      <c r="N31" s="58"/>
      <c r="O31" s="56">
        <v>11.31</v>
      </c>
      <c r="P31" s="56">
        <v>13.482</v>
      </c>
      <c r="Q31" s="56">
        <f t="shared" si="4"/>
        <v>198.336</v>
      </c>
      <c r="R31" s="59">
        <v>292720.0</v>
      </c>
      <c r="S31" s="59">
        <v>292820.0</v>
      </c>
      <c r="T31" s="59">
        <v>292820.0</v>
      </c>
      <c r="U31" s="61">
        <v>292920.0</v>
      </c>
      <c r="V31" s="62">
        <f t="shared" si="5"/>
        <v>100</v>
      </c>
      <c r="W31" s="62">
        <f t="shared" si="6"/>
        <v>100</v>
      </c>
      <c r="X31" s="63"/>
      <c r="Y31" s="63"/>
      <c r="Z31" s="63"/>
      <c r="AA31" s="63"/>
      <c r="AB31" s="63"/>
    </row>
    <row r="32" ht="14.25" customHeight="1">
      <c r="A32" s="75"/>
      <c r="B32" s="75"/>
      <c r="C32" s="63"/>
      <c r="D32" s="76" t="s">
        <v>57</v>
      </c>
      <c r="E32" s="77">
        <f>SUM(M:M)</f>
        <v>2975</v>
      </c>
      <c r="F32" s="63"/>
      <c r="G32" s="63"/>
      <c r="H32" s="63"/>
      <c r="I32" s="63"/>
      <c r="J32" s="63"/>
      <c r="K32" s="63"/>
      <c r="L32" s="63"/>
      <c r="M32" s="63"/>
      <c r="N32" s="78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</row>
    <row r="33" ht="14.25" customHeight="1">
      <c r="A33" s="75"/>
      <c r="B33" s="75"/>
      <c r="C33" s="63"/>
      <c r="D33" s="76" t="s">
        <v>58</v>
      </c>
      <c r="E33" s="77">
        <f>SUM(Q:Q)</f>
        <v>4311.186</v>
      </c>
      <c r="F33" s="63"/>
      <c r="G33" s="63"/>
      <c r="H33" s="63"/>
      <c r="I33" s="63"/>
      <c r="J33" s="63"/>
      <c r="K33" s="63"/>
      <c r="L33" s="63"/>
      <c r="M33" s="63"/>
      <c r="N33" s="78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</row>
    <row r="34" ht="14.25" customHeight="1">
      <c r="A34" s="75"/>
      <c r="B34" s="75"/>
      <c r="C34" s="63"/>
      <c r="D34" s="76" t="s">
        <v>59</v>
      </c>
      <c r="E34" s="77">
        <f>E32/E33</f>
        <v>0.6900653324</v>
      </c>
      <c r="F34" s="63"/>
      <c r="G34" s="63"/>
      <c r="H34" s="63"/>
      <c r="I34" s="63"/>
      <c r="J34" s="63"/>
      <c r="K34" s="63"/>
      <c r="L34" s="63"/>
      <c r="M34" s="63"/>
      <c r="N34" s="78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</row>
    <row r="35" ht="14.25" customHeight="1">
      <c r="A35" s="75"/>
      <c r="B35" s="75"/>
      <c r="C35" s="63"/>
      <c r="D35" s="79"/>
      <c r="E35" s="80"/>
      <c r="F35" s="63"/>
      <c r="G35" s="63"/>
      <c r="H35" s="63"/>
      <c r="I35" s="63"/>
      <c r="J35" s="63"/>
      <c r="K35" s="63"/>
      <c r="L35" s="63"/>
      <c r="M35" s="63"/>
      <c r="N35" s="78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</row>
    <row r="36" ht="14.25" customHeight="1">
      <c r="A36" s="75"/>
      <c r="B36" s="75"/>
      <c r="C36" s="63"/>
      <c r="D36" s="81" t="s">
        <v>60</v>
      </c>
      <c r="E36" s="82">
        <f>AVERAGEIF(Q:Q,"&gt;0",Q:Q)</f>
        <v>195.963</v>
      </c>
      <c r="F36" s="63"/>
      <c r="G36" s="63"/>
      <c r="H36" s="63"/>
      <c r="I36" s="63"/>
      <c r="J36" s="63"/>
      <c r="K36" s="63"/>
      <c r="L36" s="63"/>
      <c r="M36" s="63"/>
      <c r="N36" s="78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</row>
    <row r="37" ht="14.25" customHeight="1">
      <c r="A37" s="75"/>
      <c r="B37" s="75"/>
      <c r="C37" s="63"/>
      <c r="D37" s="79"/>
      <c r="E37" s="80"/>
      <c r="F37" s="63"/>
      <c r="G37" s="63"/>
      <c r="H37" s="63"/>
      <c r="I37" s="63"/>
      <c r="J37" s="63"/>
      <c r="K37" s="63"/>
      <c r="L37" s="63"/>
      <c r="M37" s="63"/>
      <c r="N37" s="78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</row>
    <row r="38" ht="14.25" customHeight="1">
      <c r="A38" s="75"/>
      <c r="B38" s="75"/>
      <c r="C38" s="63"/>
      <c r="D38" s="83" t="s">
        <v>61</v>
      </c>
      <c r="E38" s="84">
        <f>SUM(G:G)</f>
        <v>1011</v>
      </c>
      <c r="F38" s="63"/>
      <c r="G38" s="63"/>
      <c r="H38" s="63"/>
      <c r="I38" s="63"/>
      <c r="J38" s="63"/>
      <c r="K38" s="63"/>
      <c r="L38" s="63"/>
      <c r="M38" s="63"/>
      <c r="N38" s="78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</row>
    <row r="39" ht="14.25" customHeight="1">
      <c r="A39" s="75"/>
      <c r="B39" s="75"/>
      <c r="C39" s="63"/>
      <c r="D39" s="83" t="s">
        <v>62</v>
      </c>
      <c r="E39" s="84">
        <f>SUM(H:H)</f>
        <v>0</v>
      </c>
      <c r="F39" s="63"/>
      <c r="G39" s="63"/>
      <c r="H39" s="63"/>
      <c r="I39" s="63"/>
      <c r="J39" s="63"/>
      <c r="K39" s="63"/>
      <c r="L39" s="63"/>
      <c r="M39" s="63"/>
      <c r="N39" s="78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</row>
    <row r="40" ht="14.25" customHeight="1">
      <c r="A40" s="75"/>
      <c r="B40" s="75"/>
      <c r="C40" s="63"/>
      <c r="D40" s="83" t="s">
        <v>63</v>
      </c>
      <c r="E40" s="84">
        <f>E39+E38</f>
        <v>1011</v>
      </c>
      <c r="F40" s="63"/>
      <c r="G40" s="63"/>
      <c r="H40" s="63"/>
      <c r="I40" s="63"/>
      <c r="J40" s="63"/>
      <c r="K40" s="63"/>
      <c r="L40" s="63"/>
      <c r="M40" s="63"/>
      <c r="N40" s="78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</row>
    <row r="41" ht="14.25" customHeight="1">
      <c r="A41" s="75"/>
      <c r="B41" s="75"/>
      <c r="C41" s="63"/>
      <c r="D41" s="79"/>
      <c r="E41" s="80"/>
      <c r="F41" s="63"/>
      <c r="G41" s="63"/>
      <c r="H41" s="63"/>
      <c r="I41" s="63"/>
      <c r="J41" s="63"/>
      <c r="K41" s="63"/>
      <c r="L41" s="63"/>
      <c r="M41" s="63"/>
      <c r="N41" s="78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</row>
    <row r="42" ht="14.25" customHeight="1">
      <c r="A42" s="75"/>
      <c r="B42" s="75"/>
      <c r="C42" s="63"/>
      <c r="D42" s="49" t="s">
        <v>64</v>
      </c>
      <c r="E42" s="85">
        <f>SUM(I:I)</f>
        <v>1875</v>
      </c>
      <c r="F42" s="63"/>
      <c r="G42" s="63"/>
      <c r="H42" s="63"/>
      <c r="I42" s="63"/>
      <c r="J42" s="63"/>
      <c r="K42" s="63"/>
      <c r="L42" s="63"/>
      <c r="M42" s="63"/>
      <c r="N42" s="78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</row>
    <row r="43" ht="14.25" customHeight="1">
      <c r="A43" s="75"/>
      <c r="B43" s="75"/>
      <c r="C43" s="63"/>
      <c r="D43" s="49" t="s">
        <v>65</v>
      </c>
      <c r="E43" s="85">
        <f>SUM(J:J)</f>
        <v>89</v>
      </c>
      <c r="F43" s="63"/>
      <c r="G43" s="63"/>
      <c r="H43" s="63"/>
      <c r="I43" s="63"/>
      <c r="J43" s="63"/>
      <c r="K43" s="63"/>
      <c r="L43" s="63"/>
      <c r="M43" s="63"/>
      <c r="N43" s="78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</row>
    <row r="44" ht="14.25" customHeight="1">
      <c r="A44" s="75"/>
      <c r="B44" s="75"/>
      <c r="C44" s="63"/>
      <c r="D44" s="49" t="s">
        <v>66</v>
      </c>
      <c r="E44" s="85">
        <f>E43+E42</f>
        <v>1964</v>
      </c>
      <c r="F44" s="63"/>
      <c r="G44" s="63"/>
      <c r="H44" s="63"/>
      <c r="I44" s="63"/>
      <c r="J44" s="63"/>
      <c r="K44" s="63"/>
      <c r="L44" s="63"/>
      <c r="M44" s="63"/>
      <c r="N44" s="78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</row>
    <row r="45" ht="14.25" customHeight="1">
      <c r="A45" s="75"/>
      <c r="B45" s="75"/>
      <c r="C45" s="63"/>
      <c r="D45" s="79"/>
      <c r="E45" s="80"/>
      <c r="F45" s="63"/>
      <c r="G45" s="63"/>
      <c r="H45" s="63"/>
      <c r="I45" s="63"/>
      <c r="J45" s="63"/>
      <c r="K45" s="63"/>
      <c r="L45" s="63"/>
      <c r="M45" s="63"/>
      <c r="N45" s="78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</row>
    <row r="46" ht="14.25" customHeight="1">
      <c r="A46" s="75"/>
      <c r="B46" s="75"/>
      <c r="C46" s="63"/>
      <c r="D46" s="86" t="s">
        <v>10</v>
      </c>
      <c r="E46" s="87">
        <f t="shared" ref="E46:E47" si="7">E42+E38</f>
        <v>2886</v>
      </c>
      <c r="F46" s="63"/>
      <c r="G46" s="63"/>
      <c r="H46" s="63"/>
      <c r="I46" s="63"/>
      <c r="J46" s="63"/>
      <c r="K46" s="63"/>
      <c r="L46" s="63"/>
      <c r="M46" s="63"/>
      <c r="N46" s="78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</row>
    <row r="47" ht="14.25" customHeight="1">
      <c r="A47" s="75"/>
      <c r="B47" s="75"/>
      <c r="C47" s="63"/>
      <c r="D47" s="86" t="s">
        <v>11</v>
      </c>
      <c r="E47" s="87">
        <f t="shared" si="7"/>
        <v>89</v>
      </c>
      <c r="F47" s="63"/>
      <c r="G47" s="63"/>
      <c r="H47" s="63"/>
      <c r="I47" s="63"/>
      <c r="J47" s="63"/>
      <c r="K47" s="63"/>
      <c r="L47" s="63"/>
      <c r="M47" s="63"/>
      <c r="N47" s="78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</row>
    <row r="48" ht="14.25" customHeight="1">
      <c r="A48" s="75"/>
      <c r="B48" s="75"/>
      <c r="C48" s="63"/>
      <c r="D48" s="80"/>
      <c r="E48" s="80"/>
      <c r="F48" s="63"/>
      <c r="G48" s="63"/>
      <c r="H48" s="63"/>
      <c r="I48" s="63"/>
      <c r="J48" s="63"/>
      <c r="K48" s="63"/>
      <c r="L48" s="63"/>
      <c r="M48" s="63"/>
      <c r="N48" s="78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</row>
    <row r="49" ht="14.25" customHeight="1">
      <c r="A49" s="75"/>
      <c r="B49" s="75"/>
      <c r="C49" s="63"/>
      <c r="D49" s="80"/>
      <c r="E49" s="80"/>
      <c r="F49" s="63"/>
      <c r="G49" s="63"/>
      <c r="H49" s="63"/>
      <c r="I49" s="63"/>
      <c r="J49" s="63"/>
      <c r="K49" s="63"/>
      <c r="L49" s="63"/>
      <c r="M49" s="63"/>
      <c r="N49" s="78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</row>
    <row r="50" ht="14.25" customHeight="1">
      <c r="A50" s="75"/>
      <c r="B50" s="75"/>
      <c r="C50" s="63"/>
      <c r="D50" s="80"/>
      <c r="E50" s="80"/>
      <c r="F50" s="63"/>
      <c r="G50" s="63"/>
      <c r="H50" s="63"/>
      <c r="I50" s="63"/>
      <c r="J50" s="63"/>
      <c r="K50" s="63"/>
      <c r="L50" s="63"/>
      <c r="M50" s="63"/>
      <c r="N50" s="78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</row>
    <row r="51" ht="14.25" customHeight="1">
      <c r="A51" s="75"/>
      <c r="B51" s="75"/>
      <c r="C51" s="63"/>
      <c r="D51" s="80"/>
      <c r="E51" s="80"/>
      <c r="F51" s="63"/>
      <c r="G51" s="63"/>
      <c r="H51" s="63"/>
      <c r="I51" s="63"/>
      <c r="J51" s="63"/>
      <c r="K51" s="63"/>
      <c r="L51" s="63"/>
      <c r="M51" s="63"/>
      <c r="N51" s="78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</row>
    <row r="52" ht="14.25" customHeight="1">
      <c r="A52" s="75"/>
      <c r="B52" s="75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78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</row>
    <row r="53" ht="14.25" customHeight="1">
      <c r="A53" s="75"/>
      <c r="B53" s="75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78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</row>
    <row r="54" ht="14.25" customHeight="1">
      <c r="A54" s="75"/>
      <c r="B54" s="75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78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</row>
    <row r="55" ht="14.25" customHeight="1">
      <c r="A55" s="75"/>
      <c r="B55" s="75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78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</row>
    <row r="56" ht="14.25" customHeight="1">
      <c r="A56" s="75"/>
      <c r="B56" s="75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78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</row>
    <row r="57" ht="14.25" customHeight="1">
      <c r="A57" s="75"/>
      <c r="B57" s="75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78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</row>
    <row r="58" ht="14.25" customHeight="1">
      <c r="A58" s="75"/>
      <c r="B58" s="75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78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</row>
    <row r="59" ht="14.25" customHeight="1">
      <c r="A59" s="75"/>
      <c r="B59" s="75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78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</row>
    <row r="60" ht="14.25" customHeight="1">
      <c r="A60" s="75"/>
      <c r="B60" s="75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78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</row>
    <row r="61" ht="14.25" customHeight="1">
      <c r="A61" s="75"/>
      <c r="B61" s="75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78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</row>
    <row r="62" ht="14.25" customHeight="1">
      <c r="A62" s="75"/>
      <c r="B62" s="75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78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</row>
    <row r="63" ht="14.25" customHeight="1">
      <c r="A63" s="75"/>
      <c r="B63" s="75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78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</row>
    <row r="64" ht="14.25" customHeight="1">
      <c r="A64" s="75"/>
      <c r="B64" s="75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78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</row>
    <row r="65" ht="14.25" customHeight="1">
      <c r="A65" s="75"/>
      <c r="B65" s="75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78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</row>
    <row r="66" ht="14.25" customHeight="1">
      <c r="A66" s="75"/>
      <c r="B66" s="75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78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</row>
    <row r="67" ht="14.25" customHeight="1">
      <c r="A67" s="75"/>
      <c r="B67" s="75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78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</row>
    <row r="68" ht="14.25" customHeight="1">
      <c r="A68" s="75"/>
      <c r="B68" s="75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78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</row>
    <row r="69" ht="14.25" customHeight="1">
      <c r="A69" s="75"/>
      <c r="B69" s="75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78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</row>
    <row r="70" ht="14.25" customHeight="1">
      <c r="A70" s="75"/>
      <c r="B70" s="75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78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</row>
    <row r="71" ht="14.25" customHeight="1">
      <c r="A71" s="75"/>
      <c r="B71" s="75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78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</row>
    <row r="72" ht="14.25" customHeight="1">
      <c r="A72" s="75"/>
      <c r="B72" s="75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78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</row>
    <row r="73" ht="14.25" customHeight="1">
      <c r="A73" s="75"/>
      <c r="B73" s="75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78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</row>
    <row r="74" ht="14.25" customHeight="1">
      <c r="A74" s="75"/>
      <c r="B74" s="75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78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</row>
    <row r="75" ht="14.25" customHeight="1">
      <c r="A75" s="75"/>
      <c r="B75" s="75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78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</row>
    <row r="76" ht="14.25" customHeight="1">
      <c r="A76" s="75"/>
      <c r="B76" s="75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78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</row>
    <row r="77" ht="14.25" customHeight="1">
      <c r="A77" s="75"/>
      <c r="B77" s="75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78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</row>
    <row r="78" ht="14.25" customHeight="1">
      <c r="A78" s="75"/>
      <c r="B78" s="75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78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</row>
    <row r="79" ht="14.25" customHeight="1">
      <c r="A79" s="75"/>
      <c r="B79" s="75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78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</row>
    <row r="80" ht="14.25" customHeight="1">
      <c r="A80" s="75"/>
      <c r="B80" s="75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78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</row>
    <row r="81" ht="14.25" customHeight="1">
      <c r="A81" s="75"/>
      <c r="B81" s="75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78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</row>
    <row r="82" ht="14.25" customHeight="1">
      <c r="A82" s="75"/>
      <c r="B82" s="75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78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</row>
    <row r="83" ht="14.25" customHeight="1">
      <c r="A83" s="75"/>
      <c r="B83" s="75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78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</row>
    <row r="84" ht="14.25" customHeight="1">
      <c r="A84" s="75"/>
      <c r="B84" s="75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78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</row>
    <row r="85" ht="14.25" customHeight="1">
      <c r="A85" s="75"/>
      <c r="B85" s="75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78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</row>
    <row r="86" ht="14.25" customHeight="1">
      <c r="A86" s="75"/>
      <c r="B86" s="75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78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</row>
    <row r="87" ht="14.25" customHeight="1">
      <c r="A87" s="75"/>
      <c r="B87" s="75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78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</row>
    <row r="88" ht="14.25" customHeight="1">
      <c r="A88" s="75"/>
      <c r="B88" s="75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78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</row>
    <row r="89" ht="14.25" customHeight="1">
      <c r="A89" s="75"/>
      <c r="B89" s="75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78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</row>
    <row r="90" ht="14.25" customHeight="1">
      <c r="A90" s="75"/>
      <c r="B90" s="75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78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</row>
    <row r="91" ht="14.25" customHeight="1">
      <c r="A91" s="75"/>
      <c r="B91" s="75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78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</row>
    <row r="92" ht="14.25" customHeight="1">
      <c r="A92" s="75"/>
      <c r="B92" s="75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78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</row>
    <row r="93" ht="14.25" customHeight="1">
      <c r="A93" s="75"/>
      <c r="B93" s="75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78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</row>
    <row r="94" ht="14.25" customHeight="1">
      <c r="A94" s="75"/>
      <c r="B94" s="75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78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</row>
    <row r="95" ht="14.25" customHeight="1">
      <c r="A95" s="75"/>
      <c r="B95" s="75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78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</row>
    <row r="96" ht="14.25" customHeight="1">
      <c r="A96" s="75"/>
      <c r="B96" s="75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78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</row>
    <row r="97" ht="14.25" customHeight="1">
      <c r="A97" s="75"/>
      <c r="B97" s="75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78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</row>
    <row r="98" ht="14.25" customHeight="1">
      <c r="A98" s="75"/>
      <c r="B98" s="75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78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</row>
    <row r="99" ht="14.25" customHeight="1">
      <c r="A99" s="75"/>
      <c r="B99" s="75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78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</row>
    <row r="100" ht="14.25" customHeight="1">
      <c r="A100" s="75"/>
      <c r="B100" s="75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78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</row>
    <row r="101" ht="14.25" customHeight="1">
      <c r="A101" s="75"/>
      <c r="B101" s="75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78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</row>
    <row r="102" ht="14.25" customHeight="1">
      <c r="A102" s="75"/>
      <c r="B102" s="75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78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</row>
    <row r="103" ht="14.25" customHeight="1">
      <c r="A103" s="75"/>
      <c r="B103" s="75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78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</row>
    <row r="104" ht="14.25" customHeight="1">
      <c r="A104" s="75"/>
      <c r="B104" s="75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78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</row>
    <row r="105" ht="14.25" customHeight="1">
      <c r="A105" s="75"/>
      <c r="B105" s="75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78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</row>
    <row r="106" ht="14.25" customHeight="1">
      <c r="A106" s="75"/>
      <c r="B106" s="75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78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</row>
    <row r="107" ht="14.25" customHeight="1">
      <c r="A107" s="75"/>
      <c r="B107" s="75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78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</row>
    <row r="108" ht="14.25" customHeight="1">
      <c r="A108" s="75"/>
      <c r="B108" s="75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78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</row>
    <row r="109" ht="14.25" customHeight="1">
      <c r="A109" s="75"/>
      <c r="B109" s="75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78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</row>
    <row r="110" ht="14.25" customHeight="1">
      <c r="A110" s="75"/>
      <c r="B110" s="75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78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</row>
    <row r="111" ht="14.25" customHeight="1">
      <c r="A111" s="75"/>
      <c r="B111" s="75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78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</row>
    <row r="112" ht="14.25" customHeight="1">
      <c r="A112" s="75"/>
      <c r="B112" s="75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78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</row>
    <row r="113" ht="14.25" customHeight="1">
      <c r="A113" s="75"/>
      <c r="B113" s="75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78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</row>
    <row r="114" ht="14.25" customHeight="1">
      <c r="A114" s="75"/>
      <c r="B114" s="75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78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</row>
    <row r="115" ht="14.25" customHeight="1">
      <c r="A115" s="75"/>
      <c r="B115" s="75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78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</row>
    <row r="116" ht="14.25" customHeight="1">
      <c r="A116" s="75"/>
      <c r="B116" s="75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78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</row>
    <row r="117" ht="14.25" customHeight="1">
      <c r="A117" s="75"/>
      <c r="B117" s="75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78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</row>
    <row r="118" ht="14.25" customHeight="1">
      <c r="A118" s="75"/>
      <c r="B118" s="75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78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</row>
    <row r="119" ht="14.25" customHeight="1">
      <c r="A119" s="75"/>
      <c r="B119" s="75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78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</row>
    <row r="120" ht="14.25" customHeight="1">
      <c r="A120" s="75"/>
      <c r="B120" s="75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78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</row>
    <row r="121" ht="14.25" customHeight="1">
      <c r="A121" s="75"/>
      <c r="B121" s="75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78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</row>
    <row r="122" ht="14.25" customHeight="1">
      <c r="A122" s="75"/>
      <c r="B122" s="75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78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</row>
    <row r="123" ht="14.25" customHeight="1">
      <c r="A123" s="75"/>
      <c r="B123" s="75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78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</row>
    <row r="124" ht="14.25" customHeight="1">
      <c r="A124" s="75"/>
      <c r="B124" s="75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78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</row>
    <row r="125" ht="14.25" customHeight="1">
      <c r="A125" s="75"/>
      <c r="B125" s="75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78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</row>
    <row r="126" ht="14.25" customHeight="1">
      <c r="A126" s="75"/>
      <c r="B126" s="75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78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</row>
    <row r="127" ht="14.25" customHeight="1">
      <c r="A127" s="75"/>
      <c r="B127" s="75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78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</row>
    <row r="128" ht="14.25" customHeight="1">
      <c r="A128" s="75"/>
      <c r="B128" s="75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78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</row>
    <row r="129" ht="14.25" customHeight="1">
      <c r="A129" s="75"/>
      <c r="B129" s="75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78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</row>
    <row r="130" ht="14.25" customHeight="1">
      <c r="A130" s="75"/>
      <c r="B130" s="75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78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</row>
    <row r="131" ht="14.25" customHeight="1">
      <c r="A131" s="75"/>
      <c r="B131" s="75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78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</row>
    <row r="132" ht="14.25" customHeight="1">
      <c r="A132" s="75"/>
      <c r="B132" s="75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78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</row>
    <row r="133" ht="14.25" customHeight="1">
      <c r="A133" s="75"/>
      <c r="B133" s="75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78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</row>
    <row r="134" ht="14.25" customHeight="1">
      <c r="A134" s="75"/>
      <c r="B134" s="75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78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</row>
    <row r="135" ht="14.25" customHeight="1">
      <c r="A135" s="75"/>
      <c r="B135" s="75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78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</row>
    <row r="136" ht="14.25" customHeight="1">
      <c r="A136" s="75"/>
      <c r="B136" s="75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78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</row>
    <row r="137" ht="14.25" customHeight="1">
      <c r="A137" s="75"/>
      <c r="B137" s="75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78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</row>
    <row r="138" ht="14.25" customHeight="1">
      <c r="A138" s="75"/>
      <c r="B138" s="75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78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</row>
    <row r="139" ht="14.25" customHeight="1">
      <c r="A139" s="75"/>
      <c r="B139" s="75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78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</row>
    <row r="140" ht="14.25" customHeight="1">
      <c r="A140" s="75"/>
      <c r="B140" s="75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78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</row>
    <row r="141" ht="14.25" customHeight="1">
      <c r="A141" s="75"/>
      <c r="B141" s="75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78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</row>
    <row r="142" ht="14.25" customHeight="1">
      <c r="A142" s="75"/>
      <c r="B142" s="75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78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</row>
    <row r="143" ht="14.25" customHeight="1">
      <c r="A143" s="75"/>
      <c r="B143" s="75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78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</row>
    <row r="144" ht="14.25" customHeight="1">
      <c r="A144" s="75"/>
      <c r="B144" s="75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78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</row>
    <row r="145" ht="14.25" customHeight="1">
      <c r="A145" s="75"/>
      <c r="B145" s="75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78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</row>
    <row r="146" ht="14.25" customHeight="1">
      <c r="A146" s="75"/>
      <c r="B146" s="75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78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</row>
    <row r="147" ht="14.25" customHeight="1">
      <c r="A147" s="75"/>
      <c r="B147" s="75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78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</row>
    <row r="148" ht="14.25" customHeight="1">
      <c r="A148" s="75"/>
      <c r="B148" s="75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78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</row>
    <row r="149" ht="14.25" customHeight="1">
      <c r="A149" s="75"/>
      <c r="B149" s="75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78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</row>
    <row r="150" ht="14.25" customHeight="1">
      <c r="A150" s="75"/>
      <c r="B150" s="75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78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</row>
    <row r="151" ht="14.25" customHeight="1">
      <c r="A151" s="75"/>
      <c r="B151" s="75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78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</row>
    <row r="152" ht="14.25" customHeight="1">
      <c r="A152" s="75"/>
      <c r="B152" s="75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78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</row>
    <row r="153" ht="14.25" customHeight="1">
      <c r="A153" s="75"/>
      <c r="B153" s="75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78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</row>
    <row r="154" ht="14.25" customHeight="1">
      <c r="A154" s="75"/>
      <c r="B154" s="75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78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</row>
    <row r="155" ht="14.25" customHeight="1">
      <c r="A155" s="75"/>
      <c r="B155" s="75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78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</row>
    <row r="156" ht="14.25" customHeight="1">
      <c r="A156" s="75"/>
      <c r="B156" s="75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78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</row>
    <row r="157" ht="14.25" customHeight="1">
      <c r="A157" s="75"/>
      <c r="B157" s="75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78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</row>
    <row r="158" ht="14.25" customHeight="1">
      <c r="A158" s="75"/>
      <c r="B158" s="75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78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</row>
    <row r="159" ht="14.25" customHeight="1">
      <c r="A159" s="75"/>
      <c r="B159" s="75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78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</row>
    <row r="160" ht="14.25" customHeight="1">
      <c r="A160" s="75"/>
      <c r="B160" s="75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78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</row>
    <row r="161" ht="14.25" customHeight="1">
      <c r="A161" s="75"/>
      <c r="B161" s="75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78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</row>
    <row r="162" ht="14.25" customHeight="1">
      <c r="A162" s="75"/>
      <c r="B162" s="75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78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</row>
    <row r="163" ht="14.25" customHeight="1">
      <c r="A163" s="75"/>
      <c r="B163" s="75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78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</row>
    <row r="164" ht="14.25" customHeight="1">
      <c r="A164" s="75"/>
      <c r="B164" s="75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78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</row>
    <row r="165" ht="14.25" customHeight="1">
      <c r="A165" s="75"/>
      <c r="B165" s="75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78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</row>
    <row r="166" ht="14.25" customHeight="1">
      <c r="A166" s="75"/>
      <c r="B166" s="75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78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</row>
    <row r="167" ht="14.25" customHeight="1">
      <c r="A167" s="75"/>
      <c r="B167" s="75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78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</row>
    <row r="168" ht="14.25" customHeight="1">
      <c r="A168" s="75"/>
      <c r="B168" s="75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78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</row>
    <row r="169" ht="14.25" customHeight="1">
      <c r="A169" s="75"/>
      <c r="B169" s="75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78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</row>
    <row r="170" ht="14.25" customHeight="1">
      <c r="A170" s="75"/>
      <c r="B170" s="75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78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</row>
    <row r="171" ht="14.25" customHeight="1">
      <c r="A171" s="75"/>
      <c r="B171" s="75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78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</row>
    <row r="172" ht="14.25" customHeight="1">
      <c r="A172" s="75"/>
      <c r="B172" s="75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78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</row>
    <row r="173" ht="14.25" customHeight="1">
      <c r="A173" s="75"/>
      <c r="B173" s="75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78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</row>
    <row r="174" ht="14.25" customHeight="1">
      <c r="A174" s="75"/>
      <c r="B174" s="75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78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</row>
    <row r="175" ht="14.25" customHeight="1">
      <c r="A175" s="75"/>
      <c r="B175" s="75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78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</row>
    <row r="176" ht="14.25" customHeight="1">
      <c r="A176" s="75"/>
      <c r="B176" s="75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78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</row>
    <row r="177" ht="14.25" customHeight="1">
      <c r="A177" s="75"/>
      <c r="B177" s="75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78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</row>
    <row r="178" ht="14.25" customHeight="1">
      <c r="A178" s="75"/>
      <c r="B178" s="75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78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</row>
    <row r="179" ht="14.25" customHeight="1">
      <c r="A179" s="75"/>
      <c r="B179" s="75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78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</row>
    <row r="180" ht="14.25" customHeight="1">
      <c r="A180" s="75"/>
      <c r="B180" s="75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78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</row>
    <row r="181" ht="14.25" customHeight="1">
      <c r="A181" s="75"/>
      <c r="B181" s="75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78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</row>
    <row r="182" ht="14.25" customHeight="1">
      <c r="A182" s="75"/>
      <c r="B182" s="75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78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</row>
    <row r="183" ht="14.25" customHeight="1">
      <c r="A183" s="75"/>
      <c r="B183" s="75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78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</row>
    <row r="184" ht="14.25" customHeight="1">
      <c r="A184" s="75"/>
      <c r="B184" s="75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78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</row>
    <row r="185" ht="14.25" customHeight="1">
      <c r="A185" s="75"/>
      <c r="B185" s="75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78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</row>
    <row r="186" ht="14.25" customHeight="1">
      <c r="A186" s="75"/>
      <c r="B186" s="75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78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</row>
    <row r="187" ht="14.25" customHeight="1">
      <c r="A187" s="75"/>
      <c r="B187" s="75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78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</row>
    <row r="188" ht="14.25" customHeight="1">
      <c r="A188" s="75"/>
      <c r="B188" s="75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78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</row>
    <row r="189" ht="14.25" customHeight="1">
      <c r="A189" s="75"/>
      <c r="B189" s="75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78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</row>
    <row r="190" ht="14.25" customHeight="1">
      <c r="A190" s="75"/>
      <c r="B190" s="75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78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</row>
    <row r="191" ht="14.25" customHeight="1">
      <c r="A191" s="75"/>
      <c r="B191" s="75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78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</row>
    <row r="192" ht="14.25" customHeight="1">
      <c r="A192" s="75"/>
      <c r="B192" s="75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78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</row>
    <row r="193" ht="14.25" customHeight="1">
      <c r="A193" s="75"/>
      <c r="B193" s="75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78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</row>
    <row r="194" ht="14.25" customHeight="1">
      <c r="A194" s="75"/>
      <c r="B194" s="75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78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</row>
    <row r="195" ht="14.25" customHeight="1">
      <c r="A195" s="75"/>
      <c r="B195" s="75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78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</row>
    <row r="196" ht="14.25" customHeight="1">
      <c r="A196" s="75"/>
      <c r="B196" s="75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78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</row>
    <row r="197" ht="14.25" customHeight="1">
      <c r="A197" s="75"/>
      <c r="B197" s="75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78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</row>
    <row r="198" ht="14.25" customHeight="1">
      <c r="A198" s="75"/>
      <c r="B198" s="75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78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</row>
    <row r="199" ht="14.25" customHeight="1">
      <c r="A199" s="75"/>
      <c r="B199" s="75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78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</row>
    <row r="200" ht="14.25" customHeight="1">
      <c r="A200" s="75"/>
      <c r="B200" s="75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78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</row>
    <row r="201" ht="14.25" customHeight="1">
      <c r="A201" s="75"/>
      <c r="B201" s="75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78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</row>
    <row r="202" ht="14.25" customHeight="1">
      <c r="A202" s="75"/>
      <c r="B202" s="75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78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</row>
    <row r="203" ht="14.25" customHeight="1">
      <c r="A203" s="75"/>
      <c r="B203" s="75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78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</row>
    <row r="204" ht="14.25" customHeight="1">
      <c r="A204" s="75"/>
      <c r="B204" s="75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78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</row>
    <row r="205" ht="14.25" customHeight="1">
      <c r="A205" s="75"/>
      <c r="B205" s="75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78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</row>
    <row r="206" ht="14.25" customHeight="1">
      <c r="A206" s="75"/>
      <c r="B206" s="75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78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</row>
    <row r="207" ht="14.25" customHeight="1">
      <c r="A207" s="75"/>
      <c r="B207" s="75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78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</row>
    <row r="208" ht="14.25" customHeight="1">
      <c r="A208" s="75"/>
      <c r="B208" s="75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78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</row>
    <row r="209" ht="14.25" customHeight="1">
      <c r="A209" s="75"/>
      <c r="B209" s="75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78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</row>
    <row r="210" ht="14.25" customHeight="1">
      <c r="A210" s="75"/>
      <c r="B210" s="75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78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</row>
    <row r="211" ht="14.25" customHeight="1">
      <c r="A211" s="75"/>
      <c r="B211" s="75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78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</row>
    <row r="212" ht="14.25" customHeight="1">
      <c r="A212" s="75"/>
      <c r="B212" s="75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78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</row>
    <row r="213" ht="14.25" customHeight="1">
      <c r="A213" s="75"/>
      <c r="B213" s="75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78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</row>
    <row r="214" ht="14.25" customHeight="1">
      <c r="A214" s="75"/>
      <c r="B214" s="75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78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</row>
    <row r="215" ht="14.25" customHeight="1">
      <c r="A215" s="75"/>
      <c r="B215" s="75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78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</row>
    <row r="216" ht="14.25" customHeight="1">
      <c r="A216" s="75"/>
      <c r="B216" s="75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78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</row>
    <row r="217" ht="14.25" customHeight="1">
      <c r="A217" s="75"/>
      <c r="B217" s="75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78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</row>
    <row r="218" ht="14.25" customHeight="1">
      <c r="A218" s="75"/>
      <c r="B218" s="75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78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</row>
    <row r="219" ht="14.25" customHeight="1">
      <c r="A219" s="75"/>
      <c r="B219" s="75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78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</row>
    <row r="220" ht="14.25" customHeight="1">
      <c r="A220" s="75"/>
      <c r="B220" s="75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78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</row>
    <row r="221" ht="14.25" customHeight="1">
      <c r="A221" s="75"/>
      <c r="B221" s="75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78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</row>
    <row r="222" ht="14.25" customHeight="1">
      <c r="A222" s="75"/>
      <c r="B222" s="75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78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</row>
    <row r="223" ht="14.25" customHeight="1">
      <c r="A223" s="75"/>
      <c r="B223" s="75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78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</row>
    <row r="224" ht="14.25" customHeight="1">
      <c r="A224" s="75"/>
      <c r="B224" s="75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78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</row>
    <row r="225" ht="14.25" customHeight="1">
      <c r="A225" s="75"/>
      <c r="B225" s="75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78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</row>
    <row r="226" ht="14.25" customHeight="1">
      <c r="A226" s="75"/>
      <c r="B226" s="75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78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</row>
    <row r="227" ht="14.25" customHeight="1">
      <c r="A227" s="75"/>
      <c r="B227" s="75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78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</row>
    <row r="228" ht="14.25" customHeight="1">
      <c r="A228" s="75"/>
      <c r="B228" s="75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78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</row>
    <row r="229" ht="14.25" customHeight="1">
      <c r="A229" s="75"/>
      <c r="B229" s="75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78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</row>
    <row r="230" ht="14.25" customHeight="1">
      <c r="A230" s="75"/>
      <c r="B230" s="75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78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</row>
    <row r="231" ht="14.25" customHeight="1">
      <c r="A231" s="75"/>
      <c r="B231" s="75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78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</row>
    <row r="232" ht="14.25" customHeight="1">
      <c r="A232" s="75"/>
      <c r="B232" s="75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78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</row>
    <row r="233" ht="14.25" customHeight="1">
      <c r="A233" s="75"/>
      <c r="B233" s="75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78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</row>
    <row r="234" ht="14.25" customHeight="1">
      <c r="A234" s="75"/>
      <c r="B234" s="75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78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</row>
    <row r="235" ht="14.25" customHeight="1">
      <c r="A235" s="75"/>
      <c r="B235" s="75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78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</row>
    <row r="236" ht="14.25" customHeight="1">
      <c r="A236" s="75"/>
      <c r="B236" s="75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78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</row>
    <row r="237" ht="14.25" customHeight="1">
      <c r="A237" s="75"/>
      <c r="B237" s="75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78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</row>
    <row r="238" ht="14.25" customHeight="1">
      <c r="A238" s="75"/>
      <c r="B238" s="75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78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</row>
    <row r="239" ht="14.25" customHeight="1">
      <c r="A239" s="75"/>
      <c r="B239" s="75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78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</row>
    <row r="240" ht="14.25" customHeight="1">
      <c r="A240" s="75"/>
      <c r="B240" s="75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78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</row>
    <row r="241" ht="14.25" customHeight="1">
      <c r="A241" s="75"/>
      <c r="B241" s="75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78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</row>
    <row r="242" ht="14.25" customHeight="1">
      <c r="A242" s="75"/>
      <c r="B242" s="75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78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</row>
    <row r="243" ht="14.25" customHeight="1">
      <c r="A243" s="75"/>
      <c r="B243" s="75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78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</row>
    <row r="244" ht="14.25" customHeight="1">
      <c r="A244" s="75"/>
      <c r="B244" s="75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78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</row>
    <row r="245" ht="14.25" customHeight="1">
      <c r="A245" s="75"/>
      <c r="B245" s="75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78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</row>
    <row r="246" ht="14.25" customHeight="1">
      <c r="A246" s="75"/>
      <c r="B246" s="75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78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</row>
    <row r="247" ht="14.25" customHeight="1">
      <c r="A247" s="75"/>
      <c r="B247" s="75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78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</row>
    <row r="248" ht="15.75" customHeight="1">
      <c r="A248" s="88"/>
      <c r="B248" s="88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89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ht="15.75" customHeight="1">
      <c r="A249" s="88"/>
      <c r="B249" s="88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89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ht="15.75" customHeight="1">
      <c r="A250" s="88"/>
      <c r="B250" s="88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89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ht="15.75" customHeight="1">
      <c r="A251" s="88"/>
      <c r="B251" s="88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89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ht="15.75" customHeight="1">
      <c r="A252" s="88"/>
      <c r="B252" s="88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89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ht="15.75" customHeight="1">
      <c r="A253" s="88"/>
      <c r="B253" s="88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89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ht="15.75" customHeight="1">
      <c r="A254" s="88"/>
      <c r="B254" s="88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89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ht="15.75" customHeight="1">
      <c r="A255" s="88"/>
      <c r="B255" s="88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89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ht="15.75" customHeight="1">
      <c r="A256" s="88"/>
      <c r="B256" s="88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89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ht="15.75" customHeight="1">
      <c r="A257" s="88"/>
      <c r="B257" s="88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89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ht="15.75" customHeight="1">
      <c r="A258" s="88"/>
      <c r="B258" s="88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89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ht="15.75" customHeight="1">
      <c r="A259" s="88"/>
      <c r="B259" s="88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89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ht="15.75" customHeight="1">
      <c r="A260" s="88"/>
      <c r="B260" s="88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89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ht="15.75" customHeight="1">
      <c r="A261" s="88"/>
      <c r="B261" s="88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89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ht="15.75" customHeight="1">
      <c r="A262" s="88"/>
      <c r="B262" s="88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89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ht="15.75" customHeight="1">
      <c r="A263" s="88"/>
      <c r="B263" s="88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89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ht="15.75" customHeight="1">
      <c r="A264" s="88"/>
      <c r="B264" s="88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89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ht="15.75" customHeight="1">
      <c r="A265" s="88"/>
      <c r="B265" s="88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89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ht="15.75" customHeight="1">
      <c r="A266" s="88"/>
      <c r="B266" s="88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89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ht="15.75" customHeight="1">
      <c r="A267" s="88"/>
      <c r="B267" s="88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89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ht="15.75" customHeight="1">
      <c r="A268" s="88"/>
      <c r="B268" s="88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89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ht="15.75" customHeight="1">
      <c r="A269" s="88"/>
      <c r="B269" s="88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89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ht="15.75" customHeight="1">
      <c r="A270" s="88"/>
      <c r="B270" s="88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89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ht="15.75" customHeight="1">
      <c r="A271" s="88"/>
      <c r="B271" s="88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89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ht="15.75" customHeight="1">
      <c r="A272" s="88"/>
      <c r="B272" s="88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89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ht="15.75" customHeight="1">
      <c r="A273" s="88"/>
      <c r="B273" s="88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89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ht="15.75" customHeight="1">
      <c r="A274" s="88"/>
      <c r="B274" s="88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89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ht="15.75" customHeight="1">
      <c r="A275" s="88"/>
      <c r="B275" s="88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89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ht="15.75" customHeight="1">
      <c r="A276" s="88"/>
      <c r="B276" s="88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89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ht="15.75" customHeight="1">
      <c r="A277" s="88"/>
      <c r="B277" s="88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89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ht="15.75" customHeight="1">
      <c r="A278" s="88"/>
      <c r="B278" s="88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89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ht="15.75" customHeight="1">
      <c r="A279" s="88"/>
      <c r="B279" s="88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89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ht="15.75" customHeight="1">
      <c r="A280" s="88"/>
      <c r="B280" s="88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89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ht="15.75" customHeight="1">
      <c r="A281" s="88"/>
      <c r="B281" s="88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89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ht="15.75" customHeight="1">
      <c r="A282" s="88"/>
      <c r="B282" s="88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89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ht="15.75" customHeight="1">
      <c r="A283" s="88"/>
      <c r="B283" s="88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89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ht="15.75" customHeight="1">
      <c r="A284" s="88"/>
      <c r="B284" s="88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89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ht="15.75" customHeight="1">
      <c r="A285" s="88"/>
      <c r="B285" s="88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89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ht="15.75" customHeight="1">
      <c r="A286" s="88"/>
      <c r="B286" s="88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89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ht="15.75" customHeight="1">
      <c r="A287" s="88"/>
      <c r="B287" s="88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89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ht="15.75" customHeight="1">
      <c r="A288" s="88"/>
      <c r="B288" s="88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89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ht="15.75" customHeight="1">
      <c r="A289" s="88"/>
      <c r="B289" s="88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89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ht="15.75" customHeight="1">
      <c r="A290" s="88"/>
      <c r="B290" s="88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89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ht="15.75" customHeight="1">
      <c r="A291" s="88"/>
      <c r="B291" s="88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89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ht="15.75" customHeight="1">
      <c r="A292" s="88"/>
      <c r="B292" s="88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89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ht="15.75" customHeight="1">
      <c r="A293" s="88"/>
      <c r="B293" s="88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89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ht="15.75" customHeight="1">
      <c r="A294" s="88"/>
      <c r="B294" s="88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89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ht="15.75" customHeight="1">
      <c r="A295" s="88"/>
      <c r="B295" s="88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89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ht="15.75" customHeight="1">
      <c r="A296" s="88"/>
      <c r="B296" s="88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89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ht="15.75" customHeight="1">
      <c r="A297" s="88"/>
      <c r="B297" s="88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89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ht="15.75" customHeight="1">
      <c r="A298" s="88"/>
      <c r="B298" s="88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89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ht="15.75" customHeight="1">
      <c r="A299" s="88"/>
      <c r="B299" s="88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89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ht="15.75" customHeight="1">
      <c r="A300" s="88"/>
      <c r="B300" s="88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89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ht="15.75" customHeight="1">
      <c r="A301" s="88"/>
      <c r="B301" s="88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89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ht="15.75" customHeight="1">
      <c r="A302" s="88"/>
      <c r="B302" s="88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89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ht="15.75" customHeight="1">
      <c r="A303" s="88"/>
      <c r="B303" s="88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89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ht="15.75" customHeight="1">
      <c r="A304" s="88"/>
      <c r="B304" s="88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89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ht="15.75" customHeight="1">
      <c r="A305" s="88"/>
      <c r="B305" s="88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89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ht="15.75" customHeight="1">
      <c r="A306" s="88"/>
      <c r="B306" s="88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89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ht="15.75" customHeight="1">
      <c r="A307" s="88"/>
      <c r="B307" s="88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89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ht="15.75" customHeight="1">
      <c r="A308" s="88"/>
      <c r="B308" s="88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89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ht="15.75" customHeight="1">
      <c r="A309" s="88"/>
      <c r="B309" s="88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89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ht="15.75" customHeight="1">
      <c r="A310" s="88"/>
      <c r="B310" s="88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89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ht="15.75" customHeight="1">
      <c r="A311" s="88"/>
      <c r="B311" s="88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89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ht="15.75" customHeight="1">
      <c r="A312" s="88"/>
      <c r="B312" s="88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89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ht="15.75" customHeight="1">
      <c r="A313" s="88"/>
      <c r="B313" s="88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89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ht="15.75" customHeight="1">
      <c r="A314" s="88"/>
      <c r="B314" s="88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89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ht="15.75" customHeight="1">
      <c r="A315" s="88"/>
      <c r="B315" s="88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89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ht="15.75" customHeight="1">
      <c r="A316" s="88"/>
      <c r="B316" s="88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89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ht="15.75" customHeight="1">
      <c r="A317" s="88"/>
      <c r="B317" s="88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89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ht="15.75" customHeight="1">
      <c r="A318" s="88"/>
      <c r="B318" s="88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89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ht="15.75" customHeight="1">
      <c r="A319" s="88"/>
      <c r="B319" s="88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89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ht="15.75" customHeight="1">
      <c r="A320" s="88"/>
      <c r="B320" s="88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89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ht="15.75" customHeight="1">
      <c r="A321" s="88"/>
      <c r="B321" s="88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89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ht="15.75" customHeight="1">
      <c r="A322" s="88"/>
      <c r="B322" s="88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89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ht="15.75" customHeight="1">
      <c r="A323" s="88"/>
      <c r="B323" s="88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89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ht="15.75" customHeight="1">
      <c r="A324" s="88"/>
      <c r="B324" s="88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89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ht="15.75" customHeight="1">
      <c r="A325" s="88"/>
      <c r="B325" s="88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89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ht="15.75" customHeight="1">
      <c r="A326" s="88"/>
      <c r="B326" s="88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89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ht="15.75" customHeight="1">
      <c r="A327" s="88"/>
      <c r="B327" s="88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89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ht="15.75" customHeight="1">
      <c r="A328" s="88"/>
      <c r="B328" s="88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89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ht="15.75" customHeight="1">
      <c r="A329" s="88"/>
      <c r="B329" s="88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89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ht="15.75" customHeight="1">
      <c r="A330" s="88"/>
      <c r="B330" s="88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89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ht="15.75" customHeight="1">
      <c r="A331" s="88"/>
      <c r="B331" s="88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89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ht="15.75" customHeight="1">
      <c r="A332" s="88"/>
      <c r="B332" s="88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89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ht="15.75" customHeight="1">
      <c r="A333" s="88"/>
      <c r="B333" s="88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89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ht="15.75" customHeight="1">
      <c r="A334" s="88"/>
      <c r="B334" s="88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89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ht="15.75" customHeight="1">
      <c r="A335" s="88"/>
      <c r="B335" s="88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89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ht="15.75" customHeight="1">
      <c r="A336" s="88"/>
      <c r="B336" s="88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89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ht="15.75" customHeight="1">
      <c r="A337" s="88"/>
      <c r="B337" s="88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89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ht="15.75" customHeight="1">
      <c r="A338" s="88"/>
      <c r="B338" s="88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89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ht="15.75" customHeight="1">
      <c r="A339" s="88"/>
      <c r="B339" s="88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89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ht="15.75" customHeight="1">
      <c r="A340" s="88"/>
      <c r="B340" s="88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89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ht="15.75" customHeight="1">
      <c r="A341" s="88"/>
      <c r="B341" s="88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89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ht="15.75" customHeight="1">
      <c r="A342" s="88"/>
      <c r="B342" s="88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89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ht="15.75" customHeight="1">
      <c r="A343" s="88"/>
      <c r="B343" s="88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89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ht="15.75" customHeight="1">
      <c r="A344" s="88"/>
      <c r="B344" s="88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89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ht="15.75" customHeight="1">
      <c r="A345" s="88"/>
      <c r="B345" s="88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89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ht="15.75" customHeight="1">
      <c r="A346" s="88"/>
      <c r="B346" s="88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89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ht="15.75" customHeight="1">
      <c r="A347" s="88"/>
      <c r="B347" s="88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89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ht="15.75" customHeight="1">
      <c r="A348" s="88"/>
      <c r="B348" s="88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89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ht="15.75" customHeight="1">
      <c r="A349" s="88"/>
      <c r="B349" s="88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89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ht="15.75" customHeight="1">
      <c r="A350" s="88"/>
      <c r="B350" s="88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89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ht="15.75" customHeight="1">
      <c r="A351" s="88"/>
      <c r="B351" s="88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89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ht="15.75" customHeight="1">
      <c r="A352" s="88"/>
      <c r="B352" s="88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89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ht="15.75" customHeight="1">
      <c r="A353" s="88"/>
      <c r="B353" s="88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89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ht="15.75" customHeight="1">
      <c r="A354" s="88"/>
      <c r="B354" s="88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89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ht="15.75" customHeight="1">
      <c r="A355" s="88"/>
      <c r="B355" s="88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89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ht="15.75" customHeight="1">
      <c r="A356" s="88"/>
      <c r="B356" s="88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89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ht="15.75" customHeight="1">
      <c r="A357" s="88"/>
      <c r="B357" s="88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89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ht="15.75" customHeight="1">
      <c r="A358" s="88"/>
      <c r="B358" s="88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89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ht="15.75" customHeight="1">
      <c r="A359" s="88"/>
      <c r="B359" s="88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89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ht="15.75" customHeight="1">
      <c r="A360" s="88"/>
      <c r="B360" s="88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89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ht="15.75" customHeight="1">
      <c r="A361" s="88"/>
      <c r="B361" s="88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89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ht="15.75" customHeight="1">
      <c r="A362" s="88"/>
      <c r="B362" s="88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89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ht="15.75" customHeight="1">
      <c r="A363" s="88"/>
      <c r="B363" s="88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89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ht="15.75" customHeight="1">
      <c r="A364" s="88"/>
      <c r="B364" s="88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89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ht="15.75" customHeight="1">
      <c r="A365" s="88"/>
      <c r="B365" s="88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89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ht="15.75" customHeight="1">
      <c r="A366" s="88"/>
      <c r="B366" s="88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89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ht="15.75" customHeight="1">
      <c r="A367" s="88"/>
      <c r="B367" s="88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89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ht="15.75" customHeight="1">
      <c r="A368" s="88"/>
      <c r="B368" s="88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89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ht="15.75" customHeight="1">
      <c r="A369" s="88"/>
      <c r="B369" s="88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89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ht="15.75" customHeight="1">
      <c r="A370" s="88"/>
      <c r="B370" s="88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89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ht="15.75" customHeight="1">
      <c r="A371" s="88"/>
      <c r="B371" s="88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89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ht="15.75" customHeight="1">
      <c r="A372" s="88"/>
      <c r="B372" s="88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89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ht="15.75" customHeight="1">
      <c r="A373" s="88"/>
      <c r="B373" s="88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89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ht="15.75" customHeight="1">
      <c r="A374" s="88"/>
      <c r="B374" s="88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89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ht="15.75" customHeight="1">
      <c r="A375" s="88"/>
      <c r="B375" s="88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89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ht="15.75" customHeight="1">
      <c r="A376" s="88"/>
      <c r="B376" s="88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89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ht="15.75" customHeight="1">
      <c r="A377" s="88"/>
      <c r="B377" s="88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89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ht="15.75" customHeight="1">
      <c r="A378" s="88"/>
      <c r="B378" s="88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89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ht="15.75" customHeight="1">
      <c r="A379" s="88"/>
      <c r="B379" s="88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89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ht="15.75" customHeight="1">
      <c r="A380" s="88"/>
      <c r="B380" s="88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89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ht="15.75" customHeight="1">
      <c r="A381" s="88"/>
      <c r="B381" s="88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89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ht="15.75" customHeight="1">
      <c r="A382" s="88"/>
      <c r="B382" s="88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89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ht="15.75" customHeight="1">
      <c r="A383" s="88"/>
      <c r="B383" s="88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89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ht="15.75" customHeight="1">
      <c r="A384" s="88"/>
      <c r="B384" s="88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89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ht="15.75" customHeight="1">
      <c r="A385" s="88"/>
      <c r="B385" s="88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89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ht="15.75" customHeight="1">
      <c r="A386" s="88"/>
      <c r="B386" s="88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89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ht="15.75" customHeight="1">
      <c r="A387" s="88"/>
      <c r="B387" s="88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89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ht="15.75" customHeight="1">
      <c r="A388" s="88"/>
      <c r="B388" s="88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89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ht="15.75" customHeight="1">
      <c r="A389" s="88"/>
      <c r="B389" s="88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89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ht="15.75" customHeight="1">
      <c r="A390" s="88"/>
      <c r="B390" s="88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89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ht="15.75" customHeight="1">
      <c r="A391" s="88"/>
      <c r="B391" s="88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89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ht="15.75" customHeight="1">
      <c r="A392" s="88"/>
      <c r="B392" s="88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89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ht="15.75" customHeight="1">
      <c r="A393" s="88"/>
      <c r="B393" s="88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89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ht="15.75" customHeight="1">
      <c r="A394" s="88"/>
      <c r="B394" s="88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89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ht="15.75" customHeight="1">
      <c r="A395" s="88"/>
      <c r="B395" s="88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89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ht="15.75" customHeight="1">
      <c r="A396" s="88"/>
      <c r="B396" s="88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89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ht="15.75" customHeight="1">
      <c r="A397" s="88"/>
      <c r="B397" s="88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89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ht="15.75" customHeight="1">
      <c r="A398" s="88"/>
      <c r="B398" s="88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89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ht="15.75" customHeight="1">
      <c r="A399" s="88"/>
      <c r="B399" s="88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89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ht="15.75" customHeight="1">
      <c r="A400" s="88"/>
      <c r="B400" s="88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89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ht="15.75" customHeight="1">
      <c r="A401" s="88"/>
      <c r="B401" s="88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89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ht="15.75" customHeight="1">
      <c r="A402" s="88"/>
      <c r="B402" s="88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89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ht="15.75" customHeight="1">
      <c r="A403" s="88"/>
      <c r="B403" s="88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89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ht="15.75" customHeight="1">
      <c r="A404" s="88"/>
      <c r="B404" s="88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89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ht="15.75" customHeight="1">
      <c r="A405" s="88"/>
      <c r="B405" s="88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89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ht="15.75" customHeight="1">
      <c r="A406" s="88"/>
      <c r="B406" s="88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89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ht="15.75" customHeight="1">
      <c r="A407" s="88"/>
      <c r="B407" s="88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89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ht="15.75" customHeight="1">
      <c r="A408" s="88"/>
      <c r="B408" s="88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89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ht="15.75" customHeight="1">
      <c r="A409" s="88"/>
      <c r="B409" s="88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89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ht="15.75" customHeight="1">
      <c r="A410" s="88"/>
      <c r="B410" s="88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89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ht="15.75" customHeight="1">
      <c r="A411" s="88"/>
      <c r="B411" s="88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89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ht="15.75" customHeight="1">
      <c r="A412" s="88"/>
      <c r="B412" s="88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89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ht="15.75" customHeight="1">
      <c r="A413" s="88"/>
      <c r="B413" s="88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89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ht="15.75" customHeight="1">
      <c r="A414" s="88"/>
      <c r="B414" s="88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89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ht="15.75" customHeight="1">
      <c r="A415" s="88"/>
      <c r="B415" s="88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89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ht="15.75" customHeight="1">
      <c r="A416" s="88"/>
      <c r="B416" s="88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89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ht="15.75" customHeight="1">
      <c r="A417" s="88"/>
      <c r="B417" s="88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89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ht="15.75" customHeight="1">
      <c r="A418" s="88"/>
      <c r="B418" s="88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89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ht="15.75" customHeight="1">
      <c r="A419" s="88"/>
      <c r="B419" s="88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89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ht="15.75" customHeight="1">
      <c r="A420" s="88"/>
      <c r="B420" s="88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89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ht="15.75" customHeight="1">
      <c r="A421" s="88"/>
      <c r="B421" s="88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89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ht="15.75" customHeight="1">
      <c r="A422" s="88"/>
      <c r="B422" s="88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89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ht="15.75" customHeight="1">
      <c r="A423" s="88"/>
      <c r="B423" s="88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89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ht="15.75" customHeight="1">
      <c r="A424" s="88"/>
      <c r="B424" s="88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89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ht="15.75" customHeight="1">
      <c r="A425" s="88"/>
      <c r="B425" s="88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89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ht="15.75" customHeight="1">
      <c r="A426" s="88"/>
      <c r="B426" s="88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89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ht="15.75" customHeight="1">
      <c r="A427" s="88"/>
      <c r="B427" s="88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89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ht="15.75" customHeight="1">
      <c r="A428" s="88"/>
      <c r="B428" s="88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89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ht="15.75" customHeight="1">
      <c r="A429" s="88"/>
      <c r="B429" s="88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89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ht="15.75" customHeight="1">
      <c r="A430" s="88"/>
      <c r="B430" s="88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89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ht="15.75" customHeight="1">
      <c r="A431" s="88"/>
      <c r="B431" s="88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89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ht="15.75" customHeight="1">
      <c r="A432" s="88"/>
      <c r="B432" s="88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89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ht="15.75" customHeight="1">
      <c r="A433" s="88"/>
      <c r="B433" s="88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89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ht="15.75" customHeight="1">
      <c r="A434" s="88"/>
      <c r="B434" s="88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89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ht="15.75" customHeight="1">
      <c r="A435" s="88"/>
      <c r="B435" s="88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89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ht="15.75" customHeight="1">
      <c r="A436" s="88"/>
      <c r="B436" s="88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89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ht="15.75" customHeight="1">
      <c r="A437" s="88"/>
      <c r="B437" s="88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89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ht="15.75" customHeight="1">
      <c r="A438" s="88"/>
      <c r="B438" s="88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89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ht="15.75" customHeight="1">
      <c r="A439" s="88"/>
      <c r="B439" s="88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89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ht="15.75" customHeight="1">
      <c r="A440" s="88"/>
      <c r="B440" s="88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89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ht="15.75" customHeight="1">
      <c r="A441" s="88"/>
      <c r="B441" s="88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89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ht="15.75" customHeight="1">
      <c r="A442" s="88"/>
      <c r="B442" s="88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89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ht="15.75" customHeight="1">
      <c r="A443" s="88"/>
      <c r="B443" s="88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89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ht="15.75" customHeight="1">
      <c r="A444" s="88"/>
      <c r="B444" s="88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89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ht="15.75" customHeight="1">
      <c r="A445" s="88"/>
      <c r="B445" s="88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89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ht="15.75" customHeight="1">
      <c r="A446" s="88"/>
      <c r="B446" s="88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89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ht="15.75" customHeight="1">
      <c r="A447" s="88"/>
      <c r="B447" s="88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89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ht="15.75" customHeight="1">
      <c r="A448" s="88"/>
      <c r="B448" s="88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89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ht="15.75" customHeight="1">
      <c r="A449" s="88"/>
      <c r="B449" s="88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89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ht="15.75" customHeight="1">
      <c r="A450" s="88"/>
      <c r="B450" s="88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89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ht="15.75" customHeight="1">
      <c r="A451" s="88"/>
      <c r="B451" s="88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89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ht="15.75" customHeight="1">
      <c r="A452" s="88"/>
      <c r="B452" s="88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89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ht="15.75" customHeight="1">
      <c r="A453" s="88"/>
      <c r="B453" s="88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89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ht="15.75" customHeight="1">
      <c r="A454" s="88"/>
      <c r="B454" s="88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89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ht="15.75" customHeight="1">
      <c r="A455" s="88"/>
      <c r="B455" s="88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89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ht="15.75" customHeight="1">
      <c r="A456" s="88"/>
      <c r="B456" s="88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89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ht="15.75" customHeight="1">
      <c r="A457" s="88"/>
      <c r="B457" s="88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89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ht="15.75" customHeight="1">
      <c r="A458" s="88"/>
      <c r="B458" s="88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89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ht="15.75" customHeight="1">
      <c r="A459" s="88"/>
      <c r="B459" s="88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89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ht="15.75" customHeight="1">
      <c r="A460" s="88"/>
      <c r="B460" s="88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89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ht="15.75" customHeight="1">
      <c r="A461" s="88"/>
      <c r="B461" s="88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89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ht="15.75" customHeight="1">
      <c r="A462" s="88"/>
      <c r="B462" s="88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89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ht="15.75" customHeight="1">
      <c r="A463" s="88"/>
      <c r="B463" s="88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89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ht="15.75" customHeight="1">
      <c r="A464" s="88"/>
      <c r="B464" s="88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89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ht="15.75" customHeight="1">
      <c r="A465" s="88"/>
      <c r="B465" s="88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89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ht="15.75" customHeight="1">
      <c r="A466" s="88"/>
      <c r="B466" s="88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89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ht="15.75" customHeight="1">
      <c r="A467" s="88"/>
      <c r="B467" s="88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89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ht="15.75" customHeight="1">
      <c r="A468" s="88"/>
      <c r="B468" s="88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89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ht="15.75" customHeight="1">
      <c r="A469" s="88"/>
      <c r="B469" s="88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89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ht="15.75" customHeight="1">
      <c r="A470" s="88"/>
      <c r="B470" s="88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89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ht="15.75" customHeight="1">
      <c r="A471" s="88"/>
      <c r="B471" s="88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89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ht="15.75" customHeight="1">
      <c r="A472" s="88"/>
      <c r="B472" s="88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89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ht="15.75" customHeight="1">
      <c r="A473" s="88"/>
      <c r="B473" s="88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89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ht="15.75" customHeight="1">
      <c r="A474" s="88"/>
      <c r="B474" s="88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89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ht="15.75" customHeight="1">
      <c r="A475" s="88"/>
      <c r="B475" s="88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89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ht="15.75" customHeight="1">
      <c r="A476" s="88"/>
      <c r="B476" s="88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89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ht="15.75" customHeight="1">
      <c r="A477" s="88"/>
      <c r="B477" s="88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89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ht="15.75" customHeight="1">
      <c r="A478" s="88"/>
      <c r="B478" s="88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89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ht="15.75" customHeight="1">
      <c r="A479" s="88"/>
      <c r="B479" s="88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89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ht="15.75" customHeight="1">
      <c r="A480" s="88"/>
      <c r="B480" s="88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89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ht="15.75" customHeight="1">
      <c r="A481" s="88"/>
      <c r="B481" s="88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89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ht="15.75" customHeight="1">
      <c r="A482" s="88"/>
      <c r="B482" s="88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89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ht="15.75" customHeight="1">
      <c r="A483" s="88"/>
      <c r="B483" s="88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89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ht="15.75" customHeight="1">
      <c r="A484" s="88"/>
      <c r="B484" s="88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89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ht="15.75" customHeight="1">
      <c r="A485" s="88"/>
      <c r="B485" s="88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89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ht="15.75" customHeight="1">
      <c r="A486" s="88"/>
      <c r="B486" s="88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89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ht="15.75" customHeight="1">
      <c r="A487" s="88"/>
      <c r="B487" s="88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89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ht="15.75" customHeight="1">
      <c r="A488" s="88"/>
      <c r="B488" s="88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89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ht="15.75" customHeight="1">
      <c r="A489" s="88"/>
      <c r="B489" s="88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89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ht="15.75" customHeight="1">
      <c r="A490" s="88"/>
      <c r="B490" s="88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89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ht="15.75" customHeight="1">
      <c r="A491" s="88"/>
      <c r="B491" s="88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89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ht="15.75" customHeight="1">
      <c r="A492" s="88"/>
      <c r="B492" s="88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89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ht="15.75" customHeight="1">
      <c r="A493" s="88"/>
      <c r="B493" s="88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89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ht="15.75" customHeight="1">
      <c r="A494" s="88"/>
      <c r="B494" s="88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89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ht="15.75" customHeight="1">
      <c r="A495" s="88"/>
      <c r="B495" s="88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89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ht="15.75" customHeight="1">
      <c r="A496" s="88"/>
      <c r="B496" s="88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89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ht="15.75" customHeight="1">
      <c r="A497" s="88"/>
      <c r="B497" s="88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89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ht="15.75" customHeight="1">
      <c r="A498" s="88"/>
      <c r="B498" s="88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89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ht="15.75" customHeight="1">
      <c r="A499" s="88"/>
      <c r="B499" s="88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89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ht="15.75" customHeight="1">
      <c r="A500" s="88"/>
      <c r="B500" s="88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89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ht="15.75" customHeight="1">
      <c r="A501" s="88"/>
      <c r="B501" s="88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89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ht="15.75" customHeight="1">
      <c r="A502" s="88"/>
      <c r="B502" s="88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89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ht="15.75" customHeight="1">
      <c r="A503" s="88"/>
      <c r="B503" s="88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89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ht="15.75" customHeight="1">
      <c r="A504" s="88"/>
      <c r="B504" s="88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89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ht="15.75" customHeight="1">
      <c r="A505" s="88"/>
      <c r="B505" s="88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89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ht="15.75" customHeight="1">
      <c r="A506" s="88"/>
      <c r="B506" s="88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89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ht="15.75" customHeight="1">
      <c r="A507" s="88"/>
      <c r="B507" s="88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89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ht="15.75" customHeight="1">
      <c r="A508" s="88"/>
      <c r="B508" s="88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89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ht="15.75" customHeight="1">
      <c r="A509" s="88"/>
      <c r="B509" s="88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89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ht="15.75" customHeight="1">
      <c r="A510" s="88"/>
      <c r="B510" s="88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89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ht="15.75" customHeight="1">
      <c r="A511" s="88"/>
      <c r="B511" s="88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89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ht="15.75" customHeight="1">
      <c r="A512" s="88"/>
      <c r="B512" s="88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89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ht="15.75" customHeight="1">
      <c r="A513" s="88"/>
      <c r="B513" s="88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89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ht="15.75" customHeight="1">
      <c r="A514" s="88"/>
      <c r="B514" s="88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89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ht="15.75" customHeight="1">
      <c r="A515" s="88"/>
      <c r="B515" s="88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89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ht="15.75" customHeight="1">
      <c r="A516" s="88"/>
      <c r="B516" s="88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89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ht="15.75" customHeight="1">
      <c r="A517" s="88"/>
      <c r="B517" s="88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89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ht="15.75" customHeight="1">
      <c r="A518" s="88"/>
      <c r="B518" s="88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89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ht="15.75" customHeight="1">
      <c r="A519" s="88"/>
      <c r="B519" s="88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89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ht="15.75" customHeight="1">
      <c r="A520" s="88"/>
      <c r="B520" s="88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89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ht="15.75" customHeight="1">
      <c r="A521" s="88"/>
      <c r="B521" s="88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89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ht="15.75" customHeight="1">
      <c r="A522" s="88"/>
      <c r="B522" s="88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89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ht="15.75" customHeight="1">
      <c r="A523" s="88"/>
      <c r="B523" s="88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89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ht="15.75" customHeight="1">
      <c r="A524" s="88"/>
      <c r="B524" s="88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89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ht="15.75" customHeight="1">
      <c r="A525" s="88"/>
      <c r="B525" s="88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89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ht="15.75" customHeight="1">
      <c r="A526" s="88"/>
      <c r="B526" s="88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89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ht="15.75" customHeight="1">
      <c r="A527" s="88"/>
      <c r="B527" s="88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89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ht="15.75" customHeight="1">
      <c r="A528" s="88"/>
      <c r="B528" s="88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89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ht="15.75" customHeight="1">
      <c r="A529" s="88"/>
      <c r="B529" s="88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89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ht="15.75" customHeight="1">
      <c r="A530" s="88"/>
      <c r="B530" s="88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89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ht="15.75" customHeight="1">
      <c r="A531" s="88"/>
      <c r="B531" s="88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89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ht="15.75" customHeight="1">
      <c r="A532" s="88"/>
      <c r="B532" s="88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89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ht="15.75" customHeight="1">
      <c r="A533" s="88"/>
      <c r="B533" s="88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89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ht="15.75" customHeight="1">
      <c r="A534" s="88"/>
      <c r="B534" s="88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89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ht="15.75" customHeight="1">
      <c r="A535" s="88"/>
      <c r="B535" s="88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89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ht="15.75" customHeight="1">
      <c r="A536" s="88"/>
      <c r="B536" s="88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89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ht="15.75" customHeight="1">
      <c r="A537" s="88"/>
      <c r="B537" s="88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89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ht="15.75" customHeight="1">
      <c r="A538" s="88"/>
      <c r="B538" s="88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89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ht="15.75" customHeight="1">
      <c r="A539" s="88"/>
      <c r="B539" s="88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89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ht="15.75" customHeight="1">
      <c r="A540" s="88"/>
      <c r="B540" s="88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89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ht="15.75" customHeight="1">
      <c r="A541" s="88"/>
      <c r="B541" s="88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89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ht="15.75" customHeight="1">
      <c r="A542" s="88"/>
      <c r="B542" s="88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89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ht="15.75" customHeight="1">
      <c r="A543" s="88"/>
      <c r="B543" s="88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89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ht="15.75" customHeight="1">
      <c r="A544" s="88"/>
      <c r="B544" s="88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89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ht="15.75" customHeight="1">
      <c r="A545" s="88"/>
      <c r="B545" s="88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89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ht="15.75" customHeight="1">
      <c r="A546" s="88"/>
      <c r="B546" s="88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89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ht="15.75" customHeight="1">
      <c r="A547" s="88"/>
      <c r="B547" s="88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89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ht="15.75" customHeight="1">
      <c r="A548" s="88"/>
      <c r="B548" s="88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89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ht="15.75" customHeight="1">
      <c r="A549" s="88"/>
      <c r="B549" s="88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89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ht="15.75" customHeight="1">
      <c r="A550" s="88"/>
      <c r="B550" s="88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89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ht="15.75" customHeight="1">
      <c r="A551" s="88"/>
      <c r="B551" s="88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89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ht="15.75" customHeight="1">
      <c r="A552" s="88"/>
      <c r="B552" s="88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89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ht="15.75" customHeight="1">
      <c r="A553" s="88"/>
      <c r="B553" s="88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89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ht="15.75" customHeight="1">
      <c r="A554" s="88"/>
      <c r="B554" s="88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89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ht="15.75" customHeight="1">
      <c r="A555" s="88"/>
      <c r="B555" s="88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89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ht="15.75" customHeight="1">
      <c r="A556" s="88"/>
      <c r="B556" s="88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89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ht="15.75" customHeight="1">
      <c r="A557" s="88"/>
      <c r="B557" s="88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89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ht="15.75" customHeight="1">
      <c r="A558" s="88"/>
      <c r="B558" s="88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89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ht="15.75" customHeight="1">
      <c r="A559" s="88"/>
      <c r="B559" s="88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89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ht="15.75" customHeight="1">
      <c r="A560" s="88"/>
      <c r="B560" s="88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89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ht="15.75" customHeight="1">
      <c r="A561" s="88"/>
      <c r="B561" s="88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89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ht="15.75" customHeight="1">
      <c r="A562" s="88"/>
      <c r="B562" s="88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89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ht="15.75" customHeight="1">
      <c r="A563" s="88"/>
      <c r="B563" s="88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89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ht="15.75" customHeight="1">
      <c r="A564" s="88"/>
      <c r="B564" s="88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89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ht="15.75" customHeight="1">
      <c r="A565" s="88"/>
      <c r="B565" s="88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89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ht="15.75" customHeight="1">
      <c r="A566" s="88"/>
      <c r="B566" s="88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89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ht="15.75" customHeight="1">
      <c r="A567" s="88"/>
      <c r="B567" s="88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89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ht="15.75" customHeight="1">
      <c r="A568" s="88"/>
      <c r="B568" s="88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89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ht="15.75" customHeight="1">
      <c r="A569" s="88"/>
      <c r="B569" s="88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89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ht="15.75" customHeight="1">
      <c r="A570" s="88"/>
      <c r="B570" s="88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89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ht="15.75" customHeight="1">
      <c r="A571" s="88"/>
      <c r="B571" s="88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89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ht="15.75" customHeight="1">
      <c r="A572" s="88"/>
      <c r="B572" s="88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89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ht="15.75" customHeight="1">
      <c r="A573" s="88"/>
      <c r="B573" s="88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89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ht="15.75" customHeight="1">
      <c r="A574" s="88"/>
      <c r="B574" s="88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89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ht="15.75" customHeight="1">
      <c r="A575" s="88"/>
      <c r="B575" s="88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89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ht="15.75" customHeight="1">
      <c r="A576" s="88"/>
      <c r="B576" s="88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89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ht="15.75" customHeight="1">
      <c r="A577" s="88"/>
      <c r="B577" s="88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89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ht="15.75" customHeight="1">
      <c r="A578" s="88"/>
      <c r="B578" s="88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89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ht="15.75" customHeight="1">
      <c r="A579" s="88"/>
      <c r="B579" s="88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89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ht="15.75" customHeight="1">
      <c r="A580" s="88"/>
      <c r="B580" s="88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89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ht="15.75" customHeight="1">
      <c r="A581" s="88"/>
      <c r="B581" s="88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89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ht="15.75" customHeight="1">
      <c r="A582" s="88"/>
      <c r="B582" s="88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89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ht="15.75" customHeight="1">
      <c r="A583" s="88"/>
      <c r="B583" s="88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89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ht="15.75" customHeight="1">
      <c r="A584" s="88"/>
      <c r="B584" s="88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89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ht="15.75" customHeight="1">
      <c r="A585" s="88"/>
      <c r="B585" s="88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89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ht="15.75" customHeight="1">
      <c r="A586" s="88"/>
      <c r="B586" s="88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89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ht="15.75" customHeight="1">
      <c r="A587" s="88"/>
      <c r="B587" s="88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89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ht="15.75" customHeight="1">
      <c r="A588" s="88"/>
      <c r="B588" s="88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89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ht="15.75" customHeight="1">
      <c r="A589" s="88"/>
      <c r="B589" s="88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89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ht="15.75" customHeight="1">
      <c r="A590" s="88"/>
      <c r="B590" s="88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89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ht="15.75" customHeight="1">
      <c r="A591" s="88"/>
      <c r="B591" s="88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89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ht="15.75" customHeight="1">
      <c r="A592" s="88"/>
      <c r="B592" s="88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89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ht="15.75" customHeight="1">
      <c r="A593" s="88"/>
      <c r="B593" s="88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89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ht="15.75" customHeight="1">
      <c r="A594" s="88"/>
      <c r="B594" s="88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89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ht="15.75" customHeight="1">
      <c r="A595" s="88"/>
      <c r="B595" s="88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89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ht="15.75" customHeight="1">
      <c r="A596" s="88"/>
      <c r="B596" s="88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89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ht="15.75" customHeight="1">
      <c r="A597" s="88"/>
      <c r="B597" s="88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89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ht="15.75" customHeight="1">
      <c r="A598" s="88"/>
      <c r="B598" s="88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89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ht="15.75" customHeight="1">
      <c r="A599" s="88"/>
      <c r="B599" s="88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89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ht="15.75" customHeight="1">
      <c r="A600" s="88"/>
      <c r="B600" s="88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89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ht="15.75" customHeight="1">
      <c r="A601" s="88"/>
      <c r="B601" s="88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89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ht="15.75" customHeight="1">
      <c r="A602" s="88"/>
      <c r="B602" s="88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89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ht="15.75" customHeight="1">
      <c r="A603" s="88"/>
      <c r="B603" s="88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89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ht="15.75" customHeight="1">
      <c r="A604" s="88"/>
      <c r="B604" s="88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89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ht="15.75" customHeight="1">
      <c r="A605" s="88"/>
      <c r="B605" s="88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89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ht="15.75" customHeight="1">
      <c r="A606" s="88"/>
      <c r="B606" s="88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89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ht="15.75" customHeight="1">
      <c r="A607" s="88"/>
      <c r="B607" s="88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89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ht="15.75" customHeight="1">
      <c r="A608" s="88"/>
      <c r="B608" s="88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89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ht="15.75" customHeight="1">
      <c r="A609" s="88"/>
      <c r="B609" s="88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89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ht="15.75" customHeight="1">
      <c r="A610" s="88"/>
      <c r="B610" s="88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89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ht="15.75" customHeight="1">
      <c r="A611" s="88"/>
      <c r="B611" s="88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89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ht="15.75" customHeight="1">
      <c r="A612" s="88"/>
      <c r="B612" s="88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89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ht="15.75" customHeight="1">
      <c r="A613" s="88"/>
      <c r="B613" s="88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89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ht="15.75" customHeight="1">
      <c r="A614" s="88"/>
      <c r="B614" s="88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89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ht="15.75" customHeight="1">
      <c r="A615" s="88"/>
      <c r="B615" s="88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89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ht="15.75" customHeight="1">
      <c r="A616" s="88"/>
      <c r="B616" s="88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89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ht="15.75" customHeight="1">
      <c r="A617" s="88"/>
      <c r="B617" s="88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89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ht="15.75" customHeight="1">
      <c r="A618" s="88"/>
      <c r="B618" s="88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89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ht="15.75" customHeight="1">
      <c r="A619" s="88"/>
      <c r="B619" s="88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89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ht="15.75" customHeight="1">
      <c r="A620" s="88"/>
      <c r="B620" s="88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89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ht="15.75" customHeight="1">
      <c r="A621" s="88"/>
      <c r="B621" s="88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89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ht="15.75" customHeight="1">
      <c r="A622" s="88"/>
      <c r="B622" s="88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89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ht="15.75" customHeight="1">
      <c r="A623" s="88"/>
      <c r="B623" s="88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89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ht="15.75" customHeight="1">
      <c r="A624" s="88"/>
      <c r="B624" s="88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89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ht="15.75" customHeight="1">
      <c r="A625" s="88"/>
      <c r="B625" s="88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89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ht="15.75" customHeight="1">
      <c r="A626" s="88"/>
      <c r="B626" s="88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89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ht="15.75" customHeight="1">
      <c r="A627" s="88"/>
      <c r="B627" s="88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89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ht="15.75" customHeight="1">
      <c r="A628" s="88"/>
      <c r="B628" s="88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89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ht="15.75" customHeight="1">
      <c r="A629" s="88"/>
      <c r="B629" s="88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89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ht="15.75" customHeight="1">
      <c r="A630" s="88"/>
      <c r="B630" s="88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89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ht="15.75" customHeight="1">
      <c r="A631" s="88"/>
      <c r="B631" s="88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89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ht="15.75" customHeight="1">
      <c r="A632" s="88"/>
      <c r="B632" s="88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89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ht="15.75" customHeight="1">
      <c r="A633" s="88"/>
      <c r="B633" s="88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89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ht="15.75" customHeight="1">
      <c r="A634" s="88"/>
      <c r="B634" s="88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89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ht="15.75" customHeight="1">
      <c r="A635" s="88"/>
      <c r="B635" s="88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89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ht="15.75" customHeight="1">
      <c r="A636" s="88"/>
      <c r="B636" s="88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89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ht="15.75" customHeight="1">
      <c r="A637" s="88"/>
      <c r="B637" s="88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89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ht="15.75" customHeight="1">
      <c r="A638" s="88"/>
      <c r="B638" s="88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89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ht="15.75" customHeight="1">
      <c r="A639" s="88"/>
      <c r="B639" s="88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89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ht="15.75" customHeight="1">
      <c r="A640" s="88"/>
      <c r="B640" s="88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89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ht="15.75" customHeight="1">
      <c r="A641" s="88"/>
      <c r="B641" s="88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89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ht="15.75" customHeight="1">
      <c r="A642" s="88"/>
      <c r="B642" s="88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89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ht="15.75" customHeight="1">
      <c r="A643" s="88"/>
      <c r="B643" s="88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89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ht="15.75" customHeight="1">
      <c r="A644" s="88"/>
      <c r="B644" s="88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89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ht="15.75" customHeight="1">
      <c r="A645" s="88"/>
      <c r="B645" s="88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89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ht="15.75" customHeight="1">
      <c r="A646" s="88"/>
      <c r="B646" s="88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89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ht="15.75" customHeight="1">
      <c r="A647" s="88"/>
      <c r="B647" s="88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89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ht="15.75" customHeight="1">
      <c r="A648" s="88"/>
      <c r="B648" s="88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89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ht="15.75" customHeight="1">
      <c r="A649" s="88"/>
      <c r="B649" s="88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89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ht="15.75" customHeight="1">
      <c r="A650" s="88"/>
      <c r="B650" s="88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89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ht="15.75" customHeight="1">
      <c r="A651" s="88"/>
      <c r="B651" s="88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89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ht="15.75" customHeight="1">
      <c r="A652" s="88"/>
      <c r="B652" s="88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89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ht="15.75" customHeight="1">
      <c r="A653" s="88"/>
      <c r="B653" s="88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89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ht="15.75" customHeight="1">
      <c r="A654" s="88"/>
      <c r="B654" s="88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89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ht="15.75" customHeight="1">
      <c r="A655" s="88"/>
      <c r="B655" s="88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89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ht="15.75" customHeight="1">
      <c r="A656" s="88"/>
      <c r="B656" s="88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89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ht="15.75" customHeight="1">
      <c r="A657" s="88"/>
      <c r="B657" s="88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89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ht="15.75" customHeight="1">
      <c r="A658" s="88"/>
      <c r="B658" s="88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89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ht="15.75" customHeight="1">
      <c r="A659" s="88"/>
      <c r="B659" s="88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89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ht="15.75" customHeight="1">
      <c r="A660" s="88"/>
      <c r="B660" s="88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89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ht="15.75" customHeight="1">
      <c r="A661" s="88"/>
      <c r="B661" s="88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89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ht="15.75" customHeight="1">
      <c r="A662" s="88"/>
      <c r="B662" s="88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89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ht="15.75" customHeight="1">
      <c r="A663" s="88"/>
      <c r="B663" s="88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89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ht="15.75" customHeight="1">
      <c r="A664" s="88"/>
      <c r="B664" s="88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89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ht="15.75" customHeight="1">
      <c r="A665" s="88"/>
      <c r="B665" s="88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89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ht="15.75" customHeight="1">
      <c r="A666" s="88"/>
      <c r="B666" s="88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89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ht="15.75" customHeight="1">
      <c r="A667" s="88"/>
      <c r="B667" s="88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89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ht="15.75" customHeight="1">
      <c r="A668" s="88"/>
      <c r="B668" s="88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89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ht="15.75" customHeight="1">
      <c r="A669" s="88"/>
      <c r="B669" s="88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89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ht="15.75" customHeight="1">
      <c r="A670" s="88"/>
      <c r="B670" s="88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89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ht="15.75" customHeight="1">
      <c r="A671" s="88"/>
      <c r="B671" s="88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89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ht="15.75" customHeight="1">
      <c r="A672" s="88"/>
      <c r="B672" s="88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89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ht="15.75" customHeight="1">
      <c r="A673" s="88"/>
      <c r="B673" s="88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89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ht="15.75" customHeight="1">
      <c r="A674" s="88"/>
      <c r="B674" s="88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89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ht="15.75" customHeight="1">
      <c r="A675" s="88"/>
      <c r="B675" s="88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89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ht="15.75" customHeight="1">
      <c r="A676" s="88"/>
      <c r="B676" s="88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89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ht="15.75" customHeight="1">
      <c r="A677" s="88"/>
      <c r="B677" s="88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89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ht="15.75" customHeight="1">
      <c r="A678" s="88"/>
      <c r="B678" s="88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89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ht="15.75" customHeight="1">
      <c r="A679" s="88"/>
      <c r="B679" s="88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89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ht="15.75" customHeight="1">
      <c r="A680" s="88"/>
      <c r="B680" s="88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89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ht="15.75" customHeight="1">
      <c r="A681" s="88"/>
      <c r="B681" s="88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89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ht="15.75" customHeight="1">
      <c r="A682" s="88"/>
      <c r="B682" s="88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89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ht="15.75" customHeight="1">
      <c r="A683" s="88"/>
      <c r="B683" s="88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89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ht="15.75" customHeight="1">
      <c r="A684" s="88"/>
      <c r="B684" s="88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89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ht="15.75" customHeight="1">
      <c r="A685" s="88"/>
      <c r="B685" s="88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89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ht="15.75" customHeight="1">
      <c r="A686" s="88"/>
      <c r="B686" s="88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89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ht="15.75" customHeight="1">
      <c r="A687" s="88"/>
      <c r="B687" s="88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89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ht="15.75" customHeight="1">
      <c r="A688" s="88"/>
      <c r="B688" s="88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89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ht="15.75" customHeight="1">
      <c r="A689" s="88"/>
      <c r="B689" s="88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89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ht="15.75" customHeight="1">
      <c r="A690" s="88"/>
      <c r="B690" s="88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89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ht="15.75" customHeight="1">
      <c r="A691" s="88"/>
      <c r="B691" s="88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89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ht="15.75" customHeight="1">
      <c r="A692" s="88"/>
      <c r="B692" s="88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89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ht="15.75" customHeight="1">
      <c r="A693" s="88"/>
      <c r="B693" s="88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89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ht="15.75" customHeight="1">
      <c r="A694" s="88"/>
      <c r="B694" s="88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89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ht="15.75" customHeight="1">
      <c r="A695" s="88"/>
      <c r="B695" s="88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89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ht="15.75" customHeight="1">
      <c r="A696" s="88"/>
      <c r="B696" s="88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89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ht="15.75" customHeight="1">
      <c r="A697" s="88"/>
      <c r="B697" s="88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89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ht="15.75" customHeight="1">
      <c r="A698" s="88"/>
      <c r="B698" s="88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89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ht="15.75" customHeight="1">
      <c r="A699" s="88"/>
      <c r="B699" s="88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89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ht="15.75" customHeight="1">
      <c r="A700" s="88"/>
      <c r="B700" s="88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89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ht="15.75" customHeight="1">
      <c r="A701" s="88"/>
      <c r="B701" s="88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89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ht="15.75" customHeight="1">
      <c r="A702" s="88"/>
      <c r="B702" s="88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89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ht="15.75" customHeight="1">
      <c r="A703" s="88"/>
      <c r="B703" s="88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89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ht="15.75" customHeight="1">
      <c r="A704" s="88"/>
      <c r="B704" s="88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89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ht="15.75" customHeight="1">
      <c r="A705" s="88"/>
      <c r="B705" s="88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89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ht="15.75" customHeight="1">
      <c r="A706" s="88"/>
      <c r="B706" s="88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89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ht="15.75" customHeight="1">
      <c r="A707" s="88"/>
      <c r="B707" s="88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89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ht="15.75" customHeight="1">
      <c r="A708" s="88"/>
      <c r="B708" s="88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89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ht="15.75" customHeight="1">
      <c r="A709" s="88"/>
      <c r="B709" s="88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89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ht="15.75" customHeight="1">
      <c r="A710" s="88"/>
      <c r="B710" s="88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89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ht="15.75" customHeight="1">
      <c r="A711" s="88"/>
      <c r="B711" s="88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89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ht="15.75" customHeight="1">
      <c r="A712" s="88"/>
      <c r="B712" s="88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89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ht="15.75" customHeight="1">
      <c r="A713" s="88"/>
      <c r="B713" s="88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89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ht="15.75" customHeight="1">
      <c r="A714" s="88"/>
      <c r="B714" s="88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89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ht="15.75" customHeight="1">
      <c r="A715" s="88"/>
      <c r="B715" s="88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89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ht="15.75" customHeight="1">
      <c r="A716" s="88"/>
      <c r="B716" s="88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89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ht="15.75" customHeight="1">
      <c r="A717" s="88"/>
      <c r="B717" s="88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89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ht="15.75" customHeight="1">
      <c r="A718" s="88"/>
      <c r="B718" s="88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89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ht="15.75" customHeight="1">
      <c r="A719" s="88"/>
      <c r="B719" s="88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89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ht="15.75" customHeight="1">
      <c r="A720" s="88"/>
      <c r="B720" s="88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89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 ht="15.75" customHeight="1">
      <c r="A721" s="88"/>
      <c r="B721" s="88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89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 ht="15.75" customHeight="1">
      <c r="A722" s="88"/>
      <c r="B722" s="88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89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 ht="15.75" customHeight="1">
      <c r="A723" s="88"/>
      <c r="B723" s="88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89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 ht="15.75" customHeight="1">
      <c r="A724" s="88"/>
      <c r="B724" s="88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89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 ht="15.75" customHeight="1">
      <c r="A725" s="88"/>
      <c r="B725" s="88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89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 ht="15.75" customHeight="1">
      <c r="A726" s="88"/>
      <c r="B726" s="88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89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 ht="15.75" customHeight="1">
      <c r="A727" s="88"/>
      <c r="B727" s="88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89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 ht="15.75" customHeight="1">
      <c r="A728" s="88"/>
      <c r="B728" s="88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89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 ht="15.75" customHeight="1">
      <c r="A729" s="88"/>
      <c r="B729" s="88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89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 ht="15.75" customHeight="1">
      <c r="A730" s="88"/>
      <c r="B730" s="88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89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 ht="15.75" customHeight="1">
      <c r="A731" s="88"/>
      <c r="B731" s="88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89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 ht="15.75" customHeight="1">
      <c r="A732" s="88"/>
      <c r="B732" s="88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89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 ht="15.75" customHeight="1">
      <c r="A733" s="88"/>
      <c r="B733" s="88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89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 ht="15.75" customHeight="1">
      <c r="A734" s="88"/>
      <c r="B734" s="88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89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 ht="15.75" customHeight="1">
      <c r="A735" s="88"/>
      <c r="B735" s="88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89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 ht="15.75" customHeight="1">
      <c r="A736" s="88"/>
      <c r="B736" s="88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89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 ht="15.75" customHeight="1">
      <c r="A737" s="88"/>
      <c r="B737" s="88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89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 ht="15.75" customHeight="1">
      <c r="A738" s="88"/>
      <c r="B738" s="88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89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 ht="15.75" customHeight="1">
      <c r="A739" s="88"/>
      <c r="B739" s="88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89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 ht="15.75" customHeight="1">
      <c r="A740" s="88"/>
      <c r="B740" s="88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89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 ht="15.75" customHeight="1">
      <c r="A741" s="88"/>
      <c r="B741" s="88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89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 ht="15.75" customHeight="1">
      <c r="A742" s="88"/>
      <c r="B742" s="88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89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 ht="15.75" customHeight="1">
      <c r="A743" s="88"/>
      <c r="B743" s="88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89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 ht="15.75" customHeight="1">
      <c r="A744" s="88"/>
      <c r="B744" s="88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89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 ht="15.75" customHeight="1">
      <c r="A745" s="88"/>
      <c r="B745" s="88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89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 ht="15.75" customHeight="1">
      <c r="A746" s="88"/>
      <c r="B746" s="88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89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 ht="15.75" customHeight="1">
      <c r="A747" s="88"/>
      <c r="B747" s="88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89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 ht="15.75" customHeight="1">
      <c r="A748" s="88"/>
      <c r="B748" s="88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89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 ht="15.75" customHeight="1">
      <c r="A749" s="88"/>
      <c r="B749" s="88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89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 ht="15.75" customHeight="1">
      <c r="A750" s="88"/>
      <c r="B750" s="88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89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 ht="15.75" customHeight="1">
      <c r="A751" s="88"/>
      <c r="B751" s="88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89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 ht="15.75" customHeight="1">
      <c r="A752" s="88"/>
      <c r="B752" s="88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89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 ht="15.75" customHeight="1">
      <c r="A753" s="88"/>
      <c r="B753" s="88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89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 ht="15.75" customHeight="1">
      <c r="A754" s="88"/>
      <c r="B754" s="88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89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 ht="15.75" customHeight="1">
      <c r="A755" s="88"/>
      <c r="B755" s="88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89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 ht="15.75" customHeight="1">
      <c r="A756" s="88"/>
      <c r="B756" s="88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89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 ht="15.75" customHeight="1">
      <c r="A757" s="88"/>
      <c r="B757" s="88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89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 ht="15.75" customHeight="1">
      <c r="A758" s="88"/>
      <c r="B758" s="88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89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 ht="15.75" customHeight="1">
      <c r="A759" s="88"/>
      <c r="B759" s="88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89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 ht="15.75" customHeight="1">
      <c r="A760" s="88"/>
      <c r="B760" s="88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89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 ht="15.75" customHeight="1">
      <c r="A761" s="88"/>
      <c r="B761" s="88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89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 ht="15.75" customHeight="1">
      <c r="A762" s="88"/>
      <c r="B762" s="88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89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 ht="15.75" customHeight="1">
      <c r="A763" s="88"/>
      <c r="B763" s="88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89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 ht="15.75" customHeight="1">
      <c r="A764" s="88"/>
      <c r="B764" s="88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89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 ht="15.75" customHeight="1">
      <c r="A765" s="88"/>
      <c r="B765" s="88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89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 ht="15.75" customHeight="1">
      <c r="A766" s="88"/>
      <c r="B766" s="88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89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 ht="15.75" customHeight="1">
      <c r="A767" s="88"/>
      <c r="B767" s="88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89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 ht="15.75" customHeight="1">
      <c r="A768" s="88"/>
      <c r="B768" s="88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89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 ht="15.75" customHeight="1">
      <c r="A769" s="88"/>
      <c r="B769" s="88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89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 ht="15.75" customHeight="1">
      <c r="A770" s="88"/>
      <c r="B770" s="88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89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 ht="15.75" customHeight="1">
      <c r="A771" s="88"/>
      <c r="B771" s="88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89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 ht="15.75" customHeight="1">
      <c r="A772" s="88"/>
      <c r="B772" s="88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89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 ht="15.75" customHeight="1">
      <c r="A773" s="88"/>
      <c r="B773" s="88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89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 ht="15.75" customHeight="1">
      <c r="A774" s="88"/>
      <c r="B774" s="88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89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 ht="15.75" customHeight="1">
      <c r="A775" s="88"/>
      <c r="B775" s="88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89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 ht="15.75" customHeight="1">
      <c r="A776" s="88"/>
      <c r="B776" s="88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89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 ht="15.75" customHeight="1">
      <c r="A777" s="88"/>
      <c r="B777" s="88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89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 ht="15.75" customHeight="1">
      <c r="A778" s="88"/>
      <c r="B778" s="88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89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 ht="15.75" customHeight="1">
      <c r="A779" s="88"/>
      <c r="B779" s="88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89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 ht="15.75" customHeight="1">
      <c r="A780" s="88"/>
      <c r="B780" s="88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89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 ht="15.75" customHeight="1">
      <c r="A781" s="88"/>
      <c r="B781" s="88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89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 ht="15.75" customHeight="1">
      <c r="A782" s="88"/>
      <c r="B782" s="88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89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 ht="15.75" customHeight="1">
      <c r="A783" s="88"/>
      <c r="B783" s="88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89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 ht="15.75" customHeight="1">
      <c r="A784" s="88"/>
      <c r="B784" s="88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89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 ht="15.75" customHeight="1">
      <c r="A785" s="88"/>
      <c r="B785" s="88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89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 ht="15.75" customHeight="1">
      <c r="A786" s="88"/>
      <c r="B786" s="88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89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 ht="15.75" customHeight="1">
      <c r="A787" s="88"/>
      <c r="B787" s="88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89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 ht="15.75" customHeight="1">
      <c r="A788" s="88"/>
      <c r="B788" s="88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89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 ht="15.75" customHeight="1">
      <c r="A789" s="88"/>
      <c r="B789" s="88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89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 ht="15.75" customHeight="1">
      <c r="A790" s="88"/>
      <c r="B790" s="88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89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 ht="15.75" customHeight="1">
      <c r="A791" s="88"/>
      <c r="B791" s="88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89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 ht="15.75" customHeight="1">
      <c r="A792" s="88"/>
      <c r="B792" s="88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89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 ht="15.75" customHeight="1">
      <c r="A793" s="88"/>
      <c r="B793" s="88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89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 ht="15.75" customHeight="1">
      <c r="A794" s="88"/>
      <c r="B794" s="88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89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 ht="15.75" customHeight="1">
      <c r="A795" s="88"/>
      <c r="B795" s="88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89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 ht="15.75" customHeight="1">
      <c r="A796" s="88"/>
      <c r="B796" s="88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89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 ht="15.75" customHeight="1">
      <c r="A797" s="88"/>
      <c r="B797" s="88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89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 ht="15.75" customHeight="1">
      <c r="A798" s="88"/>
      <c r="B798" s="88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89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 ht="15.75" customHeight="1">
      <c r="A799" s="88"/>
      <c r="B799" s="88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89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 ht="15.75" customHeight="1">
      <c r="A800" s="88"/>
      <c r="B800" s="88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89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 ht="15.75" customHeight="1">
      <c r="A801" s="88"/>
      <c r="B801" s="88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89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 ht="15.75" customHeight="1">
      <c r="A802" s="88"/>
      <c r="B802" s="88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89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 ht="15.75" customHeight="1">
      <c r="A803" s="88"/>
      <c r="B803" s="88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89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 ht="15.75" customHeight="1">
      <c r="A804" s="88"/>
      <c r="B804" s="88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89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 ht="15.75" customHeight="1">
      <c r="A805" s="88"/>
      <c r="B805" s="88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89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 ht="15.75" customHeight="1">
      <c r="A806" s="88"/>
      <c r="B806" s="88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89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 ht="15.75" customHeight="1">
      <c r="A807" s="88"/>
      <c r="B807" s="88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89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 ht="15.75" customHeight="1">
      <c r="A808" s="88"/>
      <c r="B808" s="88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89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 ht="15.75" customHeight="1">
      <c r="A809" s="88"/>
      <c r="B809" s="88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89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ht="15.75" customHeight="1">
      <c r="A810" s="88"/>
      <c r="B810" s="88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89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 ht="15.75" customHeight="1">
      <c r="A811" s="88"/>
      <c r="B811" s="88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89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 ht="15.75" customHeight="1">
      <c r="A812" s="88"/>
      <c r="B812" s="88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89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 ht="15.75" customHeight="1">
      <c r="A813" s="88"/>
      <c r="B813" s="88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89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 ht="15.75" customHeight="1">
      <c r="A814" s="88"/>
      <c r="B814" s="88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89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 ht="15.75" customHeight="1">
      <c r="A815" s="88"/>
      <c r="B815" s="88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89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 ht="15.75" customHeight="1">
      <c r="A816" s="88"/>
      <c r="B816" s="88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89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 ht="15.75" customHeight="1">
      <c r="A817" s="88"/>
      <c r="B817" s="88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89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 ht="15.75" customHeight="1">
      <c r="A818" s="88"/>
      <c r="B818" s="88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89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 ht="15.75" customHeight="1">
      <c r="A819" s="88"/>
      <c r="B819" s="88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89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 ht="15.75" customHeight="1">
      <c r="A820" s="88"/>
      <c r="B820" s="88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89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 ht="15.75" customHeight="1">
      <c r="A821" s="88"/>
      <c r="B821" s="88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89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 ht="15.75" customHeight="1">
      <c r="A822" s="88"/>
      <c r="B822" s="88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89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 ht="15.75" customHeight="1">
      <c r="A823" s="88"/>
      <c r="B823" s="88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89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 ht="15.75" customHeight="1">
      <c r="A824" s="88"/>
      <c r="B824" s="88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89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 ht="15.75" customHeight="1">
      <c r="A825" s="88"/>
      <c r="B825" s="88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89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 ht="15.75" customHeight="1">
      <c r="A826" s="88"/>
      <c r="B826" s="88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89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 ht="15.75" customHeight="1">
      <c r="A827" s="88"/>
      <c r="B827" s="88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89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 ht="15.75" customHeight="1">
      <c r="A828" s="88"/>
      <c r="B828" s="88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89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 ht="15.75" customHeight="1">
      <c r="A829" s="88"/>
      <c r="B829" s="88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89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 ht="15.75" customHeight="1">
      <c r="A830" s="88"/>
      <c r="B830" s="88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89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 ht="15.75" customHeight="1">
      <c r="A831" s="88"/>
      <c r="B831" s="88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89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 ht="15.75" customHeight="1">
      <c r="A832" s="88"/>
      <c r="B832" s="88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89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 ht="15.75" customHeight="1">
      <c r="A833" s="88"/>
      <c r="B833" s="88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89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 ht="15.75" customHeight="1">
      <c r="A834" s="88"/>
      <c r="B834" s="88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89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 ht="15.75" customHeight="1">
      <c r="A835" s="88"/>
      <c r="B835" s="88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89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 ht="15.75" customHeight="1">
      <c r="A836" s="88"/>
      <c r="B836" s="88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89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 ht="15.75" customHeight="1">
      <c r="A837" s="88"/>
      <c r="B837" s="88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89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 ht="15.75" customHeight="1">
      <c r="A838" s="88"/>
      <c r="B838" s="88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89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ht="15.75" customHeight="1">
      <c r="A839" s="88"/>
      <c r="B839" s="88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89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 ht="15.75" customHeight="1">
      <c r="A840" s="88"/>
      <c r="B840" s="88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89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 ht="15.75" customHeight="1">
      <c r="A841" s="88"/>
      <c r="B841" s="88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89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 ht="15.75" customHeight="1">
      <c r="A842" s="88"/>
      <c r="B842" s="88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89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ht="15.75" customHeight="1">
      <c r="A843" s="88"/>
      <c r="B843" s="88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89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 ht="15.75" customHeight="1">
      <c r="A844" s="88"/>
      <c r="B844" s="88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89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 ht="15.75" customHeight="1">
      <c r="A845" s="88"/>
      <c r="B845" s="88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89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 ht="15.75" customHeight="1">
      <c r="A846" s="88"/>
      <c r="B846" s="88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89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 ht="15.75" customHeight="1">
      <c r="A847" s="88"/>
      <c r="B847" s="88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89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 ht="15.75" customHeight="1">
      <c r="A848" s="88"/>
      <c r="B848" s="88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89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 ht="15.75" customHeight="1">
      <c r="A849" s="88"/>
      <c r="B849" s="88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89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 ht="15.75" customHeight="1">
      <c r="A850" s="88"/>
      <c r="B850" s="88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89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 ht="15.75" customHeight="1">
      <c r="A851" s="88"/>
      <c r="B851" s="88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89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 ht="15.75" customHeight="1">
      <c r="A852" s="88"/>
      <c r="B852" s="88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89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 ht="15.75" customHeight="1">
      <c r="A853" s="88"/>
      <c r="B853" s="88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89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 ht="15.75" customHeight="1">
      <c r="A854" s="88"/>
      <c r="B854" s="88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89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 ht="15.75" customHeight="1">
      <c r="A855" s="88"/>
      <c r="B855" s="88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89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 ht="15.75" customHeight="1">
      <c r="A856" s="88"/>
      <c r="B856" s="88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89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 ht="15.75" customHeight="1">
      <c r="A857" s="88"/>
      <c r="B857" s="88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89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ht="15.75" customHeight="1">
      <c r="A858" s="88"/>
      <c r="B858" s="88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89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 ht="15.75" customHeight="1">
      <c r="A859" s="88"/>
      <c r="B859" s="88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89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 ht="15.75" customHeight="1">
      <c r="A860" s="88"/>
      <c r="B860" s="88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89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 ht="15.75" customHeight="1">
      <c r="A861" s="88"/>
      <c r="B861" s="88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89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 ht="15.75" customHeight="1">
      <c r="A862" s="88"/>
      <c r="B862" s="88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89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 ht="15.75" customHeight="1">
      <c r="A863" s="88"/>
      <c r="B863" s="88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89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 ht="15.75" customHeight="1">
      <c r="A864" s="88"/>
      <c r="B864" s="88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89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 ht="15.75" customHeight="1">
      <c r="A865" s="88"/>
      <c r="B865" s="88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89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 ht="15.75" customHeight="1">
      <c r="A866" s="88"/>
      <c r="B866" s="88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89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 ht="15.75" customHeight="1">
      <c r="A867" s="88"/>
      <c r="B867" s="88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89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 ht="15.75" customHeight="1">
      <c r="A868" s="88"/>
      <c r="B868" s="88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89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 ht="15.75" customHeight="1">
      <c r="A869" s="88"/>
      <c r="B869" s="88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89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ht="15.75" customHeight="1">
      <c r="A870" s="88"/>
      <c r="B870" s="88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89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 ht="15.75" customHeight="1">
      <c r="A871" s="88"/>
      <c r="B871" s="88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89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ht="15.75" customHeight="1">
      <c r="A872" s="88"/>
      <c r="B872" s="88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89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 ht="15.75" customHeight="1">
      <c r="A873" s="88"/>
      <c r="B873" s="88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89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 ht="15.75" customHeight="1">
      <c r="A874" s="88"/>
      <c r="B874" s="88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89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 ht="15.75" customHeight="1">
      <c r="A875" s="88"/>
      <c r="B875" s="88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89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 ht="15.75" customHeight="1">
      <c r="A876" s="88"/>
      <c r="B876" s="88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89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 ht="15.75" customHeight="1">
      <c r="A877" s="88"/>
      <c r="B877" s="88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89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 ht="15.75" customHeight="1">
      <c r="A878" s="88"/>
      <c r="B878" s="88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89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 ht="15.75" customHeight="1">
      <c r="A879" s="88"/>
      <c r="B879" s="88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89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 ht="15.75" customHeight="1">
      <c r="A880" s="88"/>
      <c r="B880" s="88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89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 ht="15.75" customHeight="1">
      <c r="A881" s="88"/>
      <c r="B881" s="88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89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 ht="15.75" customHeight="1">
      <c r="A882" s="88"/>
      <c r="B882" s="88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89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 ht="15.75" customHeight="1">
      <c r="A883" s="88"/>
      <c r="B883" s="88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89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 ht="15.75" customHeight="1">
      <c r="A884" s="88"/>
      <c r="B884" s="88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89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 ht="15.75" customHeight="1">
      <c r="A885" s="88"/>
      <c r="B885" s="88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89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 ht="15.75" customHeight="1">
      <c r="A886" s="88"/>
      <c r="B886" s="88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89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 ht="15.75" customHeight="1">
      <c r="A887" s="88"/>
      <c r="B887" s="88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89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 ht="15.75" customHeight="1">
      <c r="A888" s="88"/>
      <c r="B888" s="88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89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 ht="15.75" customHeight="1">
      <c r="A889" s="88"/>
      <c r="B889" s="88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89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 ht="15.75" customHeight="1">
      <c r="A890" s="88"/>
      <c r="B890" s="88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89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 ht="15.75" customHeight="1">
      <c r="A891" s="88"/>
      <c r="B891" s="88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89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 ht="15.75" customHeight="1">
      <c r="A892" s="88"/>
      <c r="B892" s="88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89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 ht="15.75" customHeight="1">
      <c r="A893" s="88"/>
      <c r="B893" s="88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89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 ht="15.75" customHeight="1">
      <c r="A894" s="88"/>
      <c r="B894" s="88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89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 ht="15.75" customHeight="1">
      <c r="A895" s="88"/>
      <c r="B895" s="88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89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 ht="15.75" customHeight="1">
      <c r="A896" s="88"/>
      <c r="B896" s="88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89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 ht="15.75" customHeight="1">
      <c r="A897" s="88"/>
      <c r="B897" s="88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89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 ht="15.75" customHeight="1">
      <c r="A898" s="88"/>
      <c r="B898" s="88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89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 ht="15.75" customHeight="1">
      <c r="A899" s="88"/>
      <c r="B899" s="88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89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 ht="15.75" customHeight="1">
      <c r="A900" s="88"/>
      <c r="B900" s="88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89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 ht="15.75" customHeight="1">
      <c r="A901" s="88"/>
      <c r="B901" s="88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89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 ht="15.75" customHeight="1">
      <c r="A902" s="88"/>
      <c r="B902" s="88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89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 ht="15.75" customHeight="1">
      <c r="A903" s="88"/>
      <c r="B903" s="88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89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 ht="15.75" customHeight="1">
      <c r="A904" s="88"/>
      <c r="B904" s="88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89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 ht="15.75" customHeight="1">
      <c r="A905" s="88"/>
      <c r="B905" s="88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89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 ht="15.75" customHeight="1">
      <c r="A906" s="88"/>
      <c r="B906" s="88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89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 ht="15.75" customHeight="1">
      <c r="A907" s="88"/>
      <c r="B907" s="88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89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 ht="15.75" customHeight="1">
      <c r="A908" s="88"/>
      <c r="B908" s="88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89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 ht="15.75" customHeight="1">
      <c r="A909" s="88"/>
      <c r="B909" s="88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89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 ht="15.75" customHeight="1">
      <c r="A910" s="88"/>
      <c r="B910" s="88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89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 ht="15.75" customHeight="1">
      <c r="A911" s="88"/>
      <c r="B911" s="88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89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 ht="15.75" customHeight="1">
      <c r="A912" s="88"/>
      <c r="B912" s="88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89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 ht="15.75" customHeight="1">
      <c r="A913" s="88"/>
      <c r="B913" s="88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89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 ht="15.75" customHeight="1">
      <c r="A914" s="88"/>
      <c r="B914" s="88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89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 ht="15.75" customHeight="1">
      <c r="A915" s="88"/>
      <c r="B915" s="88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89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 ht="15.75" customHeight="1">
      <c r="A916" s="88"/>
      <c r="B916" s="88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89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 ht="15.75" customHeight="1">
      <c r="A917" s="88"/>
      <c r="B917" s="88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89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 ht="15.75" customHeight="1">
      <c r="A918" s="88"/>
      <c r="B918" s="88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89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 ht="15.75" customHeight="1">
      <c r="A919" s="88"/>
      <c r="B919" s="88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89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 ht="15.75" customHeight="1">
      <c r="A920" s="88"/>
      <c r="B920" s="88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89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 ht="15.75" customHeight="1">
      <c r="A921" s="88"/>
      <c r="B921" s="88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89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 ht="15.75" customHeight="1">
      <c r="A922" s="88"/>
      <c r="B922" s="88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89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 ht="15.75" customHeight="1">
      <c r="A923" s="88"/>
      <c r="B923" s="88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89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 ht="15.75" customHeight="1">
      <c r="A924" s="88"/>
      <c r="B924" s="88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89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 ht="15.75" customHeight="1">
      <c r="A925" s="88"/>
      <c r="B925" s="88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89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 ht="15.75" customHeight="1">
      <c r="A926" s="88"/>
      <c r="B926" s="88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89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 ht="15.75" customHeight="1">
      <c r="A927" s="88"/>
      <c r="B927" s="88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89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 ht="15.75" customHeight="1">
      <c r="A928" s="88"/>
      <c r="B928" s="88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89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 ht="15.75" customHeight="1">
      <c r="A929" s="88"/>
      <c r="B929" s="88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89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 ht="15.75" customHeight="1">
      <c r="A930" s="88"/>
      <c r="B930" s="88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89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 ht="15.75" customHeight="1">
      <c r="A931" s="88"/>
      <c r="B931" s="88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89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 ht="15.75" customHeight="1">
      <c r="A932" s="88"/>
      <c r="B932" s="88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89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 ht="15.75" customHeight="1">
      <c r="A933" s="88"/>
      <c r="B933" s="88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89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 ht="15.75" customHeight="1">
      <c r="A934" s="88"/>
      <c r="B934" s="88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89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 ht="15.75" customHeight="1">
      <c r="A935" s="88"/>
      <c r="B935" s="88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89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 ht="15.75" customHeight="1">
      <c r="A936" s="88"/>
      <c r="B936" s="88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89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 ht="15.75" customHeight="1">
      <c r="A937" s="88"/>
      <c r="B937" s="88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89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 ht="15.75" customHeight="1">
      <c r="A938" s="88"/>
      <c r="B938" s="88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89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 ht="15.75" customHeight="1">
      <c r="A939" s="88"/>
      <c r="B939" s="88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89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 ht="15.75" customHeight="1">
      <c r="A940" s="88"/>
      <c r="B940" s="88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89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 ht="15.75" customHeight="1">
      <c r="A941" s="88"/>
      <c r="B941" s="88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89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 ht="15.75" customHeight="1">
      <c r="A942" s="88"/>
      <c r="B942" s="88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89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 ht="15.75" customHeight="1">
      <c r="A943" s="88"/>
      <c r="B943" s="88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89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 ht="15.75" customHeight="1">
      <c r="A944" s="88"/>
      <c r="B944" s="88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89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 ht="15.75" customHeight="1">
      <c r="A945" s="88"/>
      <c r="B945" s="88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89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 ht="15.75" customHeight="1">
      <c r="A946" s="88"/>
      <c r="B946" s="88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89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 ht="15.75" customHeight="1">
      <c r="A947" s="88"/>
      <c r="B947" s="88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89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 ht="15.75" customHeight="1">
      <c r="A948" s="88"/>
      <c r="B948" s="88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89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 ht="15.75" customHeight="1">
      <c r="A949" s="88"/>
      <c r="B949" s="88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89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 ht="15.75" customHeight="1">
      <c r="A950" s="88"/>
      <c r="B950" s="88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89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 ht="15.75" customHeight="1">
      <c r="A951" s="88"/>
      <c r="B951" s="88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89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 ht="15.75" customHeight="1">
      <c r="A952" s="88"/>
      <c r="B952" s="88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89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 ht="15.75" customHeight="1">
      <c r="A953" s="88"/>
      <c r="B953" s="88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89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 ht="15.75" customHeight="1">
      <c r="A954" s="88"/>
      <c r="B954" s="88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89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 ht="15.75" customHeight="1">
      <c r="A955" s="88"/>
      <c r="B955" s="88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89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 ht="15.75" customHeight="1">
      <c r="A956" s="88"/>
      <c r="B956" s="88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89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 ht="15.75" customHeight="1">
      <c r="A957" s="88"/>
      <c r="B957" s="88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89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 ht="15.75" customHeight="1">
      <c r="A958" s="88"/>
      <c r="B958" s="88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89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 ht="15.75" customHeight="1">
      <c r="A959" s="88"/>
      <c r="B959" s="88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89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 ht="15.75" customHeight="1">
      <c r="A960" s="88"/>
      <c r="B960" s="88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89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 ht="15.75" customHeight="1">
      <c r="A961" s="88"/>
      <c r="B961" s="88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89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 ht="15.75" customHeight="1">
      <c r="A962" s="88"/>
      <c r="B962" s="88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89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 ht="15.75" customHeight="1">
      <c r="A963" s="88"/>
      <c r="B963" s="88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89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 ht="15.75" customHeight="1">
      <c r="A964" s="88"/>
      <c r="B964" s="88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89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 ht="15.75" customHeight="1">
      <c r="A965" s="88"/>
      <c r="B965" s="88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89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 ht="15.75" customHeight="1">
      <c r="A966" s="88"/>
      <c r="B966" s="88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89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 ht="15.75" customHeight="1">
      <c r="A967" s="88"/>
      <c r="B967" s="88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89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 ht="15.75" customHeight="1">
      <c r="A968" s="88"/>
      <c r="B968" s="88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89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 ht="15.75" customHeight="1">
      <c r="A969" s="88"/>
      <c r="B969" s="88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89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 ht="15.75" customHeight="1">
      <c r="A970" s="88"/>
      <c r="B970" s="88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89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 ht="15.75" customHeight="1">
      <c r="A971" s="88"/>
      <c r="B971" s="88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89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 ht="15.75" customHeight="1">
      <c r="A972" s="88"/>
      <c r="B972" s="88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89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 ht="15.75" customHeight="1">
      <c r="A973" s="88"/>
      <c r="B973" s="88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89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 ht="15.75" customHeight="1">
      <c r="A974" s="88"/>
      <c r="B974" s="88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89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 ht="15.75" customHeight="1">
      <c r="A975" s="88"/>
      <c r="B975" s="88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89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 ht="15.75" customHeight="1">
      <c r="A976" s="88"/>
      <c r="B976" s="88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89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 ht="15.75" customHeight="1">
      <c r="A977" s="88"/>
      <c r="B977" s="88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89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 ht="15.75" customHeight="1">
      <c r="A978" s="88"/>
      <c r="B978" s="88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89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 ht="15.75" customHeight="1">
      <c r="A979" s="88"/>
      <c r="B979" s="88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89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 ht="15.75" customHeight="1">
      <c r="A980" s="88"/>
      <c r="B980" s="88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89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 ht="15.75" customHeight="1">
      <c r="A981" s="88"/>
      <c r="B981" s="88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89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 ht="15.75" customHeight="1">
      <c r="A982" s="88"/>
      <c r="B982" s="88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89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 ht="15.75" customHeight="1">
      <c r="A983" s="88"/>
      <c r="B983" s="88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89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 ht="15.75" customHeight="1">
      <c r="A984" s="88"/>
      <c r="B984" s="88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89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 ht="15.75" customHeight="1">
      <c r="A985" s="88"/>
      <c r="B985" s="88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89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 ht="15.75" customHeight="1">
      <c r="A986" s="88"/>
      <c r="B986" s="88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89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 ht="15.75" customHeight="1">
      <c r="A987" s="88"/>
      <c r="B987" s="88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89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 ht="15.75" customHeight="1">
      <c r="A988" s="88"/>
      <c r="B988" s="88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89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 ht="15.75" customHeight="1">
      <c r="A989" s="88"/>
      <c r="B989" s="88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89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 ht="15.75" customHeight="1">
      <c r="A990" s="88"/>
      <c r="B990" s="88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89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 ht="15.75" customHeight="1">
      <c r="A991" s="88"/>
      <c r="B991" s="88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89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 ht="15.75" customHeight="1">
      <c r="A992" s="88"/>
      <c r="B992" s="88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89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 ht="15.75" customHeight="1">
      <c r="A993" s="88"/>
      <c r="B993" s="88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89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 ht="15.75" customHeight="1">
      <c r="A994" s="88"/>
      <c r="B994" s="88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89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 ht="15.75" customHeight="1">
      <c r="A995" s="88"/>
      <c r="B995" s="88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89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 ht="15.75" customHeight="1">
      <c r="A996" s="88"/>
      <c r="B996" s="88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89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 ht="15.75" customHeight="1">
      <c r="A997" s="88"/>
      <c r="B997" s="88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89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 ht="15.75" customHeight="1">
      <c r="A998" s="88"/>
      <c r="B998" s="88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89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 ht="15.75" customHeight="1">
      <c r="A999" s="88"/>
      <c r="B999" s="88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89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 ht="15.75" customHeight="1">
      <c r="A1000" s="88"/>
      <c r="B1000" s="88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89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6">
        <v>1.0</v>
      </c>
      <c r="B2" s="6" t="s">
        <v>23</v>
      </c>
      <c r="C2" s="6" t="s">
        <v>24</v>
      </c>
      <c r="D2" s="104">
        <v>8.0</v>
      </c>
      <c r="E2" s="105">
        <v>8.0</v>
      </c>
      <c r="F2" s="6"/>
      <c r="G2" s="7">
        <v>81.0</v>
      </c>
      <c r="H2" s="6"/>
      <c r="I2" s="6">
        <f t="shared" ref="I2:I31" si="1">max(0,K2-G2)</f>
        <v>53</v>
      </c>
      <c r="J2" s="6"/>
      <c r="K2" s="7">
        <v>134.0</v>
      </c>
      <c r="L2" s="6">
        <f t="shared" ref="L2:L31" si="2">J2+H2</f>
        <v>0</v>
      </c>
      <c r="M2" s="6">
        <f t="shared" ref="M2:M31" si="3">G2+H2+I2+J2</f>
        <v>134</v>
      </c>
      <c r="N2" s="6"/>
      <c r="O2" s="6">
        <v>11.31</v>
      </c>
      <c r="P2" s="6">
        <v>13.482</v>
      </c>
      <c r="Q2" s="6">
        <f t="shared" ref="Q2:Q31" si="4">(O2*D2)+(P2*E2)</f>
        <v>198.336</v>
      </c>
      <c r="R2" s="106">
        <v>364963.0</v>
      </c>
      <c r="S2" s="107">
        <v>365068.0</v>
      </c>
      <c r="T2" s="108"/>
      <c r="U2" s="108"/>
      <c r="V2" s="109">
        <f t="shared" ref="V2:V31" si="5">S2-R2</f>
        <v>105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6">
        <v>2.0</v>
      </c>
      <c r="B3" s="6" t="s">
        <v>23</v>
      </c>
      <c r="C3" s="6" t="s">
        <v>25</v>
      </c>
      <c r="D3" s="104">
        <v>8.0</v>
      </c>
      <c r="E3" s="105">
        <v>8.0</v>
      </c>
      <c r="F3" s="6"/>
      <c r="G3" s="7">
        <v>77.0</v>
      </c>
      <c r="H3" s="6"/>
      <c r="I3" s="6">
        <f t="shared" si="1"/>
        <v>74</v>
      </c>
      <c r="J3" s="6"/>
      <c r="K3" s="7">
        <v>151.0</v>
      </c>
      <c r="L3" s="6">
        <f t="shared" si="2"/>
        <v>0</v>
      </c>
      <c r="M3" s="6">
        <f t="shared" si="3"/>
        <v>151</v>
      </c>
      <c r="N3" s="6"/>
      <c r="O3" s="6">
        <v>11.31</v>
      </c>
      <c r="P3" s="6">
        <v>13.482</v>
      </c>
      <c r="Q3" s="6">
        <f t="shared" si="4"/>
        <v>198.336</v>
      </c>
      <c r="R3" s="106">
        <v>359133.0</v>
      </c>
      <c r="S3" s="107">
        <v>359237.0</v>
      </c>
      <c r="T3" s="108"/>
      <c r="U3" s="108"/>
      <c r="V3" s="109">
        <f t="shared" si="5"/>
        <v>104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6">
        <v>3.0</v>
      </c>
      <c r="B4" s="6" t="s">
        <v>23</v>
      </c>
      <c r="C4" s="6" t="s">
        <v>26</v>
      </c>
      <c r="D4" s="104">
        <v>8.0</v>
      </c>
      <c r="E4" s="105">
        <v>8.0</v>
      </c>
      <c r="F4" s="6"/>
      <c r="G4" s="7">
        <v>86.0</v>
      </c>
      <c r="H4" s="6"/>
      <c r="I4" s="6">
        <f t="shared" si="1"/>
        <v>128</v>
      </c>
      <c r="J4" s="6"/>
      <c r="K4" s="7">
        <v>214.0</v>
      </c>
      <c r="L4" s="6">
        <f t="shared" si="2"/>
        <v>0</v>
      </c>
      <c r="M4" s="6">
        <f t="shared" si="3"/>
        <v>214</v>
      </c>
      <c r="N4" s="6"/>
      <c r="O4" s="6">
        <v>11.31</v>
      </c>
      <c r="P4" s="6">
        <v>13.482</v>
      </c>
      <c r="Q4" s="6">
        <f t="shared" si="4"/>
        <v>198.336</v>
      </c>
      <c r="R4" s="106">
        <v>363933.0</v>
      </c>
      <c r="S4" s="106">
        <v>364035.0</v>
      </c>
      <c r="T4" s="110"/>
      <c r="U4" s="108"/>
      <c r="V4" s="109">
        <f t="shared" si="5"/>
        <v>102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6">
        <v>4.0</v>
      </c>
      <c r="B5" s="6" t="s">
        <v>23</v>
      </c>
      <c r="C5" s="6" t="s">
        <v>27</v>
      </c>
      <c r="D5" s="104">
        <v>8.0</v>
      </c>
      <c r="E5" s="105">
        <v>8.0</v>
      </c>
      <c r="F5" s="6"/>
      <c r="G5" s="7">
        <v>86.0</v>
      </c>
      <c r="H5" s="6"/>
      <c r="I5" s="6">
        <f t="shared" si="1"/>
        <v>116</v>
      </c>
      <c r="J5" s="6"/>
      <c r="K5" s="7">
        <v>202.0</v>
      </c>
      <c r="L5" s="6">
        <f t="shared" si="2"/>
        <v>0</v>
      </c>
      <c r="M5" s="6">
        <f t="shared" si="3"/>
        <v>202</v>
      </c>
      <c r="N5" s="6"/>
      <c r="O5" s="6">
        <v>11.31</v>
      </c>
      <c r="P5" s="6">
        <v>13.482</v>
      </c>
      <c r="Q5" s="6">
        <f t="shared" si="4"/>
        <v>198.336</v>
      </c>
      <c r="R5" s="106">
        <v>363639.0</v>
      </c>
      <c r="S5" s="106">
        <v>363716.0</v>
      </c>
      <c r="T5" s="110"/>
      <c r="U5" s="108"/>
      <c r="V5" s="109">
        <f t="shared" si="5"/>
        <v>77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6">
        <v>5.0</v>
      </c>
      <c r="B6" s="6" t="s">
        <v>23</v>
      </c>
      <c r="C6" s="6" t="s">
        <v>28</v>
      </c>
      <c r="D6" s="104">
        <v>8.0</v>
      </c>
      <c r="E6" s="105">
        <v>8.0</v>
      </c>
      <c r="F6" s="6"/>
      <c r="G6" s="111" t="s">
        <v>77</v>
      </c>
      <c r="H6" s="6"/>
      <c r="I6" s="6">
        <f t="shared" si="1"/>
        <v>85</v>
      </c>
      <c r="J6" s="6"/>
      <c r="K6" s="7">
        <v>148.0</v>
      </c>
      <c r="L6" s="6">
        <f t="shared" si="2"/>
        <v>0</v>
      </c>
      <c r="M6" s="6">
        <f t="shared" si="3"/>
        <v>148</v>
      </c>
      <c r="N6" s="6"/>
      <c r="O6" s="6">
        <v>11.31</v>
      </c>
      <c r="P6" s="6">
        <v>13.482</v>
      </c>
      <c r="Q6" s="6">
        <f t="shared" si="4"/>
        <v>198.336</v>
      </c>
      <c r="R6" s="106">
        <v>360371.0</v>
      </c>
      <c r="S6" s="106">
        <v>360477.0</v>
      </c>
      <c r="T6" s="110"/>
      <c r="U6" s="108"/>
      <c r="V6" s="109">
        <f t="shared" si="5"/>
        <v>106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6">
        <v>6.0</v>
      </c>
      <c r="B7" s="6" t="s">
        <v>23</v>
      </c>
      <c r="C7" s="6" t="s">
        <v>29</v>
      </c>
      <c r="D7" s="104">
        <v>8.0</v>
      </c>
      <c r="E7" s="105">
        <v>8.0</v>
      </c>
      <c r="F7" s="6"/>
      <c r="G7" s="111" t="s">
        <v>78</v>
      </c>
      <c r="H7" s="6"/>
      <c r="I7" s="6">
        <f t="shared" si="1"/>
        <v>103</v>
      </c>
      <c r="J7" s="6"/>
      <c r="K7" s="7">
        <v>168.0</v>
      </c>
      <c r="L7" s="6">
        <f t="shared" si="2"/>
        <v>0</v>
      </c>
      <c r="M7" s="6">
        <f t="shared" si="3"/>
        <v>168</v>
      </c>
      <c r="N7" s="6"/>
      <c r="O7" s="6">
        <v>11.31</v>
      </c>
      <c r="P7" s="6">
        <v>13.482</v>
      </c>
      <c r="Q7" s="6">
        <f t="shared" si="4"/>
        <v>198.336</v>
      </c>
      <c r="R7" s="106">
        <v>367565.0</v>
      </c>
      <c r="S7" s="106">
        <v>367666.0</v>
      </c>
      <c r="T7" s="110"/>
      <c r="U7" s="108"/>
      <c r="V7" s="109">
        <f t="shared" si="5"/>
        <v>101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12">
        <v>7.0</v>
      </c>
      <c r="B8" s="112" t="s">
        <v>23</v>
      </c>
      <c r="C8" s="112" t="s">
        <v>30</v>
      </c>
      <c r="D8" s="113">
        <v>4.0</v>
      </c>
      <c r="E8" s="113">
        <v>4.0</v>
      </c>
      <c r="F8" s="112"/>
      <c r="G8" s="113">
        <v>69.0</v>
      </c>
      <c r="H8" s="112"/>
      <c r="I8" s="112">
        <f t="shared" si="1"/>
        <v>0</v>
      </c>
      <c r="J8" s="112"/>
      <c r="K8" s="112"/>
      <c r="L8" s="112">
        <f t="shared" si="2"/>
        <v>0</v>
      </c>
      <c r="M8" s="112">
        <f t="shared" si="3"/>
        <v>69</v>
      </c>
      <c r="N8" s="113" t="s">
        <v>69</v>
      </c>
      <c r="O8" s="112">
        <v>11.31</v>
      </c>
      <c r="P8" s="112">
        <v>13.482</v>
      </c>
      <c r="Q8" s="112">
        <f t="shared" si="4"/>
        <v>99.168</v>
      </c>
      <c r="R8" s="114">
        <v>378811.0</v>
      </c>
      <c r="S8" s="114">
        <v>378914.0</v>
      </c>
      <c r="T8" s="115"/>
      <c r="U8" s="116"/>
      <c r="V8" s="117">
        <f t="shared" si="5"/>
        <v>103</v>
      </c>
      <c r="W8" s="117">
        <f t="shared" si="6"/>
        <v>0</v>
      </c>
      <c r="X8" s="11"/>
      <c r="Y8" s="11"/>
      <c r="Z8" s="11"/>
      <c r="AA8" s="11"/>
      <c r="AB8" s="11"/>
    </row>
    <row r="9" ht="14.25" customHeight="1">
      <c r="A9" s="6">
        <v>8.0</v>
      </c>
      <c r="B9" s="6" t="s">
        <v>23</v>
      </c>
      <c r="C9" s="6" t="s">
        <v>31</v>
      </c>
      <c r="D9" s="104">
        <v>8.0</v>
      </c>
      <c r="E9" s="105">
        <v>8.0</v>
      </c>
      <c r="F9" s="6"/>
      <c r="G9" s="7">
        <v>87.0</v>
      </c>
      <c r="H9" s="6"/>
      <c r="I9" s="6">
        <f t="shared" si="1"/>
        <v>118</v>
      </c>
      <c r="J9" s="6"/>
      <c r="K9" s="7">
        <v>205.0</v>
      </c>
      <c r="L9" s="6">
        <f t="shared" si="2"/>
        <v>0</v>
      </c>
      <c r="M9" s="6">
        <f t="shared" si="3"/>
        <v>205</v>
      </c>
      <c r="N9" s="6"/>
      <c r="O9" s="6">
        <v>11.31</v>
      </c>
      <c r="P9" s="6">
        <v>13.482</v>
      </c>
      <c r="Q9" s="6">
        <f t="shared" si="4"/>
        <v>198.336</v>
      </c>
      <c r="R9" s="106">
        <v>370017.0</v>
      </c>
      <c r="S9" s="106">
        <v>370116.0</v>
      </c>
      <c r="T9" s="110"/>
      <c r="U9" s="108"/>
      <c r="V9" s="109">
        <f t="shared" si="5"/>
        <v>99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6">
        <v>9.0</v>
      </c>
      <c r="B10" s="6" t="s">
        <v>23</v>
      </c>
      <c r="C10" s="6" t="s">
        <v>32</v>
      </c>
      <c r="D10" s="7">
        <v>7.0</v>
      </c>
      <c r="E10" s="7">
        <v>8.0</v>
      </c>
      <c r="F10" s="6"/>
      <c r="G10" s="111" t="s">
        <v>79</v>
      </c>
      <c r="H10" s="6"/>
      <c r="I10" s="6">
        <f t="shared" si="1"/>
        <v>97</v>
      </c>
      <c r="J10" s="6"/>
      <c r="K10" s="7">
        <v>196.0</v>
      </c>
      <c r="L10" s="6">
        <f t="shared" si="2"/>
        <v>0</v>
      </c>
      <c r="M10" s="6">
        <f t="shared" si="3"/>
        <v>196</v>
      </c>
      <c r="N10" s="6"/>
      <c r="O10" s="6">
        <v>11.31</v>
      </c>
      <c r="P10" s="6">
        <v>13.482</v>
      </c>
      <c r="Q10" s="6">
        <f t="shared" si="4"/>
        <v>187.026</v>
      </c>
      <c r="R10" s="106">
        <v>369522.0</v>
      </c>
      <c r="S10" s="106">
        <v>369613.0</v>
      </c>
      <c r="T10" s="110"/>
      <c r="U10" s="108"/>
      <c r="V10" s="109">
        <f t="shared" si="5"/>
        <v>91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6">
        <v>10.0</v>
      </c>
      <c r="B11" s="6" t="s">
        <v>23</v>
      </c>
      <c r="C11" s="6" t="s">
        <v>33</v>
      </c>
      <c r="D11" s="104">
        <v>7.0</v>
      </c>
      <c r="E11" s="105">
        <v>8.0</v>
      </c>
      <c r="F11" s="6"/>
      <c r="G11" s="7">
        <v>73.0</v>
      </c>
      <c r="H11" s="6"/>
      <c r="I11" s="6">
        <f t="shared" si="1"/>
        <v>118</v>
      </c>
      <c r="J11" s="6"/>
      <c r="K11" s="7">
        <v>191.0</v>
      </c>
      <c r="L11" s="6">
        <f t="shared" si="2"/>
        <v>0</v>
      </c>
      <c r="M11" s="6">
        <f t="shared" si="3"/>
        <v>191</v>
      </c>
      <c r="N11" s="6"/>
      <c r="O11" s="6">
        <v>11.31</v>
      </c>
      <c r="P11" s="6">
        <v>13.482</v>
      </c>
      <c r="Q11" s="6">
        <f t="shared" si="4"/>
        <v>187.026</v>
      </c>
      <c r="R11" s="106">
        <v>361904.0</v>
      </c>
      <c r="S11" s="106">
        <v>361992.0</v>
      </c>
      <c r="T11" s="110"/>
      <c r="U11" s="108"/>
      <c r="V11" s="109">
        <f t="shared" si="5"/>
        <v>88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6">
        <v>11.0</v>
      </c>
      <c r="B12" s="6" t="s">
        <v>23</v>
      </c>
      <c r="C12" s="6" t="s">
        <v>34</v>
      </c>
      <c r="D12" s="118">
        <v>7.0</v>
      </c>
      <c r="E12" s="119">
        <v>8.0</v>
      </c>
      <c r="F12" s="6"/>
      <c r="G12" s="7">
        <v>80.0</v>
      </c>
      <c r="H12" s="6"/>
      <c r="I12" s="6">
        <f t="shared" si="1"/>
        <v>84</v>
      </c>
      <c r="J12" s="6"/>
      <c r="K12" s="7">
        <v>164.0</v>
      </c>
      <c r="L12" s="6">
        <f t="shared" si="2"/>
        <v>0</v>
      </c>
      <c r="M12" s="6">
        <f t="shared" si="3"/>
        <v>164</v>
      </c>
      <c r="N12" s="6"/>
      <c r="O12" s="6">
        <v>11.31</v>
      </c>
      <c r="P12" s="6">
        <v>13.482</v>
      </c>
      <c r="Q12" s="6">
        <f t="shared" si="4"/>
        <v>187.026</v>
      </c>
      <c r="R12" s="106">
        <v>67946.0</v>
      </c>
      <c r="S12" s="106">
        <v>68037.0</v>
      </c>
      <c r="T12" s="110"/>
      <c r="U12" s="108"/>
      <c r="V12" s="109">
        <f t="shared" si="5"/>
        <v>91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12">
        <v>12.0</v>
      </c>
      <c r="B13" s="112" t="s">
        <v>23</v>
      </c>
      <c r="C13" s="112" t="s">
        <v>35</v>
      </c>
      <c r="D13" s="113">
        <v>4.0</v>
      </c>
      <c r="E13" s="113">
        <v>5.0</v>
      </c>
      <c r="F13" s="112"/>
      <c r="G13" s="113">
        <v>121.0</v>
      </c>
      <c r="H13" s="112"/>
      <c r="I13" s="112">
        <f t="shared" si="1"/>
        <v>4</v>
      </c>
      <c r="J13" s="112"/>
      <c r="K13" s="113">
        <v>125.0</v>
      </c>
      <c r="L13" s="112">
        <f t="shared" si="2"/>
        <v>0</v>
      </c>
      <c r="M13" s="112">
        <f t="shared" si="3"/>
        <v>125</v>
      </c>
      <c r="N13" s="113" t="s">
        <v>80</v>
      </c>
      <c r="O13" s="112">
        <v>11.31</v>
      </c>
      <c r="P13" s="112">
        <v>13.482</v>
      </c>
      <c r="Q13" s="112">
        <f t="shared" si="4"/>
        <v>112.65</v>
      </c>
      <c r="R13" s="114">
        <v>368611.0</v>
      </c>
      <c r="S13" s="114">
        <v>368725.0</v>
      </c>
      <c r="T13" s="115"/>
      <c r="U13" s="116"/>
      <c r="V13" s="117">
        <f t="shared" si="5"/>
        <v>114</v>
      </c>
      <c r="W13" s="117">
        <f t="shared" si="6"/>
        <v>0</v>
      </c>
      <c r="X13" s="11"/>
      <c r="Y13" s="11"/>
      <c r="Z13" s="11"/>
      <c r="AA13" s="11"/>
      <c r="AB13" s="11"/>
    </row>
    <row r="14" ht="14.25" customHeight="1">
      <c r="A14" s="18">
        <v>13.0</v>
      </c>
      <c r="B14" s="18" t="s">
        <v>23</v>
      </c>
      <c r="C14" s="18" t="s">
        <v>36</v>
      </c>
      <c r="D14" s="18"/>
      <c r="E14" s="18"/>
      <c r="F14" s="18"/>
      <c r="G14" s="18"/>
      <c r="H14" s="18"/>
      <c r="I14" s="18">
        <f t="shared" si="1"/>
        <v>0</v>
      </c>
      <c r="J14" s="18"/>
      <c r="K14" s="18"/>
      <c r="L14" s="18">
        <f t="shared" si="2"/>
        <v>0</v>
      </c>
      <c r="M14" s="18">
        <f t="shared" si="3"/>
        <v>0</v>
      </c>
      <c r="N14" s="19" t="s">
        <v>81</v>
      </c>
      <c r="O14" s="18">
        <v>11.31</v>
      </c>
      <c r="P14" s="18">
        <v>13.482</v>
      </c>
      <c r="Q14" s="18">
        <f t="shared" si="4"/>
        <v>0</v>
      </c>
      <c r="R14" s="120"/>
      <c r="S14" s="121"/>
      <c r="T14" s="120"/>
      <c r="U14" s="122"/>
      <c r="V14" s="123">
        <f t="shared" si="5"/>
        <v>0</v>
      </c>
      <c r="W14" s="123">
        <f t="shared" si="6"/>
        <v>0</v>
      </c>
      <c r="X14" s="11"/>
      <c r="Y14" s="11"/>
      <c r="Z14" s="11"/>
      <c r="AA14" s="11"/>
      <c r="AB14" s="11"/>
    </row>
    <row r="15" ht="14.25" customHeight="1">
      <c r="A15" s="6">
        <v>14.0</v>
      </c>
      <c r="B15" s="6" t="s">
        <v>23</v>
      </c>
      <c r="C15" s="6" t="s">
        <v>37</v>
      </c>
      <c r="D15" s="104">
        <v>7.0</v>
      </c>
      <c r="E15" s="105">
        <v>8.0</v>
      </c>
      <c r="F15" s="6"/>
      <c r="G15" s="7">
        <v>67.0</v>
      </c>
      <c r="H15" s="6"/>
      <c r="I15" s="6">
        <f t="shared" si="1"/>
        <v>130</v>
      </c>
      <c r="J15" s="6"/>
      <c r="K15" s="7">
        <v>197.0</v>
      </c>
      <c r="L15" s="6">
        <f t="shared" si="2"/>
        <v>0</v>
      </c>
      <c r="M15" s="6">
        <f t="shared" si="3"/>
        <v>197</v>
      </c>
      <c r="N15" s="6"/>
      <c r="O15" s="6">
        <v>11.31</v>
      </c>
      <c r="P15" s="6">
        <v>13.482</v>
      </c>
      <c r="Q15" s="6">
        <f t="shared" si="4"/>
        <v>187.026</v>
      </c>
      <c r="R15" s="106">
        <v>369739.0</v>
      </c>
      <c r="S15" s="106">
        <v>369830.0</v>
      </c>
      <c r="T15" s="110"/>
      <c r="U15" s="108"/>
      <c r="V15" s="109">
        <f t="shared" si="5"/>
        <v>91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6">
        <v>15.0</v>
      </c>
      <c r="B16" s="6" t="s">
        <v>23</v>
      </c>
      <c r="C16" s="6" t="s">
        <v>38</v>
      </c>
      <c r="D16" s="104">
        <v>7.0</v>
      </c>
      <c r="E16" s="105">
        <v>8.0</v>
      </c>
      <c r="F16" s="6"/>
      <c r="G16" s="7">
        <v>68.0</v>
      </c>
      <c r="H16" s="6"/>
      <c r="I16" s="6">
        <f t="shared" si="1"/>
        <v>105</v>
      </c>
      <c r="J16" s="6"/>
      <c r="K16" s="7">
        <v>173.0</v>
      </c>
      <c r="L16" s="6">
        <f t="shared" si="2"/>
        <v>0</v>
      </c>
      <c r="M16" s="6">
        <f t="shared" si="3"/>
        <v>173</v>
      </c>
      <c r="N16" s="6"/>
      <c r="O16" s="6">
        <v>11.31</v>
      </c>
      <c r="P16" s="6">
        <v>13.482</v>
      </c>
      <c r="Q16" s="6">
        <f t="shared" si="4"/>
        <v>187.026</v>
      </c>
      <c r="R16" s="106">
        <v>360978.0</v>
      </c>
      <c r="S16" s="106">
        <v>361067.0</v>
      </c>
      <c r="T16" s="110"/>
      <c r="U16" s="108"/>
      <c r="V16" s="109">
        <f t="shared" si="5"/>
        <v>89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6">
        <v>16.0</v>
      </c>
      <c r="B17" s="6" t="s">
        <v>23</v>
      </c>
      <c r="C17" s="6" t="s">
        <v>39</v>
      </c>
      <c r="D17" s="104">
        <v>7.0</v>
      </c>
      <c r="E17" s="105">
        <v>8.0</v>
      </c>
      <c r="F17" s="6"/>
      <c r="G17" s="111" t="s">
        <v>82</v>
      </c>
      <c r="H17" s="6"/>
      <c r="I17" s="6">
        <f t="shared" si="1"/>
        <v>73</v>
      </c>
      <c r="J17" s="6"/>
      <c r="K17" s="7">
        <v>163.0</v>
      </c>
      <c r="L17" s="6">
        <f t="shared" si="2"/>
        <v>0</v>
      </c>
      <c r="M17" s="6">
        <f t="shared" si="3"/>
        <v>163</v>
      </c>
      <c r="N17" s="6"/>
      <c r="O17" s="6">
        <v>11.31</v>
      </c>
      <c r="P17" s="6">
        <v>13.482</v>
      </c>
      <c r="Q17" s="6">
        <f t="shared" si="4"/>
        <v>187.026</v>
      </c>
      <c r="R17" s="106">
        <v>365273.0</v>
      </c>
      <c r="S17" s="106">
        <v>365364.0</v>
      </c>
      <c r="T17" s="110"/>
      <c r="U17" s="108"/>
      <c r="V17" s="109">
        <f t="shared" si="5"/>
        <v>91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6">
        <v>17.0</v>
      </c>
      <c r="B18" s="6" t="s">
        <v>23</v>
      </c>
      <c r="C18" s="6" t="s">
        <v>40</v>
      </c>
      <c r="D18" s="104">
        <v>7.0</v>
      </c>
      <c r="E18" s="105">
        <v>8.0</v>
      </c>
      <c r="F18" s="6"/>
      <c r="G18" s="7">
        <v>36.0</v>
      </c>
      <c r="H18" s="6"/>
      <c r="I18" s="6">
        <f t="shared" si="1"/>
        <v>104</v>
      </c>
      <c r="J18" s="6"/>
      <c r="K18" s="7">
        <v>140.0</v>
      </c>
      <c r="L18" s="6">
        <f t="shared" si="2"/>
        <v>0</v>
      </c>
      <c r="M18" s="6">
        <f t="shared" si="3"/>
        <v>140</v>
      </c>
      <c r="N18" s="6"/>
      <c r="O18" s="6">
        <v>11.31</v>
      </c>
      <c r="P18" s="6">
        <v>13.482</v>
      </c>
      <c r="Q18" s="6">
        <f t="shared" si="4"/>
        <v>187.026</v>
      </c>
      <c r="R18" s="106">
        <v>300521.0</v>
      </c>
      <c r="S18" s="106">
        <v>300612.0</v>
      </c>
      <c r="T18" s="110"/>
      <c r="U18" s="108"/>
      <c r="V18" s="109">
        <f t="shared" si="5"/>
        <v>91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6">
        <v>18.0</v>
      </c>
      <c r="B19" s="6" t="s">
        <v>23</v>
      </c>
      <c r="C19" s="6" t="s">
        <v>42</v>
      </c>
      <c r="D19" s="104">
        <v>7.0</v>
      </c>
      <c r="E19" s="105">
        <v>8.0</v>
      </c>
      <c r="F19" s="6"/>
      <c r="G19" s="7">
        <v>46.0</v>
      </c>
      <c r="H19" s="6"/>
      <c r="I19" s="6">
        <f t="shared" si="1"/>
        <v>99</v>
      </c>
      <c r="J19" s="6"/>
      <c r="K19" s="7">
        <v>145.0</v>
      </c>
      <c r="L19" s="6">
        <f t="shared" si="2"/>
        <v>0</v>
      </c>
      <c r="M19" s="6">
        <f t="shared" si="3"/>
        <v>145</v>
      </c>
      <c r="N19" s="6"/>
      <c r="O19" s="6">
        <v>11.31</v>
      </c>
      <c r="P19" s="6">
        <v>13.482</v>
      </c>
      <c r="Q19" s="6">
        <f t="shared" si="4"/>
        <v>187.026</v>
      </c>
      <c r="R19" s="106">
        <v>401687.0</v>
      </c>
      <c r="S19" s="106">
        <v>401782.0</v>
      </c>
      <c r="T19" s="110"/>
      <c r="U19" s="108"/>
      <c r="V19" s="109">
        <f t="shared" si="5"/>
        <v>95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6">
        <v>19.0</v>
      </c>
      <c r="B20" s="6" t="s">
        <v>23</v>
      </c>
      <c r="C20" s="6" t="s">
        <v>44</v>
      </c>
      <c r="D20" s="7">
        <v>9.0</v>
      </c>
      <c r="E20" s="7">
        <v>9.0</v>
      </c>
      <c r="F20" s="6"/>
      <c r="G20" s="7">
        <v>53.0</v>
      </c>
      <c r="H20" s="6"/>
      <c r="I20" s="6">
        <f t="shared" si="1"/>
        <v>109</v>
      </c>
      <c r="J20" s="6"/>
      <c r="K20" s="7">
        <v>162.0</v>
      </c>
      <c r="L20" s="6">
        <f t="shared" si="2"/>
        <v>0</v>
      </c>
      <c r="M20" s="6">
        <f t="shared" si="3"/>
        <v>162</v>
      </c>
      <c r="N20" s="6"/>
      <c r="O20" s="6">
        <v>11.31</v>
      </c>
      <c r="P20" s="6">
        <v>13.482</v>
      </c>
      <c r="Q20" s="6">
        <f t="shared" si="4"/>
        <v>223.128</v>
      </c>
      <c r="R20" s="106">
        <v>550919.0</v>
      </c>
      <c r="S20" s="106">
        <v>551027.0</v>
      </c>
      <c r="T20" s="110"/>
      <c r="U20" s="108"/>
      <c r="V20" s="109">
        <f t="shared" si="5"/>
        <v>108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6">
        <v>20.0</v>
      </c>
      <c r="B21" s="6" t="s">
        <v>23</v>
      </c>
      <c r="C21" s="6" t="s">
        <v>45</v>
      </c>
      <c r="D21" s="7">
        <v>9.0</v>
      </c>
      <c r="E21" s="7">
        <v>9.0</v>
      </c>
      <c r="F21" s="6"/>
      <c r="G21" s="7">
        <v>75.0</v>
      </c>
      <c r="H21" s="6"/>
      <c r="I21" s="6">
        <f t="shared" si="1"/>
        <v>92</v>
      </c>
      <c r="J21" s="6"/>
      <c r="K21" s="7">
        <v>167.0</v>
      </c>
      <c r="L21" s="6">
        <f t="shared" si="2"/>
        <v>0</v>
      </c>
      <c r="M21" s="6">
        <f t="shared" si="3"/>
        <v>167</v>
      </c>
      <c r="N21" s="6"/>
      <c r="O21" s="6">
        <v>11.31</v>
      </c>
      <c r="P21" s="6">
        <v>13.482</v>
      </c>
      <c r="Q21" s="6">
        <f t="shared" si="4"/>
        <v>223.128</v>
      </c>
      <c r="R21" s="106">
        <v>427920.0</v>
      </c>
      <c r="S21" s="106">
        <v>428030.0</v>
      </c>
      <c r="T21" s="110"/>
      <c r="U21" s="108"/>
      <c r="V21" s="109">
        <f t="shared" si="5"/>
        <v>110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6">
        <v>21.0</v>
      </c>
      <c r="B22" s="6" t="s">
        <v>23</v>
      </c>
      <c r="C22" s="6" t="s">
        <v>46</v>
      </c>
      <c r="D22" s="7">
        <v>9.0</v>
      </c>
      <c r="E22" s="7">
        <v>9.0</v>
      </c>
      <c r="F22" s="6"/>
      <c r="G22" s="7">
        <v>37.0</v>
      </c>
      <c r="H22" s="6"/>
      <c r="I22" s="6">
        <f t="shared" si="1"/>
        <v>95</v>
      </c>
      <c r="J22" s="6"/>
      <c r="K22" s="7">
        <v>132.0</v>
      </c>
      <c r="L22" s="6">
        <f t="shared" si="2"/>
        <v>0</v>
      </c>
      <c r="M22" s="6">
        <f t="shared" si="3"/>
        <v>132</v>
      </c>
      <c r="N22" s="6"/>
      <c r="O22" s="6">
        <v>11.31</v>
      </c>
      <c r="P22" s="6">
        <v>13.482</v>
      </c>
      <c r="Q22" s="6">
        <f t="shared" si="4"/>
        <v>223.128</v>
      </c>
      <c r="R22" s="106">
        <v>489755.0</v>
      </c>
      <c r="S22" s="106">
        <v>489864.0</v>
      </c>
      <c r="T22" s="110"/>
      <c r="U22" s="108"/>
      <c r="V22" s="109">
        <f t="shared" si="5"/>
        <v>109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8">
        <v>22.0</v>
      </c>
      <c r="B23" s="18" t="s">
        <v>23</v>
      </c>
      <c r="C23" s="18" t="s">
        <v>47</v>
      </c>
      <c r="D23" s="18"/>
      <c r="E23" s="18"/>
      <c r="F23" s="18"/>
      <c r="G23" s="18"/>
      <c r="H23" s="18"/>
      <c r="I23" s="18">
        <f t="shared" si="1"/>
        <v>0</v>
      </c>
      <c r="J23" s="18"/>
      <c r="K23" s="18"/>
      <c r="L23" s="18">
        <f t="shared" si="2"/>
        <v>0</v>
      </c>
      <c r="M23" s="18">
        <f t="shared" si="3"/>
        <v>0</v>
      </c>
      <c r="N23" s="19" t="s">
        <v>72</v>
      </c>
      <c r="O23" s="18">
        <v>11.31</v>
      </c>
      <c r="P23" s="18">
        <v>13.482</v>
      </c>
      <c r="Q23" s="18">
        <f t="shared" si="4"/>
        <v>0</v>
      </c>
      <c r="R23" s="120"/>
      <c r="S23" s="121"/>
      <c r="T23" s="120"/>
      <c r="U23" s="122"/>
      <c r="V23" s="123">
        <f t="shared" si="5"/>
        <v>0</v>
      </c>
      <c r="W23" s="123">
        <f t="shared" si="6"/>
        <v>0</v>
      </c>
      <c r="X23" s="11"/>
      <c r="Y23" s="11"/>
      <c r="Z23" s="11"/>
      <c r="AA23" s="11"/>
      <c r="AB23" s="11"/>
    </row>
    <row r="24" ht="14.25" customHeight="1">
      <c r="A24" s="6">
        <v>23.0</v>
      </c>
      <c r="B24" s="6" t="s">
        <v>23</v>
      </c>
      <c r="C24" s="6" t="s">
        <v>49</v>
      </c>
      <c r="D24" s="7">
        <v>9.0</v>
      </c>
      <c r="E24" s="7">
        <v>9.0</v>
      </c>
      <c r="F24" s="6"/>
      <c r="G24" s="7">
        <v>51.0</v>
      </c>
      <c r="H24" s="6"/>
      <c r="I24" s="6">
        <f t="shared" si="1"/>
        <v>0</v>
      </c>
      <c r="J24" s="7">
        <v>60.0</v>
      </c>
      <c r="K24" s="7">
        <v>51.0</v>
      </c>
      <c r="L24" s="6">
        <f t="shared" si="2"/>
        <v>60</v>
      </c>
      <c r="M24" s="6">
        <f t="shared" si="3"/>
        <v>111</v>
      </c>
      <c r="N24" s="6"/>
      <c r="O24" s="6">
        <v>11.31</v>
      </c>
      <c r="P24" s="6">
        <v>13.482</v>
      </c>
      <c r="Q24" s="6">
        <f t="shared" si="4"/>
        <v>223.128</v>
      </c>
      <c r="R24" s="106">
        <v>256422.0</v>
      </c>
      <c r="S24" s="106">
        <v>256522.0</v>
      </c>
      <c r="T24" s="110"/>
      <c r="U24" s="108"/>
      <c r="V24" s="109">
        <f t="shared" si="5"/>
        <v>100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6">
        <v>24.0</v>
      </c>
      <c r="B25" s="6" t="s">
        <v>23</v>
      </c>
      <c r="C25" s="6" t="s">
        <v>50</v>
      </c>
      <c r="D25" s="7">
        <v>9.0</v>
      </c>
      <c r="E25" s="7">
        <v>9.0</v>
      </c>
      <c r="F25" s="6"/>
      <c r="G25" s="7">
        <v>97.0</v>
      </c>
      <c r="H25" s="6"/>
      <c r="I25" s="6">
        <f t="shared" si="1"/>
        <v>125</v>
      </c>
      <c r="J25" s="6"/>
      <c r="K25" s="7">
        <v>222.0</v>
      </c>
      <c r="L25" s="6">
        <f t="shared" si="2"/>
        <v>0</v>
      </c>
      <c r="M25" s="6">
        <f t="shared" si="3"/>
        <v>222</v>
      </c>
      <c r="N25" s="6"/>
      <c r="O25" s="6">
        <v>11.31</v>
      </c>
      <c r="P25" s="6">
        <v>13.482</v>
      </c>
      <c r="Q25" s="6">
        <f t="shared" si="4"/>
        <v>223.128</v>
      </c>
      <c r="R25" s="106">
        <v>255449.0</v>
      </c>
      <c r="S25" s="106">
        <v>255551.0</v>
      </c>
      <c r="T25" s="110"/>
      <c r="U25" s="108"/>
      <c r="V25" s="109">
        <f t="shared" si="5"/>
        <v>102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6">
        <v>25.0</v>
      </c>
      <c r="B26" s="6" t="s">
        <v>23</v>
      </c>
      <c r="C26" s="6" t="s">
        <v>51</v>
      </c>
      <c r="D26" s="7">
        <v>8.0</v>
      </c>
      <c r="E26" s="7">
        <v>8.0</v>
      </c>
      <c r="F26" s="6"/>
      <c r="G26" s="7">
        <v>51.0</v>
      </c>
      <c r="H26" s="6"/>
      <c r="I26" s="6">
        <f t="shared" si="1"/>
        <v>166</v>
      </c>
      <c r="J26" s="6"/>
      <c r="K26" s="7">
        <v>217.0</v>
      </c>
      <c r="L26" s="6">
        <f t="shared" si="2"/>
        <v>0</v>
      </c>
      <c r="M26" s="6">
        <f t="shared" si="3"/>
        <v>217</v>
      </c>
      <c r="N26" s="6"/>
      <c r="O26" s="6">
        <v>11.31</v>
      </c>
      <c r="P26" s="6">
        <v>13.482</v>
      </c>
      <c r="Q26" s="6">
        <f t="shared" si="4"/>
        <v>198.336</v>
      </c>
      <c r="R26" s="106">
        <v>257755.0</v>
      </c>
      <c r="S26" s="106">
        <v>257859.0</v>
      </c>
      <c r="T26" s="110"/>
      <c r="U26" s="108"/>
      <c r="V26" s="109">
        <f t="shared" si="5"/>
        <v>104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6">
        <v>26.0</v>
      </c>
      <c r="B27" s="6" t="s">
        <v>23</v>
      </c>
      <c r="C27" s="6" t="s">
        <v>52</v>
      </c>
      <c r="D27" s="7">
        <v>8.0</v>
      </c>
      <c r="E27" s="7">
        <v>8.0</v>
      </c>
      <c r="F27" s="6"/>
      <c r="G27" s="7">
        <v>78.0</v>
      </c>
      <c r="H27" s="6"/>
      <c r="I27" s="6">
        <f t="shared" si="1"/>
        <v>65</v>
      </c>
      <c r="J27" s="6"/>
      <c r="K27" s="7">
        <v>143.0</v>
      </c>
      <c r="L27" s="6">
        <f t="shared" si="2"/>
        <v>0</v>
      </c>
      <c r="M27" s="6">
        <f t="shared" si="3"/>
        <v>143</v>
      </c>
      <c r="N27" s="6"/>
      <c r="O27" s="6">
        <v>11.31</v>
      </c>
      <c r="P27" s="6">
        <v>13.482</v>
      </c>
      <c r="Q27" s="6">
        <f t="shared" si="4"/>
        <v>198.336</v>
      </c>
      <c r="R27" s="106">
        <v>256023.0</v>
      </c>
      <c r="S27" s="106">
        <v>256127.0</v>
      </c>
      <c r="T27" s="110"/>
      <c r="U27" s="108"/>
      <c r="V27" s="109">
        <f t="shared" si="5"/>
        <v>104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6">
        <v>27.0</v>
      </c>
      <c r="B28" s="6" t="s">
        <v>23</v>
      </c>
      <c r="C28" s="6" t="s">
        <v>53</v>
      </c>
      <c r="D28" s="7">
        <v>8.0</v>
      </c>
      <c r="E28" s="7">
        <v>8.0</v>
      </c>
      <c r="F28" s="6"/>
      <c r="G28" s="7">
        <v>86.0</v>
      </c>
      <c r="H28" s="6"/>
      <c r="I28" s="6">
        <f t="shared" si="1"/>
        <v>124</v>
      </c>
      <c r="J28" s="6"/>
      <c r="K28" s="7">
        <v>210.0</v>
      </c>
      <c r="L28" s="6">
        <f t="shared" si="2"/>
        <v>0</v>
      </c>
      <c r="M28" s="6">
        <f t="shared" si="3"/>
        <v>210</v>
      </c>
      <c r="N28" s="6"/>
      <c r="O28" s="6">
        <v>11.31</v>
      </c>
      <c r="P28" s="6">
        <v>13.482</v>
      </c>
      <c r="Q28" s="6">
        <f t="shared" si="4"/>
        <v>198.336</v>
      </c>
      <c r="R28" s="106">
        <v>452487.0</v>
      </c>
      <c r="S28" s="106">
        <v>452596.0</v>
      </c>
      <c r="T28" s="110"/>
      <c r="U28" s="108"/>
      <c r="V28" s="109">
        <f t="shared" si="5"/>
        <v>109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6">
        <v>28.0</v>
      </c>
      <c r="B29" s="6" t="s">
        <v>23</v>
      </c>
      <c r="C29" s="6" t="s">
        <v>54</v>
      </c>
      <c r="D29" s="7">
        <v>8.0</v>
      </c>
      <c r="E29" s="7">
        <v>8.0</v>
      </c>
      <c r="F29" s="6"/>
      <c r="G29" s="7">
        <v>58.0</v>
      </c>
      <c r="H29" s="6"/>
      <c r="I29" s="6">
        <f t="shared" si="1"/>
        <v>103</v>
      </c>
      <c r="J29" s="6"/>
      <c r="K29" s="7">
        <v>161.0</v>
      </c>
      <c r="L29" s="6">
        <f t="shared" si="2"/>
        <v>0</v>
      </c>
      <c r="M29" s="6">
        <f t="shared" si="3"/>
        <v>161</v>
      </c>
      <c r="N29" s="6"/>
      <c r="O29" s="6">
        <v>11.31</v>
      </c>
      <c r="P29" s="6">
        <v>13.482</v>
      </c>
      <c r="Q29" s="6">
        <f t="shared" si="4"/>
        <v>198.336</v>
      </c>
      <c r="R29" s="106">
        <v>266556.0</v>
      </c>
      <c r="S29" s="106">
        <v>266658.0</v>
      </c>
      <c r="T29" s="110"/>
      <c r="U29" s="108"/>
      <c r="V29" s="109">
        <f t="shared" si="5"/>
        <v>102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6">
        <v>29.0</v>
      </c>
      <c r="B30" s="6" t="s">
        <v>23</v>
      </c>
      <c r="C30" s="6" t="s">
        <v>55</v>
      </c>
      <c r="D30" s="7">
        <v>8.0</v>
      </c>
      <c r="E30" s="7">
        <v>8.0</v>
      </c>
      <c r="F30" s="6"/>
      <c r="G30" s="7">
        <v>81.0</v>
      </c>
      <c r="H30" s="6"/>
      <c r="I30" s="6">
        <f t="shared" si="1"/>
        <v>87</v>
      </c>
      <c r="J30" s="6"/>
      <c r="K30" s="7">
        <v>168.0</v>
      </c>
      <c r="L30" s="6">
        <f t="shared" si="2"/>
        <v>0</v>
      </c>
      <c r="M30" s="6">
        <f t="shared" si="3"/>
        <v>168</v>
      </c>
      <c r="N30" s="6"/>
      <c r="O30" s="6">
        <v>11.31</v>
      </c>
      <c r="P30" s="6">
        <v>13.482</v>
      </c>
      <c r="Q30" s="6">
        <f t="shared" si="4"/>
        <v>198.336</v>
      </c>
      <c r="R30" s="106">
        <v>269412.0</v>
      </c>
      <c r="S30" s="106">
        <v>269516.0</v>
      </c>
      <c r="T30" s="110"/>
      <c r="U30" s="108"/>
      <c r="V30" s="109">
        <f t="shared" si="5"/>
        <v>104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6">
        <v>30.0</v>
      </c>
      <c r="B31" s="6" t="s">
        <v>23</v>
      </c>
      <c r="C31" s="6" t="s">
        <v>56</v>
      </c>
      <c r="D31" s="7">
        <v>8.0</v>
      </c>
      <c r="E31" s="7">
        <v>8.0</v>
      </c>
      <c r="F31" s="6"/>
      <c r="G31" s="7">
        <v>91.0</v>
      </c>
      <c r="H31" s="6"/>
      <c r="I31" s="6">
        <f t="shared" si="1"/>
        <v>63</v>
      </c>
      <c r="J31" s="6"/>
      <c r="K31" s="7">
        <v>154.0</v>
      </c>
      <c r="L31" s="6">
        <f t="shared" si="2"/>
        <v>0</v>
      </c>
      <c r="M31" s="6">
        <f t="shared" si="3"/>
        <v>154</v>
      </c>
      <c r="N31" s="6"/>
      <c r="O31" s="6">
        <v>11.31</v>
      </c>
      <c r="P31" s="6">
        <v>13.482</v>
      </c>
      <c r="Q31" s="6">
        <f t="shared" si="4"/>
        <v>198.336</v>
      </c>
      <c r="R31" s="106">
        <v>292929.0</v>
      </c>
      <c r="S31" s="106">
        <v>293029.0</v>
      </c>
      <c r="T31" s="110"/>
      <c r="U31" s="108"/>
      <c r="V31" s="109">
        <f t="shared" si="5"/>
        <v>100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4632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5402.034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>
        <f>E32/E33</f>
        <v>0.8574548031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>
        <f>AVERAGEIF(Q:Q,"&gt;0",Q:Q)</f>
        <v>192.9297857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1735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1735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2520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60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2580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4255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60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5"/>
      <c r="Y1" s="5"/>
      <c r="Z1" s="5"/>
      <c r="AA1" s="5"/>
      <c r="AB1" s="5"/>
    </row>
    <row r="2" ht="14.25" customHeight="1">
      <c r="A2" s="6">
        <v>1.0</v>
      </c>
      <c r="B2" s="6" t="s">
        <v>23</v>
      </c>
      <c r="C2" s="6" t="s">
        <v>24</v>
      </c>
      <c r="D2" s="7">
        <v>8.0</v>
      </c>
      <c r="E2" s="7">
        <v>8.0</v>
      </c>
      <c r="F2" s="6"/>
      <c r="G2" s="7">
        <v>57.0</v>
      </c>
      <c r="H2" s="6"/>
      <c r="I2" s="6">
        <f t="shared" ref="I2:I31" si="1">max(0,K2-G2)</f>
        <v>92</v>
      </c>
      <c r="J2" s="6"/>
      <c r="K2" s="7">
        <v>149.0</v>
      </c>
      <c r="L2" s="6">
        <f t="shared" ref="L2:L31" si="2">J2+H2</f>
        <v>0</v>
      </c>
      <c r="M2" s="6">
        <f t="shared" ref="M2:M31" si="3">G2+H2+I2+J2</f>
        <v>149</v>
      </c>
      <c r="N2" s="6"/>
      <c r="O2" s="6">
        <v>11.31</v>
      </c>
      <c r="P2" s="6">
        <v>13.482</v>
      </c>
      <c r="Q2" s="6">
        <f t="shared" ref="Q2:Q31" si="4">(O2*D2)+(P2*E2)</f>
        <v>198.336</v>
      </c>
      <c r="R2" s="8">
        <v>365173.0</v>
      </c>
      <c r="S2" s="9">
        <v>365278.0</v>
      </c>
      <c r="T2" s="9">
        <v>365278.0</v>
      </c>
      <c r="U2" s="9">
        <v>365382.0</v>
      </c>
      <c r="V2" s="10">
        <f t="shared" ref="V2:V31" si="5">S2-R2</f>
        <v>105</v>
      </c>
      <c r="W2" s="10">
        <f t="shared" ref="W2:W31" si="6">U2-T2</f>
        <v>104</v>
      </c>
      <c r="X2" s="11"/>
      <c r="Y2" s="11"/>
      <c r="Z2" s="11"/>
      <c r="AA2" s="11"/>
      <c r="AB2" s="11"/>
    </row>
    <row r="3" ht="14.25" customHeight="1">
      <c r="A3" s="6">
        <v>2.0</v>
      </c>
      <c r="B3" s="6" t="s">
        <v>23</v>
      </c>
      <c r="C3" s="6" t="s">
        <v>25</v>
      </c>
      <c r="D3" s="7">
        <v>8.0</v>
      </c>
      <c r="E3" s="7">
        <v>8.0</v>
      </c>
      <c r="F3" s="6"/>
      <c r="G3" s="7">
        <v>82.0</v>
      </c>
      <c r="H3" s="6"/>
      <c r="I3" s="6">
        <f t="shared" si="1"/>
        <v>109</v>
      </c>
      <c r="J3" s="6"/>
      <c r="K3" s="7">
        <v>191.0</v>
      </c>
      <c r="L3" s="6">
        <f t="shared" si="2"/>
        <v>0</v>
      </c>
      <c r="M3" s="6">
        <f t="shared" si="3"/>
        <v>191</v>
      </c>
      <c r="N3" s="6"/>
      <c r="O3" s="6">
        <v>11.31</v>
      </c>
      <c r="P3" s="6">
        <v>13.482</v>
      </c>
      <c r="Q3" s="6">
        <f t="shared" si="4"/>
        <v>198.336</v>
      </c>
      <c r="R3" s="8">
        <v>359337.0</v>
      </c>
      <c r="S3" s="9">
        <v>359440.0</v>
      </c>
      <c r="T3" s="9">
        <v>359440.0</v>
      </c>
      <c r="U3" s="9">
        <v>359543.0</v>
      </c>
      <c r="V3" s="10">
        <f t="shared" si="5"/>
        <v>103</v>
      </c>
      <c r="W3" s="10">
        <f t="shared" si="6"/>
        <v>103</v>
      </c>
      <c r="X3" s="11"/>
      <c r="Y3" s="11"/>
      <c r="Z3" s="11"/>
      <c r="AA3" s="11"/>
      <c r="AB3" s="11"/>
    </row>
    <row r="4" ht="14.25" customHeight="1">
      <c r="A4" s="6">
        <v>3.0</v>
      </c>
      <c r="B4" s="6" t="s">
        <v>23</v>
      </c>
      <c r="C4" s="6" t="s">
        <v>26</v>
      </c>
      <c r="D4" s="7">
        <v>8.0</v>
      </c>
      <c r="E4" s="7">
        <v>8.0</v>
      </c>
      <c r="F4" s="6"/>
      <c r="G4" s="7">
        <v>112.0</v>
      </c>
      <c r="H4" s="6"/>
      <c r="I4" s="6">
        <f t="shared" si="1"/>
        <v>81</v>
      </c>
      <c r="J4" s="6"/>
      <c r="K4" s="7">
        <v>193.0</v>
      </c>
      <c r="L4" s="6">
        <f t="shared" si="2"/>
        <v>0</v>
      </c>
      <c r="M4" s="6">
        <f t="shared" si="3"/>
        <v>193</v>
      </c>
      <c r="N4" s="6"/>
      <c r="O4" s="6">
        <v>11.31</v>
      </c>
      <c r="P4" s="6">
        <v>13.482</v>
      </c>
      <c r="Q4" s="6">
        <f t="shared" si="4"/>
        <v>198.336</v>
      </c>
      <c r="R4" s="8">
        <v>364133.0</v>
      </c>
      <c r="S4" s="8">
        <v>364236.0</v>
      </c>
      <c r="T4" s="8">
        <v>364236.0</v>
      </c>
      <c r="U4" s="9">
        <v>364337.0</v>
      </c>
      <c r="V4" s="10">
        <f t="shared" si="5"/>
        <v>103</v>
      </c>
      <c r="W4" s="10">
        <f t="shared" si="6"/>
        <v>101</v>
      </c>
      <c r="X4" s="11"/>
      <c r="Y4" s="11"/>
      <c r="Z4" s="11"/>
      <c r="AA4" s="11"/>
      <c r="AB4" s="11"/>
    </row>
    <row r="5" ht="14.25" customHeight="1">
      <c r="A5" s="6">
        <v>4.0</v>
      </c>
      <c r="B5" s="6" t="s">
        <v>23</v>
      </c>
      <c r="C5" s="6" t="s">
        <v>27</v>
      </c>
      <c r="D5" s="7">
        <v>8.0</v>
      </c>
      <c r="E5" s="7">
        <v>8.0</v>
      </c>
      <c r="F5" s="6"/>
      <c r="G5" s="7">
        <v>72.0</v>
      </c>
      <c r="H5" s="6"/>
      <c r="I5" s="6">
        <f t="shared" si="1"/>
        <v>129</v>
      </c>
      <c r="J5" s="6"/>
      <c r="K5" s="7">
        <v>201.0</v>
      </c>
      <c r="L5" s="6">
        <f t="shared" si="2"/>
        <v>0</v>
      </c>
      <c r="M5" s="6">
        <f t="shared" si="3"/>
        <v>201</v>
      </c>
      <c r="N5" s="6"/>
      <c r="O5" s="6">
        <v>11.31</v>
      </c>
      <c r="P5" s="6">
        <v>13.482</v>
      </c>
      <c r="Q5" s="6">
        <f t="shared" si="4"/>
        <v>198.336</v>
      </c>
      <c r="R5" s="8">
        <v>363844.0</v>
      </c>
      <c r="S5" s="8">
        <v>363946.0</v>
      </c>
      <c r="T5" s="8">
        <v>363946.0</v>
      </c>
      <c r="U5" s="9">
        <v>364049.0</v>
      </c>
      <c r="V5" s="10">
        <f t="shared" si="5"/>
        <v>102</v>
      </c>
      <c r="W5" s="10">
        <f t="shared" si="6"/>
        <v>103</v>
      </c>
      <c r="X5" s="11"/>
      <c r="Y5" s="11"/>
      <c r="Z5" s="11"/>
      <c r="AA5" s="11"/>
      <c r="AB5" s="11"/>
    </row>
    <row r="6" ht="14.25" customHeight="1">
      <c r="A6" s="6">
        <v>5.0</v>
      </c>
      <c r="B6" s="6" t="s">
        <v>23</v>
      </c>
      <c r="C6" s="6" t="s">
        <v>28</v>
      </c>
      <c r="D6" s="7">
        <v>8.0</v>
      </c>
      <c r="E6" s="7">
        <v>8.0</v>
      </c>
      <c r="F6" s="6"/>
      <c r="G6" s="7">
        <v>45.0</v>
      </c>
      <c r="H6" s="6"/>
      <c r="I6" s="6">
        <f t="shared" si="1"/>
        <v>116</v>
      </c>
      <c r="J6" s="6"/>
      <c r="K6" s="7">
        <v>161.0</v>
      </c>
      <c r="L6" s="6">
        <f t="shared" si="2"/>
        <v>0</v>
      </c>
      <c r="M6" s="6">
        <f t="shared" si="3"/>
        <v>161</v>
      </c>
      <c r="N6" s="6"/>
      <c r="O6" s="6">
        <v>11.31</v>
      </c>
      <c r="P6" s="6">
        <v>13.482</v>
      </c>
      <c r="Q6" s="6">
        <f t="shared" si="4"/>
        <v>198.336</v>
      </c>
      <c r="R6" s="8">
        <v>360579.0</v>
      </c>
      <c r="S6" s="8">
        <v>360686.0</v>
      </c>
      <c r="T6" s="8">
        <v>360686.0</v>
      </c>
      <c r="U6" s="9">
        <v>360792.0</v>
      </c>
      <c r="V6" s="10">
        <f t="shared" si="5"/>
        <v>107</v>
      </c>
      <c r="W6" s="10">
        <f t="shared" si="6"/>
        <v>106</v>
      </c>
      <c r="X6" s="11"/>
      <c r="Y6" s="11"/>
      <c r="Z6" s="11"/>
      <c r="AA6" s="11"/>
      <c r="AB6" s="11"/>
    </row>
    <row r="7" ht="14.25" customHeight="1">
      <c r="A7" s="6">
        <v>6.0</v>
      </c>
      <c r="B7" s="6" t="s">
        <v>23</v>
      </c>
      <c r="C7" s="6" t="s">
        <v>29</v>
      </c>
      <c r="D7" s="7">
        <v>8.0</v>
      </c>
      <c r="E7" s="7">
        <v>8.0</v>
      </c>
      <c r="F7" s="6"/>
      <c r="G7" s="7">
        <v>56.0</v>
      </c>
      <c r="H7" s="6"/>
      <c r="I7" s="6">
        <f t="shared" si="1"/>
        <v>114</v>
      </c>
      <c r="J7" s="6"/>
      <c r="K7" s="7">
        <v>170.0</v>
      </c>
      <c r="L7" s="6">
        <f t="shared" si="2"/>
        <v>0</v>
      </c>
      <c r="M7" s="6">
        <f t="shared" si="3"/>
        <v>170</v>
      </c>
      <c r="N7" s="6"/>
      <c r="O7" s="6">
        <v>11.31</v>
      </c>
      <c r="P7" s="6">
        <v>13.482</v>
      </c>
      <c r="Q7" s="6">
        <f t="shared" si="4"/>
        <v>198.336</v>
      </c>
      <c r="R7" s="8">
        <v>367765.0</v>
      </c>
      <c r="S7" s="8">
        <v>367867.0</v>
      </c>
      <c r="T7" s="8">
        <v>367867.0</v>
      </c>
      <c r="U7" s="9">
        <v>367968.0</v>
      </c>
      <c r="V7" s="10">
        <f t="shared" si="5"/>
        <v>102</v>
      </c>
      <c r="W7" s="10">
        <f t="shared" si="6"/>
        <v>101</v>
      </c>
      <c r="X7" s="11"/>
      <c r="Y7" s="11"/>
      <c r="Z7" s="11"/>
      <c r="AA7" s="11"/>
      <c r="AB7" s="11"/>
    </row>
    <row r="8" ht="14.25" customHeight="1">
      <c r="A8" s="6">
        <v>7.0</v>
      </c>
      <c r="B8" s="6" t="s">
        <v>23</v>
      </c>
      <c r="C8" s="6" t="s">
        <v>30</v>
      </c>
      <c r="D8" s="7">
        <v>8.0</v>
      </c>
      <c r="E8" s="7">
        <v>8.0</v>
      </c>
      <c r="F8" s="6"/>
      <c r="G8" s="7">
        <v>88.0</v>
      </c>
      <c r="H8" s="6"/>
      <c r="I8" s="6">
        <f t="shared" si="1"/>
        <v>86</v>
      </c>
      <c r="J8" s="6"/>
      <c r="K8" s="7">
        <v>174.0</v>
      </c>
      <c r="L8" s="6">
        <f t="shared" si="2"/>
        <v>0</v>
      </c>
      <c r="M8" s="6">
        <f t="shared" si="3"/>
        <v>174</v>
      </c>
      <c r="N8" s="6"/>
      <c r="O8" s="6">
        <v>11.31</v>
      </c>
      <c r="P8" s="6">
        <v>13.482</v>
      </c>
      <c r="Q8" s="6">
        <f t="shared" si="4"/>
        <v>198.336</v>
      </c>
      <c r="R8" s="8">
        <v>378922.0</v>
      </c>
      <c r="S8" s="8">
        <v>379026.0</v>
      </c>
      <c r="T8" s="8">
        <v>379026.0</v>
      </c>
      <c r="U8" s="9">
        <v>379129.0</v>
      </c>
      <c r="V8" s="10">
        <f t="shared" si="5"/>
        <v>104</v>
      </c>
      <c r="W8" s="10">
        <f t="shared" si="6"/>
        <v>103</v>
      </c>
      <c r="X8" s="11"/>
      <c r="Y8" s="11"/>
      <c r="Z8" s="11"/>
      <c r="AA8" s="11"/>
      <c r="AB8" s="11"/>
    </row>
    <row r="9" ht="14.25" customHeight="1">
      <c r="A9" s="6">
        <v>8.0</v>
      </c>
      <c r="B9" s="6" t="s">
        <v>23</v>
      </c>
      <c r="C9" s="6" t="s">
        <v>31</v>
      </c>
      <c r="D9" s="7">
        <v>8.0</v>
      </c>
      <c r="E9" s="7">
        <v>8.0</v>
      </c>
      <c r="F9" s="6"/>
      <c r="G9" s="7">
        <v>71.0</v>
      </c>
      <c r="H9" s="6"/>
      <c r="I9" s="6">
        <f t="shared" si="1"/>
        <v>47</v>
      </c>
      <c r="J9" s="7">
        <v>25.0</v>
      </c>
      <c r="K9" s="7">
        <v>118.0</v>
      </c>
      <c r="L9" s="6">
        <f t="shared" si="2"/>
        <v>25</v>
      </c>
      <c r="M9" s="6">
        <f t="shared" si="3"/>
        <v>143</v>
      </c>
      <c r="N9" s="6"/>
      <c r="O9" s="6">
        <v>11.31</v>
      </c>
      <c r="P9" s="6">
        <v>13.482</v>
      </c>
      <c r="Q9" s="6">
        <f t="shared" si="4"/>
        <v>198.336</v>
      </c>
      <c r="R9" s="8">
        <v>370224.0</v>
      </c>
      <c r="S9" s="8">
        <v>370324.0</v>
      </c>
      <c r="T9" s="8">
        <v>370324.0</v>
      </c>
      <c r="U9" s="9">
        <v>370426.0</v>
      </c>
      <c r="V9" s="10">
        <f t="shared" si="5"/>
        <v>100</v>
      </c>
      <c r="W9" s="10">
        <f t="shared" si="6"/>
        <v>102</v>
      </c>
      <c r="X9" s="11"/>
      <c r="Y9" s="11"/>
      <c r="Z9" s="11"/>
      <c r="AA9" s="11"/>
      <c r="AB9" s="11"/>
    </row>
    <row r="10" ht="14.25" customHeight="1">
      <c r="A10" s="6">
        <v>9.0</v>
      </c>
      <c r="B10" s="6" t="s">
        <v>23</v>
      </c>
      <c r="C10" s="6" t="s">
        <v>32</v>
      </c>
      <c r="D10" s="7">
        <v>8.0</v>
      </c>
      <c r="E10" s="7">
        <v>8.0</v>
      </c>
      <c r="F10" s="6"/>
      <c r="G10" s="7">
        <v>95.0</v>
      </c>
      <c r="H10" s="6"/>
      <c r="I10" s="6">
        <f t="shared" si="1"/>
        <v>79</v>
      </c>
      <c r="J10" s="6"/>
      <c r="K10" s="7">
        <v>174.0</v>
      </c>
      <c r="L10" s="6">
        <f t="shared" si="2"/>
        <v>0</v>
      </c>
      <c r="M10" s="6">
        <f t="shared" si="3"/>
        <v>174</v>
      </c>
      <c r="N10" s="6"/>
      <c r="O10" s="6">
        <v>11.31</v>
      </c>
      <c r="P10" s="6">
        <v>13.482</v>
      </c>
      <c r="Q10" s="6">
        <f t="shared" si="4"/>
        <v>198.336</v>
      </c>
      <c r="R10" s="8">
        <v>369720.0</v>
      </c>
      <c r="S10" s="8">
        <v>369823.0</v>
      </c>
      <c r="T10" s="8">
        <v>369823.0</v>
      </c>
      <c r="U10" s="9">
        <v>369925.0</v>
      </c>
      <c r="V10" s="10">
        <f t="shared" si="5"/>
        <v>103</v>
      </c>
      <c r="W10" s="10">
        <f t="shared" si="6"/>
        <v>102</v>
      </c>
      <c r="X10" s="11"/>
      <c r="Y10" s="11"/>
      <c r="Z10" s="11"/>
      <c r="AA10" s="11"/>
      <c r="AB10" s="11"/>
    </row>
    <row r="11" ht="14.25" customHeight="1">
      <c r="A11" s="6">
        <v>10.0</v>
      </c>
      <c r="B11" s="6" t="s">
        <v>23</v>
      </c>
      <c r="C11" s="6" t="s">
        <v>33</v>
      </c>
      <c r="D11" s="7">
        <v>7.0</v>
      </c>
      <c r="E11" s="7">
        <v>8.0</v>
      </c>
      <c r="F11" s="6"/>
      <c r="G11" s="7">
        <v>109.0</v>
      </c>
      <c r="H11" s="6"/>
      <c r="I11" s="6">
        <f t="shared" si="1"/>
        <v>81</v>
      </c>
      <c r="J11" s="6"/>
      <c r="K11" s="7">
        <v>190.0</v>
      </c>
      <c r="L11" s="6">
        <f t="shared" si="2"/>
        <v>0</v>
      </c>
      <c r="M11" s="6">
        <f t="shared" si="3"/>
        <v>190</v>
      </c>
      <c r="N11" s="6"/>
      <c r="O11" s="6">
        <v>11.31</v>
      </c>
      <c r="P11" s="6">
        <v>13.482</v>
      </c>
      <c r="Q11" s="6">
        <f t="shared" si="4"/>
        <v>187.026</v>
      </c>
      <c r="R11" s="8">
        <v>362096.0</v>
      </c>
      <c r="S11" s="8">
        <v>362186.0</v>
      </c>
      <c r="T11" s="8">
        <v>362186.0</v>
      </c>
      <c r="U11" s="9">
        <v>362286.0</v>
      </c>
      <c r="V11" s="10">
        <f t="shared" si="5"/>
        <v>90</v>
      </c>
      <c r="W11" s="10">
        <f t="shared" si="6"/>
        <v>100</v>
      </c>
      <c r="X11" s="11"/>
      <c r="Y11" s="11"/>
      <c r="Z11" s="11"/>
      <c r="AA11" s="11"/>
      <c r="AB11" s="11"/>
    </row>
    <row r="12" ht="14.25" customHeight="1">
      <c r="A12" s="6">
        <v>11.0</v>
      </c>
      <c r="B12" s="6" t="s">
        <v>23</v>
      </c>
      <c r="C12" s="6" t="s">
        <v>34</v>
      </c>
      <c r="D12" s="7">
        <v>7.0</v>
      </c>
      <c r="E12" s="7">
        <v>8.0</v>
      </c>
      <c r="F12" s="6"/>
      <c r="G12" s="7">
        <v>82.0</v>
      </c>
      <c r="H12" s="6"/>
      <c r="I12" s="6">
        <f t="shared" si="1"/>
        <v>89</v>
      </c>
      <c r="J12" s="6"/>
      <c r="K12" s="7">
        <v>171.0</v>
      </c>
      <c r="L12" s="6">
        <f t="shared" si="2"/>
        <v>0</v>
      </c>
      <c r="M12" s="6">
        <f t="shared" si="3"/>
        <v>171</v>
      </c>
      <c r="N12" s="6"/>
      <c r="O12" s="6">
        <v>11.31</v>
      </c>
      <c r="P12" s="6">
        <v>13.482</v>
      </c>
      <c r="Q12" s="6">
        <f t="shared" si="4"/>
        <v>187.026</v>
      </c>
      <c r="R12" s="8">
        <v>68150.0</v>
      </c>
      <c r="S12" s="8">
        <v>68241.0</v>
      </c>
      <c r="T12" s="8">
        <v>68241.0</v>
      </c>
      <c r="U12" s="9">
        <v>68344.0</v>
      </c>
      <c r="V12" s="10">
        <f t="shared" si="5"/>
        <v>91</v>
      </c>
      <c r="W12" s="10">
        <f t="shared" si="6"/>
        <v>103</v>
      </c>
      <c r="X12" s="11"/>
      <c r="Y12" s="11"/>
      <c r="Z12" s="11"/>
      <c r="AA12" s="11"/>
      <c r="AB12" s="11"/>
    </row>
    <row r="13" ht="14.25" customHeight="1">
      <c r="A13" s="6">
        <v>12.0</v>
      </c>
      <c r="B13" s="6" t="s">
        <v>23</v>
      </c>
      <c r="C13" s="39" t="s">
        <v>35</v>
      </c>
      <c r="D13" s="40">
        <v>4.0</v>
      </c>
      <c r="E13" s="40">
        <v>4.0</v>
      </c>
      <c r="F13" s="39"/>
      <c r="G13" s="39"/>
      <c r="H13" s="39"/>
      <c r="I13" s="39">
        <f t="shared" si="1"/>
        <v>113</v>
      </c>
      <c r="J13" s="39"/>
      <c r="K13" s="40">
        <v>113.0</v>
      </c>
      <c r="L13" s="39">
        <f t="shared" si="2"/>
        <v>0</v>
      </c>
      <c r="M13" s="39">
        <f t="shared" si="3"/>
        <v>113</v>
      </c>
      <c r="N13" s="40" t="s">
        <v>83</v>
      </c>
      <c r="O13" s="39">
        <v>11.31</v>
      </c>
      <c r="P13" s="39">
        <v>13.482</v>
      </c>
      <c r="Q13" s="39">
        <f t="shared" si="4"/>
        <v>99.168</v>
      </c>
      <c r="R13" s="41"/>
      <c r="S13" s="41"/>
      <c r="T13" s="130">
        <v>368776.0</v>
      </c>
      <c r="U13" s="131">
        <v>368876.0</v>
      </c>
      <c r="V13" s="43">
        <f t="shared" si="5"/>
        <v>0</v>
      </c>
      <c r="W13" s="43">
        <f t="shared" si="6"/>
        <v>100</v>
      </c>
      <c r="X13" s="11"/>
      <c r="Y13" s="11"/>
      <c r="Z13" s="11"/>
      <c r="AA13" s="11"/>
      <c r="AB13" s="11"/>
    </row>
    <row r="14" ht="14.25" customHeight="1">
      <c r="A14" s="6">
        <v>13.0</v>
      </c>
      <c r="B14" s="6" t="s">
        <v>23</v>
      </c>
      <c r="C14" s="34" t="s">
        <v>36</v>
      </c>
      <c r="D14" s="34"/>
      <c r="E14" s="34"/>
      <c r="F14" s="34"/>
      <c r="G14" s="34"/>
      <c r="H14" s="34"/>
      <c r="I14" s="34">
        <f t="shared" si="1"/>
        <v>0</v>
      </c>
      <c r="J14" s="34"/>
      <c r="K14" s="34"/>
      <c r="L14" s="34">
        <f t="shared" si="2"/>
        <v>0</v>
      </c>
      <c r="M14" s="34">
        <f t="shared" si="3"/>
        <v>0</v>
      </c>
      <c r="N14" s="35" t="s">
        <v>84</v>
      </c>
      <c r="O14" s="34">
        <v>11.31</v>
      </c>
      <c r="P14" s="34">
        <v>13.482</v>
      </c>
      <c r="Q14" s="34">
        <f t="shared" si="4"/>
        <v>0</v>
      </c>
      <c r="R14" s="36"/>
      <c r="S14" s="36"/>
      <c r="T14" s="36"/>
      <c r="U14" s="37"/>
      <c r="V14" s="38">
        <f t="shared" si="5"/>
        <v>0</v>
      </c>
      <c r="W14" s="38">
        <f t="shared" si="6"/>
        <v>0</v>
      </c>
      <c r="X14" s="11"/>
      <c r="Y14" s="11"/>
      <c r="Z14" s="11"/>
      <c r="AA14" s="11"/>
      <c r="AB14" s="11"/>
    </row>
    <row r="15" ht="14.25" customHeight="1">
      <c r="A15" s="6">
        <v>14.0</v>
      </c>
      <c r="B15" s="6" t="s">
        <v>23</v>
      </c>
      <c r="C15" s="6" t="s">
        <v>37</v>
      </c>
      <c r="D15" s="7">
        <v>7.0</v>
      </c>
      <c r="E15" s="7">
        <v>8.0</v>
      </c>
      <c r="F15" s="6"/>
      <c r="G15" s="7">
        <v>61.0</v>
      </c>
      <c r="H15" s="7">
        <v>50.0</v>
      </c>
      <c r="I15" s="6">
        <f t="shared" si="1"/>
        <v>107</v>
      </c>
      <c r="J15" s="6"/>
      <c r="K15" s="7">
        <v>168.0</v>
      </c>
      <c r="L15" s="6">
        <f t="shared" si="2"/>
        <v>50</v>
      </c>
      <c r="M15" s="6">
        <f t="shared" si="3"/>
        <v>218</v>
      </c>
      <c r="N15" s="6"/>
      <c r="O15" s="6">
        <v>11.31</v>
      </c>
      <c r="P15" s="6">
        <v>13.482</v>
      </c>
      <c r="Q15" s="6">
        <f t="shared" si="4"/>
        <v>187.026</v>
      </c>
      <c r="R15" s="8">
        <v>369942.0</v>
      </c>
      <c r="S15" s="8">
        <v>370032.0</v>
      </c>
      <c r="T15" s="8">
        <v>370032.0</v>
      </c>
      <c r="U15" s="9">
        <v>370135.0</v>
      </c>
      <c r="V15" s="10">
        <f t="shared" si="5"/>
        <v>90</v>
      </c>
      <c r="W15" s="10">
        <f t="shared" si="6"/>
        <v>103</v>
      </c>
      <c r="X15" s="11"/>
      <c r="Y15" s="11"/>
      <c r="Z15" s="11"/>
      <c r="AA15" s="11"/>
      <c r="AB15" s="11"/>
    </row>
    <row r="16" ht="14.25" customHeight="1">
      <c r="A16" s="6">
        <v>15.0</v>
      </c>
      <c r="B16" s="6" t="s">
        <v>23</v>
      </c>
      <c r="C16" s="6" t="s">
        <v>38</v>
      </c>
      <c r="D16" s="7">
        <v>7.0</v>
      </c>
      <c r="E16" s="7">
        <v>8.0</v>
      </c>
      <c r="F16" s="6"/>
      <c r="G16" s="7">
        <v>74.0</v>
      </c>
      <c r="H16" s="6"/>
      <c r="I16" s="6">
        <f t="shared" si="1"/>
        <v>82</v>
      </c>
      <c r="J16" s="6"/>
      <c r="K16" s="7">
        <v>156.0</v>
      </c>
      <c r="L16" s="6">
        <f t="shared" si="2"/>
        <v>0</v>
      </c>
      <c r="M16" s="6">
        <f t="shared" si="3"/>
        <v>156</v>
      </c>
      <c r="N16" s="6"/>
      <c r="O16" s="6">
        <v>11.31</v>
      </c>
      <c r="P16" s="6">
        <v>13.482</v>
      </c>
      <c r="Q16" s="6">
        <f t="shared" si="4"/>
        <v>187.026</v>
      </c>
      <c r="R16" s="8">
        <v>361173.0</v>
      </c>
      <c r="S16" s="8">
        <v>361263.0</v>
      </c>
      <c r="T16" s="8">
        <v>361263.0</v>
      </c>
      <c r="U16" s="9">
        <v>361365.0</v>
      </c>
      <c r="V16" s="10">
        <f t="shared" si="5"/>
        <v>90</v>
      </c>
      <c r="W16" s="10">
        <f t="shared" si="6"/>
        <v>102</v>
      </c>
      <c r="X16" s="11"/>
      <c r="Y16" s="11"/>
      <c r="Z16" s="11"/>
      <c r="AA16" s="11"/>
      <c r="AB16" s="11"/>
    </row>
    <row r="17" ht="14.25" customHeight="1">
      <c r="A17" s="6">
        <v>16.0</v>
      </c>
      <c r="B17" s="6" t="s">
        <v>23</v>
      </c>
      <c r="C17" s="6" t="s">
        <v>39</v>
      </c>
      <c r="D17" s="7">
        <v>7.0</v>
      </c>
      <c r="E17" s="7">
        <v>8.0</v>
      </c>
      <c r="F17" s="6"/>
      <c r="G17" s="7">
        <v>88.0</v>
      </c>
      <c r="H17" s="6"/>
      <c r="I17" s="6">
        <f t="shared" si="1"/>
        <v>47</v>
      </c>
      <c r="J17" s="6"/>
      <c r="K17" s="7">
        <v>135.0</v>
      </c>
      <c r="L17" s="6">
        <f t="shared" si="2"/>
        <v>0</v>
      </c>
      <c r="M17" s="6">
        <f t="shared" si="3"/>
        <v>135</v>
      </c>
      <c r="N17" s="6"/>
      <c r="O17" s="6">
        <v>11.31</v>
      </c>
      <c r="P17" s="6">
        <v>13.482</v>
      </c>
      <c r="Q17" s="6">
        <f t="shared" si="4"/>
        <v>187.026</v>
      </c>
      <c r="R17" s="8">
        <v>365478.0</v>
      </c>
      <c r="S17" s="8">
        <v>365569.0</v>
      </c>
      <c r="T17" s="8">
        <v>365569.0</v>
      </c>
      <c r="U17" s="9">
        <v>365673.0</v>
      </c>
      <c r="V17" s="10">
        <f t="shared" si="5"/>
        <v>91</v>
      </c>
      <c r="W17" s="10">
        <f t="shared" si="6"/>
        <v>104</v>
      </c>
      <c r="X17" s="11"/>
      <c r="Y17" s="11"/>
      <c r="Z17" s="11"/>
      <c r="AA17" s="11"/>
      <c r="AB17" s="11"/>
    </row>
    <row r="18" ht="14.25" customHeight="1">
      <c r="A18" s="6">
        <v>17.0</v>
      </c>
      <c r="B18" s="6" t="s">
        <v>23</v>
      </c>
      <c r="C18" s="6" t="s">
        <v>40</v>
      </c>
      <c r="D18" s="7">
        <v>7.0</v>
      </c>
      <c r="E18" s="7">
        <v>8.0</v>
      </c>
      <c r="F18" s="6"/>
      <c r="G18" s="7">
        <v>39.0</v>
      </c>
      <c r="H18" s="6"/>
      <c r="I18" s="6">
        <f t="shared" si="1"/>
        <v>68</v>
      </c>
      <c r="J18" s="6"/>
      <c r="K18" s="7">
        <v>107.0</v>
      </c>
      <c r="L18" s="6">
        <f t="shared" si="2"/>
        <v>0</v>
      </c>
      <c r="M18" s="6">
        <f t="shared" si="3"/>
        <v>107</v>
      </c>
      <c r="N18" s="6"/>
      <c r="O18" s="6">
        <v>11.31</v>
      </c>
      <c r="P18" s="6">
        <v>13.482</v>
      </c>
      <c r="Q18" s="6">
        <f t="shared" si="4"/>
        <v>187.026</v>
      </c>
      <c r="R18" s="8">
        <v>300720.0</v>
      </c>
      <c r="S18" s="8">
        <v>300813.0</v>
      </c>
      <c r="T18" s="8">
        <v>300813.0</v>
      </c>
      <c r="U18" s="9">
        <v>300915.0</v>
      </c>
      <c r="V18" s="10">
        <f t="shared" si="5"/>
        <v>93</v>
      </c>
      <c r="W18" s="10">
        <f t="shared" si="6"/>
        <v>102</v>
      </c>
      <c r="X18" s="11"/>
      <c r="Y18" s="11"/>
      <c r="Z18" s="11"/>
      <c r="AA18" s="11"/>
      <c r="AB18" s="11"/>
    </row>
    <row r="19" ht="14.25" customHeight="1">
      <c r="A19" s="6">
        <v>18.0</v>
      </c>
      <c r="B19" s="6" t="s">
        <v>23</v>
      </c>
      <c r="C19" s="6" t="s">
        <v>42</v>
      </c>
      <c r="D19" s="7">
        <v>7.0</v>
      </c>
      <c r="E19" s="7">
        <v>8.0</v>
      </c>
      <c r="F19" s="6"/>
      <c r="G19" s="7">
        <v>37.0</v>
      </c>
      <c r="H19" s="6"/>
      <c r="I19" s="6">
        <f t="shared" si="1"/>
        <v>76</v>
      </c>
      <c r="J19" s="6"/>
      <c r="K19" s="7">
        <v>113.0</v>
      </c>
      <c r="L19" s="6">
        <f t="shared" si="2"/>
        <v>0</v>
      </c>
      <c r="M19" s="6">
        <f t="shared" si="3"/>
        <v>113</v>
      </c>
      <c r="N19" s="6"/>
      <c r="O19" s="6">
        <v>11.31</v>
      </c>
      <c r="P19" s="6">
        <v>13.482</v>
      </c>
      <c r="Q19" s="6">
        <f t="shared" si="4"/>
        <v>187.026</v>
      </c>
      <c r="R19" s="8">
        <v>401906.0</v>
      </c>
      <c r="S19" s="8">
        <v>402001.0</v>
      </c>
      <c r="T19" s="8">
        <v>402001.0</v>
      </c>
      <c r="U19" s="9">
        <v>402110.0</v>
      </c>
      <c r="V19" s="10">
        <f t="shared" si="5"/>
        <v>95</v>
      </c>
      <c r="W19" s="10">
        <f t="shared" si="6"/>
        <v>109</v>
      </c>
      <c r="X19" s="11"/>
      <c r="Y19" s="11"/>
      <c r="Z19" s="11"/>
      <c r="AA19" s="11"/>
      <c r="AB19" s="11"/>
    </row>
    <row r="20" ht="14.25" customHeight="1">
      <c r="A20" s="6">
        <v>19.0</v>
      </c>
      <c r="B20" s="6" t="s">
        <v>23</v>
      </c>
      <c r="C20" s="6" t="s">
        <v>44</v>
      </c>
      <c r="D20" s="7">
        <v>7.0</v>
      </c>
      <c r="E20" s="7">
        <v>8.0</v>
      </c>
      <c r="F20" s="6"/>
      <c r="G20" s="7">
        <v>56.0</v>
      </c>
      <c r="H20" s="6"/>
      <c r="I20" s="6">
        <f t="shared" si="1"/>
        <v>72</v>
      </c>
      <c r="J20" s="6"/>
      <c r="K20" s="7">
        <v>128.0</v>
      </c>
      <c r="L20" s="6">
        <f t="shared" si="2"/>
        <v>0</v>
      </c>
      <c r="M20" s="6">
        <f t="shared" si="3"/>
        <v>128</v>
      </c>
      <c r="N20" s="6"/>
      <c r="O20" s="6">
        <v>11.31</v>
      </c>
      <c r="P20" s="6">
        <v>13.482</v>
      </c>
      <c r="Q20" s="6">
        <f t="shared" si="4"/>
        <v>187.026</v>
      </c>
      <c r="R20" s="8">
        <v>551165.0</v>
      </c>
      <c r="S20" s="8">
        <v>551260.0</v>
      </c>
      <c r="T20" s="8">
        <v>551260.0</v>
      </c>
      <c r="U20" s="9">
        <v>551367.0</v>
      </c>
      <c r="V20" s="10">
        <f t="shared" si="5"/>
        <v>95</v>
      </c>
      <c r="W20" s="10">
        <f t="shared" si="6"/>
        <v>107</v>
      </c>
      <c r="X20" s="11"/>
      <c r="Y20" s="11"/>
      <c r="Z20" s="11"/>
      <c r="AA20" s="11"/>
      <c r="AB20" s="11"/>
    </row>
    <row r="21" ht="14.25" customHeight="1">
      <c r="A21" s="6">
        <v>20.0</v>
      </c>
      <c r="B21" s="6" t="s">
        <v>23</v>
      </c>
      <c r="C21" s="6" t="s">
        <v>45</v>
      </c>
      <c r="D21" s="7">
        <v>9.0</v>
      </c>
      <c r="E21" s="7">
        <v>9.0</v>
      </c>
      <c r="F21" s="6"/>
      <c r="G21" s="7">
        <v>61.0</v>
      </c>
      <c r="H21" s="6"/>
      <c r="I21" s="6">
        <f t="shared" si="1"/>
        <v>67</v>
      </c>
      <c r="J21" s="6"/>
      <c r="K21" s="7">
        <v>128.0</v>
      </c>
      <c r="L21" s="6">
        <f t="shared" si="2"/>
        <v>0</v>
      </c>
      <c r="M21" s="6">
        <f t="shared" si="3"/>
        <v>128</v>
      </c>
      <c r="N21" s="6"/>
      <c r="O21" s="6">
        <v>11.31</v>
      </c>
      <c r="P21" s="6">
        <v>13.482</v>
      </c>
      <c r="Q21" s="6">
        <f t="shared" si="4"/>
        <v>223.128</v>
      </c>
      <c r="R21" s="8">
        <v>428165.0</v>
      </c>
      <c r="S21" s="8">
        <v>428302.0</v>
      </c>
      <c r="T21" s="8">
        <v>428302.0</v>
      </c>
      <c r="U21" s="9">
        <v>428410.0</v>
      </c>
      <c r="V21" s="10">
        <f t="shared" si="5"/>
        <v>137</v>
      </c>
      <c r="W21" s="10">
        <f t="shared" si="6"/>
        <v>108</v>
      </c>
      <c r="X21" s="11"/>
      <c r="Y21" s="11"/>
      <c r="Z21" s="11"/>
      <c r="AA21" s="11"/>
      <c r="AB21" s="11"/>
    </row>
    <row r="22" ht="14.25" customHeight="1">
      <c r="A22" s="6">
        <v>21.0</v>
      </c>
      <c r="B22" s="6" t="s">
        <v>23</v>
      </c>
      <c r="C22" s="6" t="s">
        <v>46</v>
      </c>
      <c r="D22" s="7">
        <v>9.0</v>
      </c>
      <c r="E22" s="7">
        <v>9.0</v>
      </c>
      <c r="F22" s="6"/>
      <c r="G22" s="7">
        <v>29.0</v>
      </c>
      <c r="H22" s="6"/>
      <c r="I22" s="6">
        <f t="shared" si="1"/>
        <v>101</v>
      </c>
      <c r="J22" s="6"/>
      <c r="K22" s="7">
        <v>130.0</v>
      </c>
      <c r="L22" s="6">
        <f t="shared" si="2"/>
        <v>0</v>
      </c>
      <c r="M22" s="6">
        <f t="shared" si="3"/>
        <v>130</v>
      </c>
      <c r="N22" s="6"/>
      <c r="O22" s="6">
        <v>11.31</v>
      </c>
      <c r="P22" s="6">
        <v>13.482</v>
      </c>
      <c r="Q22" s="6">
        <f t="shared" si="4"/>
        <v>223.128</v>
      </c>
      <c r="R22" s="8">
        <v>490001.0</v>
      </c>
      <c r="S22" s="8">
        <v>490108.0</v>
      </c>
      <c r="T22" s="8">
        <v>490108.0</v>
      </c>
      <c r="U22" s="9">
        <v>490244.0</v>
      </c>
      <c r="V22" s="10">
        <f t="shared" si="5"/>
        <v>107</v>
      </c>
      <c r="W22" s="10">
        <f t="shared" si="6"/>
        <v>136</v>
      </c>
      <c r="X22" s="11"/>
      <c r="Y22" s="11"/>
      <c r="Z22" s="11"/>
      <c r="AA22" s="11"/>
      <c r="AB22" s="11"/>
    </row>
    <row r="23" ht="14.25" customHeight="1">
      <c r="A23" s="6">
        <v>22.0</v>
      </c>
      <c r="B23" s="6" t="s">
        <v>23</v>
      </c>
      <c r="C23" s="39" t="s">
        <v>47</v>
      </c>
      <c r="D23" s="40">
        <v>6.0</v>
      </c>
      <c r="E23" s="40">
        <v>5.0</v>
      </c>
      <c r="F23" s="39"/>
      <c r="G23" s="40">
        <v>24.0</v>
      </c>
      <c r="H23" s="39"/>
      <c r="I23" s="39">
        <f t="shared" si="1"/>
        <v>101</v>
      </c>
      <c r="J23" s="39"/>
      <c r="K23" s="40">
        <v>125.0</v>
      </c>
      <c r="L23" s="39">
        <f t="shared" si="2"/>
        <v>0</v>
      </c>
      <c r="M23" s="39">
        <f t="shared" si="3"/>
        <v>125</v>
      </c>
      <c r="N23" s="40" t="s">
        <v>85</v>
      </c>
      <c r="O23" s="39">
        <v>11.31</v>
      </c>
      <c r="P23" s="39">
        <v>13.482</v>
      </c>
      <c r="Q23" s="39">
        <f t="shared" si="4"/>
        <v>135.27</v>
      </c>
      <c r="R23" s="130">
        <v>379516.0</v>
      </c>
      <c r="S23" s="130">
        <v>379529.0</v>
      </c>
      <c r="T23" s="130">
        <v>379556.0</v>
      </c>
      <c r="U23" s="131">
        <v>379688.0</v>
      </c>
      <c r="V23" s="43">
        <f t="shared" si="5"/>
        <v>13</v>
      </c>
      <c r="W23" s="43">
        <f t="shared" si="6"/>
        <v>132</v>
      </c>
      <c r="X23" s="11"/>
      <c r="Y23" s="11"/>
      <c r="Z23" s="11"/>
      <c r="AA23" s="11"/>
      <c r="AB23" s="11"/>
    </row>
    <row r="24" ht="14.25" customHeight="1">
      <c r="A24" s="6">
        <v>23.0</v>
      </c>
      <c r="B24" s="6" t="s">
        <v>23</v>
      </c>
      <c r="C24" s="6" t="s">
        <v>49</v>
      </c>
      <c r="D24" s="7">
        <v>9.0</v>
      </c>
      <c r="E24" s="7">
        <v>9.0</v>
      </c>
      <c r="F24" s="6"/>
      <c r="G24" s="7">
        <v>72.0</v>
      </c>
      <c r="H24" s="6"/>
      <c r="I24" s="6">
        <f t="shared" si="1"/>
        <v>10</v>
      </c>
      <c r="J24" s="7">
        <v>83.0</v>
      </c>
      <c r="K24" s="7">
        <v>82.0</v>
      </c>
      <c r="L24" s="6">
        <f t="shared" si="2"/>
        <v>83</v>
      </c>
      <c r="M24" s="6">
        <f t="shared" si="3"/>
        <v>165</v>
      </c>
      <c r="N24" s="6"/>
      <c r="O24" s="6">
        <v>11.31</v>
      </c>
      <c r="P24" s="6">
        <v>13.482</v>
      </c>
      <c r="Q24" s="6">
        <f t="shared" si="4"/>
        <v>223.128</v>
      </c>
      <c r="R24" s="8">
        <v>256648.0</v>
      </c>
      <c r="S24" s="8">
        <v>256775.0</v>
      </c>
      <c r="T24" s="8">
        <v>256775.0</v>
      </c>
      <c r="U24" s="9">
        <v>256876.0</v>
      </c>
      <c r="V24" s="10">
        <f t="shared" si="5"/>
        <v>127</v>
      </c>
      <c r="W24" s="10">
        <f t="shared" si="6"/>
        <v>101</v>
      </c>
      <c r="X24" s="11"/>
      <c r="Y24" s="11"/>
      <c r="Z24" s="11"/>
      <c r="AA24" s="11"/>
      <c r="AB24" s="11"/>
    </row>
    <row r="25" ht="14.25" customHeight="1">
      <c r="A25" s="6">
        <v>24.0</v>
      </c>
      <c r="B25" s="6" t="s">
        <v>23</v>
      </c>
      <c r="C25" s="6" t="s">
        <v>50</v>
      </c>
      <c r="D25" s="7">
        <v>9.0</v>
      </c>
      <c r="E25" s="7">
        <v>9.0</v>
      </c>
      <c r="F25" s="6"/>
      <c r="G25" s="7">
        <v>86.0</v>
      </c>
      <c r="H25" s="6"/>
      <c r="I25" s="6">
        <f t="shared" si="1"/>
        <v>95</v>
      </c>
      <c r="J25" s="6"/>
      <c r="K25" s="7">
        <v>181.0</v>
      </c>
      <c r="L25" s="6">
        <f t="shared" si="2"/>
        <v>0</v>
      </c>
      <c r="M25" s="6">
        <f t="shared" si="3"/>
        <v>181</v>
      </c>
      <c r="N25" s="6"/>
      <c r="O25" s="6">
        <v>11.31</v>
      </c>
      <c r="P25" s="6">
        <v>13.482</v>
      </c>
      <c r="Q25" s="6">
        <f t="shared" si="4"/>
        <v>223.128</v>
      </c>
      <c r="R25" s="8">
        <v>255675.0</v>
      </c>
      <c r="S25" s="8">
        <v>255777.0</v>
      </c>
      <c r="T25" s="8">
        <v>255777.0</v>
      </c>
      <c r="U25" s="9">
        <v>255904.0</v>
      </c>
      <c r="V25" s="10">
        <f t="shared" si="5"/>
        <v>102</v>
      </c>
      <c r="W25" s="10">
        <f t="shared" si="6"/>
        <v>127</v>
      </c>
      <c r="X25" s="11"/>
      <c r="Y25" s="11"/>
      <c r="Z25" s="11"/>
      <c r="AA25" s="11"/>
      <c r="AB25" s="11"/>
    </row>
    <row r="26" ht="14.25" customHeight="1">
      <c r="A26" s="6">
        <v>25.0</v>
      </c>
      <c r="B26" s="6" t="s">
        <v>23</v>
      </c>
      <c r="C26" s="6" t="s">
        <v>51</v>
      </c>
      <c r="D26" s="7">
        <v>9.0</v>
      </c>
      <c r="E26" s="7">
        <v>9.0</v>
      </c>
      <c r="F26" s="6"/>
      <c r="G26" s="7">
        <v>65.0</v>
      </c>
      <c r="H26" s="6"/>
      <c r="I26" s="6">
        <f t="shared" si="1"/>
        <v>119</v>
      </c>
      <c r="J26" s="6"/>
      <c r="K26" s="7">
        <v>184.0</v>
      </c>
      <c r="L26" s="6">
        <f t="shared" si="2"/>
        <v>0</v>
      </c>
      <c r="M26" s="6">
        <f t="shared" si="3"/>
        <v>184</v>
      </c>
      <c r="N26" s="6"/>
      <c r="O26" s="6">
        <v>11.31</v>
      </c>
      <c r="P26" s="6">
        <v>13.482</v>
      </c>
      <c r="Q26" s="6">
        <f t="shared" si="4"/>
        <v>223.128</v>
      </c>
      <c r="R26" s="8">
        <v>257961.0</v>
      </c>
      <c r="S26" s="8">
        <v>258091.0</v>
      </c>
      <c r="T26" s="8">
        <v>258091.0</v>
      </c>
      <c r="U26" s="9">
        <v>258194.0</v>
      </c>
      <c r="V26" s="10">
        <f t="shared" si="5"/>
        <v>130</v>
      </c>
      <c r="W26" s="10">
        <f t="shared" si="6"/>
        <v>103</v>
      </c>
      <c r="X26" s="11"/>
      <c r="Y26" s="11"/>
      <c r="Z26" s="11"/>
      <c r="AA26" s="11"/>
      <c r="AB26" s="11"/>
    </row>
    <row r="27" ht="14.25" customHeight="1">
      <c r="A27" s="6">
        <v>26.0</v>
      </c>
      <c r="B27" s="6" t="s">
        <v>23</v>
      </c>
      <c r="C27" s="6" t="s">
        <v>52</v>
      </c>
      <c r="D27" s="7">
        <v>8.0</v>
      </c>
      <c r="E27" s="7">
        <v>8.0</v>
      </c>
      <c r="F27" s="6"/>
      <c r="G27" s="7">
        <v>86.0</v>
      </c>
      <c r="H27" s="6"/>
      <c r="I27" s="6">
        <f t="shared" si="1"/>
        <v>85</v>
      </c>
      <c r="J27" s="6"/>
      <c r="K27" s="7">
        <v>171.0</v>
      </c>
      <c r="L27" s="6">
        <f t="shared" si="2"/>
        <v>0</v>
      </c>
      <c r="M27" s="6">
        <f t="shared" si="3"/>
        <v>171</v>
      </c>
      <c r="N27" s="6"/>
      <c r="O27" s="6">
        <v>11.31</v>
      </c>
      <c r="P27" s="6">
        <v>13.482</v>
      </c>
      <c r="Q27" s="6">
        <f t="shared" si="4"/>
        <v>198.336</v>
      </c>
      <c r="R27" s="8">
        <v>256228.0</v>
      </c>
      <c r="S27" s="8">
        <v>256332.0</v>
      </c>
      <c r="T27" s="8">
        <v>256332.0</v>
      </c>
      <c r="U27" s="9">
        <v>256436.0</v>
      </c>
      <c r="V27" s="10">
        <f t="shared" si="5"/>
        <v>104</v>
      </c>
      <c r="W27" s="10">
        <f t="shared" si="6"/>
        <v>104</v>
      </c>
      <c r="X27" s="11"/>
      <c r="Y27" s="11"/>
      <c r="Z27" s="11"/>
      <c r="AA27" s="11"/>
      <c r="AB27" s="11"/>
    </row>
    <row r="28" ht="14.25" customHeight="1">
      <c r="A28" s="6">
        <v>27.0</v>
      </c>
      <c r="B28" s="6" t="s">
        <v>23</v>
      </c>
      <c r="C28" s="6" t="s">
        <v>53</v>
      </c>
      <c r="D28" s="7">
        <v>8.0</v>
      </c>
      <c r="E28" s="7">
        <v>8.0</v>
      </c>
      <c r="F28" s="6"/>
      <c r="G28" s="7">
        <v>92.0</v>
      </c>
      <c r="H28" s="6"/>
      <c r="I28" s="6">
        <f t="shared" si="1"/>
        <v>146</v>
      </c>
      <c r="J28" s="6"/>
      <c r="K28" s="7">
        <v>238.0</v>
      </c>
      <c r="L28" s="6">
        <f t="shared" si="2"/>
        <v>0</v>
      </c>
      <c r="M28" s="6">
        <f t="shared" si="3"/>
        <v>238</v>
      </c>
      <c r="N28" s="6"/>
      <c r="O28" s="6">
        <v>11.31</v>
      </c>
      <c r="P28" s="6">
        <v>13.482</v>
      </c>
      <c r="Q28" s="6">
        <f t="shared" si="4"/>
        <v>198.336</v>
      </c>
      <c r="R28" s="8">
        <v>452710.0</v>
      </c>
      <c r="S28" s="8">
        <v>452817.0</v>
      </c>
      <c r="T28" s="8">
        <v>452817.0</v>
      </c>
      <c r="U28" s="9">
        <v>452925.0</v>
      </c>
      <c r="V28" s="10">
        <f t="shared" si="5"/>
        <v>107</v>
      </c>
      <c r="W28" s="10">
        <f t="shared" si="6"/>
        <v>108</v>
      </c>
      <c r="X28" s="11"/>
      <c r="Y28" s="11"/>
      <c r="Z28" s="11"/>
      <c r="AA28" s="11"/>
      <c r="AB28" s="11"/>
    </row>
    <row r="29" ht="14.25" customHeight="1">
      <c r="A29" s="6">
        <v>28.0</v>
      </c>
      <c r="B29" s="6" t="s">
        <v>23</v>
      </c>
      <c r="C29" s="6" t="s">
        <v>54</v>
      </c>
      <c r="D29" s="7">
        <v>8.0</v>
      </c>
      <c r="E29" s="7">
        <v>8.0</v>
      </c>
      <c r="F29" s="6"/>
      <c r="G29" s="7">
        <v>76.0</v>
      </c>
      <c r="H29" s="6"/>
      <c r="I29" s="6">
        <f t="shared" si="1"/>
        <v>104</v>
      </c>
      <c r="J29" s="6"/>
      <c r="K29" s="7">
        <v>180.0</v>
      </c>
      <c r="L29" s="6">
        <f t="shared" si="2"/>
        <v>0</v>
      </c>
      <c r="M29" s="6">
        <f t="shared" si="3"/>
        <v>180</v>
      </c>
      <c r="N29" s="6"/>
      <c r="O29" s="6">
        <v>11.31</v>
      </c>
      <c r="P29" s="6">
        <v>13.482</v>
      </c>
      <c r="Q29" s="6">
        <f t="shared" si="4"/>
        <v>198.336</v>
      </c>
      <c r="R29" s="8">
        <v>266769.0</v>
      </c>
      <c r="S29" s="8">
        <v>266872.0</v>
      </c>
      <c r="T29" s="8">
        <v>266872.0</v>
      </c>
      <c r="U29" s="9">
        <v>266974.0</v>
      </c>
      <c r="V29" s="10">
        <f t="shared" si="5"/>
        <v>103</v>
      </c>
      <c r="W29" s="10">
        <f t="shared" si="6"/>
        <v>102</v>
      </c>
      <c r="X29" s="11"/>
      <c r="Y29" s="11"/>
      <c r="Z29" s="11"/>
      <c r="AA29" s="11"/>
      <c r="AB29" s="11"/>
    </row>
    <row r="30" ht="14.25" customHeight="1">
      <c r="A30" s="6">
        <v>29.0</v>
      </c>
      <c r="B30" s="6" t="s">
        <v>23</v>
      </c>
      <c r="C30" s="6" t="s">
        <v>55</v>
      </c>
      <c r="D30" s="7">
        <v>8.0</v>
      </c>
      <c r="E30" s="7">
        <v>8.0</v>
      </c>
      <c r="F30" s="6"/>
      <c r="G30" s="7">
        <v>92.0</v>
      </c>
      <c r="H30" s="6"/>
      <c r="I30" s="6">
        <f t="shared" si="1"/>
        <v>97</v>
      </c>
      <c r="J30" s="6"/>
      <c r="K30" s="7">
        <v>189.0</v>
      </c>
      <c r="L30" s="6">
        <f t="shared" si="2"/>
        <v>0</v>
      </c>
      <c r="M30" s="6">
        <f t="shared" si="3"/>
        <v>189</v>
      </c>
      <c r="N30" s="6"/>
      <c r="O30" s="6">
        <v>11.31</v>
      </c>
      <c r="P30" s="6">
        <v>13.482</v>
      </c>
      <c r="Q30" s="6">
        <f t="shared" si="4"/>
        <v>198.336</v>
      </c>
      <c r="R30" s="8">
        <v>269619.0</v>
      </c>
      <c r="S30" s="8">
        <v>269723.0</v>
      </c>
      <c r="T30" s="8">
        <v>269723.0</v>
      </c>
      <c r="U30" s="9">
        <v>269827.0</v>
      </c>
      <c r="V30" s="10">
        <f t="shared" si="5"/>
        <v>104</v>
      </c>
      <c r="W30" s="10">
        <f t="shared" si="6"/>
        <v>104</v>
      </c>
      <c r="X30" s="11"/>
      <c r="Y30" s="11"/>
      <c r="Z30" s="11"/>
      <c r="AA30" s="11"/>
      <c r="AB30" s="11"/>
    </row>
    <row r="31" ht="14.25" customHeight="1">
      <c r="A31" s="6">
        <v>30.0</v>
      </c>
      <c r="B31" s="6" t="s">
        <v>23</v>
      </c>
      <c r="C31" s="6" t="s">
        <v>56</v>
      </c>
      <c r="D31" s="7">
        <v>8.0</v>
      </c>
      <c r="E31" s="7">
        <v>8.0</v>
      </c>
      <c r="F31" s="6"/>
      <c r="G31" s="7">
        <v>99.0</v>
      </c>
      <c r="H31" s="6"/>
      <c r="I31" s="6">
        <f t="shared" si="1"/>
        <v>41</v>
      </c>
      <c r="J31" s="6"/>
      <c r="K31" s="7">
        <v>140.0</v>
      </c>
      <c r="L31" s="6">
        <f t="shared" si="2"/>
        <v>0</v>
      </c>
      <c r="M31" s="6">
        <f t="shared" si="3"/>
        <v>140</v>
      </c>
      <c r="N31" s="6"/>
      <c r="O31" s="6">
        <v>11.31</v>
      </c>
      <c r="P31" s="6">
        <v>13.482</v>
      </c>
      <c r="Q31" s="6">
        <f t="shared" si="4"/>
        <v>198.336</v>
      </c>
      <c r="R31" s="8">
        <v>293121.0</v>
      </c>
      <c r="S31" s="8">
        <v>293221.0</v>
      </c>
      <c r="T31" s="8">
        <v>293221.0</v>
      </c>
      <c r="U31" s="9">
        <v>293321.0</v>
      </c>
      <c r="V31" s="10">
        <f t="shared" si="5"/>
        <v>100</v>
      </c>
      <c r="W31" s="10">
        <f t="shared" si="6"/>
        <v>100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23" t="s">
        <v>57</v>
      </c>
      <c r="E32" s="23">
        <f>SUM(M:M)</f>
        <v>4718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23" t="s">
        <v>58</v>
      </c>
      <c r="E33" s="23">
        <f>SUM(Q:Q)</f>
        <v>5622.99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23" t="s">
        <v>59</v>
      </c>
      <c r="E34" s="23">
        <f>E32/E33</f>
        <v>0.839055378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25"/>
      <c r="E35" s="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26" t="s">
        <v>60</v>
      </c>
      <c r="E36" s="26">
        <f>AVERAGEIF(Q:Q,"&gt;0",Q:Q)</f>
        <v>193.8962069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25"/>
      <c r="E37" s="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27" t="s">
        <v>61</v>
      </c>
      <c r="E38" s="27">
        <f>SUM(G:G)</f>
        <v>2006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27" t="s">
        <v>62</v>
      </c>
      <c r="E39" s="27">
        <f>SUM(H:H)</f>
        <v>50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27" t="s">
        <v>63</v>
      </c>
      <c r="E40" s="27">
        <f>E39+E38</f>
        <v>2056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25"/>
      <c r="E41" s="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28" t="s">
        <v>64</v>
      </c>
      <c r="E42" s="28">
        <f>SUM(I:I)</f>
        <v>2554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28" t="s">
        <v>65</v>
      </c>
      <c r="E43" s="28">
        <f>SUM(J:J)</f>
        <v>108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28" t="s">
        <v>66</v>
      </c>
      <c r="E44" s="28">
        <f>E43+E42</f>
        <v>2662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25"/>
      <c r="E45" s="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29" t="s">
        <v>10</v>
      </c>
      <c r="E46" s="29">
        <f t="shared" ref="E46:E47" si="7">E42+E38</f>
        <v>4560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29" t="s">
        <v>11</v>
      </c>
      <c r="E47" s="29">
        <f t="shared" si="7"/>
        <v>158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25"/>
      <c r="E48" s="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25"/>
      <c r="E49" s="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25"/>
      <c r="E50" s="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25"/>
      <c r="E51" s="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.86"/>
    <col customWidth="1" min="2" max="2" width="5.86"/>
    <col customWidth="1" min="3" max="3" width="14.57"/>
    <col customWidth="1" min="4" max="4" width="17.57"/>
    <col customWidth="1" min="5" max="5" width="16.86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1" width="8.29"/>
    <col customWidth="1" min="12" max="12" width="9.43"/>
    <col customWidth="1" min="13" max="13" width="11.86"/>
    <col customWidth="1" min="14" max="14" width="24.0"/>
    <col customWidth="1" min="15" max="15" width="6.71"/>
    <col customWidth="1" min="16" max="16" width="7.71"/>
    <col customWidth="1" min="17" max="17" width="8.0"/>
    <col customWidth="1" min="18" max="28" width="8.71"/>
  </cols>
  <sheetData>
    <row r="1" ht="30.75" customHeight="1">
      <c r="A1" s="132" t="s">
        <v>0</v>
      </c>
      <c r="B1" s="132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1" t="s">
        <v>17</v>
      </c>
      <c r="S1" s="52" t="s">
        <v>18</v>
      </c>
      <c r="T1" s="52" t="s">
        <v>19</v>
      </c>
      <c r="U1" s="52" t="s">
        <v>20</v>
      </c>
      <c r="V1" s="53" t="s">
        <v>21</v>
      </c>
      <c r="W1" s="53" t="s">
        <v>22</v>
      </c>
      <c r="X1" s="54"/>
      <c r="Y1" s="54"/>
      <c r="Z1" s="54"/>
      <c r="AA1" s="54"/>
      <c r="AB1" s="54"/>
    </row>
    <row r="2" ht="14.25" customHeight="1">
      <c r="A2" s="133">
        <v>1.0</v>
      </c>
      <c r="B2" s="133" t="s">
        <v>23</v>
      </c>
      <c r="C2" s="56" t="s">
        <v>24</v>
      </c>
      <c r="D2" s="134">
        <v>8.0</v>
      </c>
      <c r="E2" s="134">
        <v>8.0</v>
      </c>
      <c r="F2" s="135"/>
      <c r="G2" s="134">
        <v>53.0</v>
      </c>
      <c r="H2" s="135"/>
      <c r="I2" s="56">
        <f t="shared" ref="I2:I31" si="1">max(0,K2-G2)</f>
        <v>105</v>
      </c>
      <c r="J2" s="135"/>
      <c r="K2" s="134">
        <v>158.0</v>
      </c>
      <c r="L2" s="56">
        <f t="shared" ref="L2:L31" si="2">J2+H2</f>
        <v>0</v>
      </c>
      <c r="M2" s="56">
        <f t="shared" ref="M2:M31" si="3">G2+H2+I2+J2</f>
        <v>158</v>
      </c>
      <c r="N2" s="136"/>
      <c r="O2" s="56">
        <v>11.31</v>
      </c>
      <c r="P2" s="56">
        <v>13.482</v>
      </c>
      <c r="Q2" s="56">
        <f t="shared" ref="Q2:Q31" si="4">(O2*D2)+(P2*E2)</f>
        <v>198.336</v>
      </c>
      <c r="R2" s="9">
        <v>365392.0</v>
      </c>
      <c r="S2" s="60"/>
      <c r="T2" s="60"/>
      <c r="U2" s="60"/>
      <c r="V2" s="62">
        <f t="shared" ref="V2:V31" si="5">S2-R2</f>
        <v>-365392</v>
      </c>
      <c r="W2" s="62">
        <f t="shared" ref="W2:W31" si="6">U2-T2</f>
        <v>0</v>
      </c>
      <c r="X2" s="63"/>
      <c r="Y2" s="63"/>
      <c r="Z2" s="63"/>
      <c r="AA2" s="63"/>
      <c r="AB2" s="63"/>
    </row>
    <row r="3" ht="14.25" customHeight="1">
      <c r="A3" s="133">
        <v>2.0</v>
      </c>
      <c r="B3" s="133" t="s">
        <v>23</v>
      </c>
      <c r="C3" s="56" t="s">
        <v>25</v>
      </c>
      <c r="D3" s="134">
        <v>8.0</v>
      </c>
      <c r="E3" s="134">
        <v>8.0</v>
      </c>
      <c r="F3" s="135"/>
      <c r="G3" s="134">
        <v>80.0</v>
      </c>
      <c r="H3" s="135"/>
      <c r="I3" s="56">
        <f t="shared" si="1"/>
        <v>106</v>
      </c>
      <c r="J3" s="135"/>
      <c r="K3" s="134">
        <v>186.0</v>
      </c>
      <c r="L3" s="56">
        <f t="shared" si="2"/>
        <v>0</v>
      </c>
      <c r="M3" s="56">
        <f t="shared" si="3"/>
        <v>186</v>
      </c>
      <c r="N3" s="136"/>
      <c r="O3" s="56">
        <v>11.31</v>
      </c>
      <c r="P3" s="56">
        <v>13.482</v>
      </c>
      <c r="Q3" s="56">
        <f t="shared" si="4"/>
        <v>198.336</v>
      </c>
      <c r="R3" s="9">
        <v>359547.0</v>
      </c>
      <c r="S3" s="60"/>
      <c r="T3" s="60"/>
      <c r="U3" s="60"/>
      <c r="V3" s="62">
        <f t="shared" si="5"/>
        <v>-359547</v>
      </c>
      <c r="W3" s="62">
        <f t="shared" si="6"/>
        <v>0</v>
      </c>
      <c r="X3" s="63"/>
      <c r="Y3" s="63"/>
      <c r="Z3" s="63"/>
      <c r="AA3" s="63"/>
      <c r="AB3" s="63"/>
    </row>
    <row r="4" ht="14.25" customHeight="1">
      <c r="A4" s="133">
        <v>3.0</v>
      </c>
      <c r="B4" s="133" t="s">
        <v>23</v>
      </c>
      <c r="C4" s="56" t="s">
        <v>26</v>
      </c>
      <c r="D4" s="134">
        <v>8.0</v>
      </c>
      <c r="E4" s="134">
        <v>8.0</v>
      </c>
      <c r="F4" s="135"/>
      <c r="G4" s="134">
        <v>52.0</v>
      </c>
      <c r="H4" s="135"/>
      <c r="I4" s="56">
        <f t="shared" si="1"/>
        <v>105</v>
      </c>
      <c r="J4" s="135"/>
      <c r="K4" s="134">
        <v>157.0</v>
      </c>
      <c r="L4" s="56">
        <f t="shared" si="2"/>
        <v>0</v>
      </c>
      <c r="M4" s="56">
        <f t="shared" si="3"/>
        <v>157</v>
      </c>
      <c r="N4" s="136"/>
      <c r="O4" s="56">
        <v>11.31</v>
      </c>
      <c r="P4" s="56">
        <v>13.482</v>
      </c>
      <c r="Q4" s="56">
        <f t="shared" si="4"/>
        <v>198.336</v>
      </c>
      <c r="R4" s="9">
        <v>364342.0</v>
      </c>
      <c r="S4" s="64"/>
      <c r="T4" s="64"/>
      <c r="U4" s="60"/>
      <c r="V4" s="62">
        <f t="shared" si="5"/>
        <v>-364342</v>
      </c>
      <c r="W4" s="62">
        <f t="shared" si="6"/>
        <v>0</v>
      </c>
      <c r="X4" s="63"/>
      <c r="Y4" s="63"/>
      <c r="Z4" s="63"/>
      <c r="AA4" s="63"/>
      <c r="AB4" s="63"/>
    </row>
    <row r="5" ht="14.25" customHeight="1">
      <c r="A5" s="133">
        <v>4.0</v>
      </c>
      <c r="B5" s="133" t="s">
        <v>23</v>
      </c>
      <c r="C5" s="56" t="s">
        <v>27</v>
      </c>
      <c r="D5" s="134">
        <v>8.0</v>
      </c>
      <c r="E5" s="134">
        <v>8.0</v>
      </c>
      <c r="F5" s="135"/>
      <c r="G5" s="134">
        <v>41.0</v>
      </c>
      <c r="H5" s="135"/>
      <c r="I5" s="56">
        <f t="shared" si="1"/>
        <v>104</v>
      </c>
      <c r="J5" s="135"/>
      <c r="K5" s="134">
        <v>145.0</v>
      </c>
      <c r="L5" s="56">
        <f t="shared" si="2"/>
        <v>0</v>
      </c>
      <c r="M5" s="56">
        <f t="shared" si="3"/>
        <v>145</v>
      </c>
      <c r="N5" s="136"/>
      <c r="O5" s="56">
        <v>11.31</v>
      </c>
      <c r="P5" s="56">
        <v>13.482</v>
      </c>
      <c r="Q5" s="56">
        <f t="shared" si="4"/>
        <v>198.336</v>
      </c>
      <c r="R5" s="9">
        <v>364054.0</v>
      </c>
      <c r="S5" s="64"/>
      <c r="T5" s="64"/>
      <c r="U5" s="60"/>
      <c r="V5" s="62">
        <f t="shared" si="5"/>
        <v>-364054</v>
      </c>
      <c r="W5" s="62">
        <f t="shared" si="6"/>
        <v>0</v>
      </c>
      <c r="X5" s="63"/>
      <c r="Y5" s="63"/>
      <c r="Z5" s="63"/>
      <c r="AA5" s="63"/>
      <c r="AB5" s="63"/>
    </row>
    <row r="6" ht="14.25" customHeight="1">
      <c r="A6" s="133">
        <v>5.0</v>
      </c>
      <c r="B6" s="133" t="s">
        <v>23</v>
      </c>
      <c r="C6" s="65" t="s">
        <v>28</v>
      </c>
      <c r="D6" s="137"/>
      <c r="E6" s="137"/>
      <c r="F6" s="138"/>
      <c r="G6" s="138"/>
      <c r="H6" s="138"/>
      <c r="I6" s="65">
        <f t="shared" si="1"/>
        <v>0</v>
      </c>
      <c r="J6" s="138"/>
      <c r="K6" s="138"/>
      <c r="L6" s="65">
        <f t="shared" si="2"/>
        <v>0</v>
      </c>
      <c r="M6" s="65">
        <f t="shared" si="3"/>
        <v>0</v>
      </c>
      <c r="N6" s="139" t="s">
        <v>86</v>
      </c>
      <c r="O6" s="65">
        <v>11.31</v>
      </c>
      <c r="P6" s="65">
        <v>13.482</v>
      </c>
      <c r="Q6" s="65">
        <f t="shared" si="4"/>
        <v>0</v>
      </c>
      <c r="R6" s="140"/>
      <c r="S6" s="67"/>
      <c r="T6" s="67"/>
      <c r="U6" s="68"/>
      <c r="V6" s="69">
        <f t="shared" si="5"/>
        <v>0</v>
      </c>
      <c r="W6" s="69">
        <f t="shared" si="6"/>
        <v>0</v>
      </c>
      <c r="X6" s="63"/>
      <c r="Y6" s="63"/>
      <c r="Z6" s="63"/>
      <c r="AA6" s="63"/>
      <c r="AB6" s="63"/>
    </row>
    <row r="7" ht="14.25" customHeight="1">
      <c r="A7" s="133">
        <v>6.0</v>
      </c>
      <c r="B7" s="133" t="s">
        <v>23</v>
      </c>
      <c r="C7" s="56" t="s">
        <v>29</v>
      </c>
      <c r="D7" s="134">
        <v>8.0</v>
      </c>
      <c r="E7" s="134">
        <v>8.0</v>
      </c>
      <c r="F7" s="135"/>
      <c r="G7" s="134">
        <v>44.0</v>
      </c>
      <c r="H7" s="135"/>
      <c r="I7" s="56">
        <f t="shared" si="1"/>
        <v>127</v>
      </c>
      <c r="J7" s="135"/>
      <c r="K7" s="134">
        <v>171.0</v>
      </c>
      <c r="L7" s="56">
        <f t="shared" si="2"/>
        <v>0</v>
      </c>
      <c r="M7" s="56">
        <f t="shared" si="3"/>
        <v>171</v>
      </c>
      <c r="N7" s="136"/>
      <c r="O7" s="56">
        <v>11.31</v>
      </c>
      <c r="P7" s="56">
        <v>13.482</v>
      </c>
      <c r="Q7" s="56">
        <f t="shared" si="4"/>
        <v>198.336</v>
      </c>
      <c r="R7" s="9">
        <v>367975.0</v>
      </c>
      <c r="S7" s="64"/>
      <c r="T7" s="64"/>
      <c r="U7" s="60"/>
      <c r="V7" s="62">
        <f t="shared" si="5"/>
        <v>-367975</v>
      </c>
      <c r="W7" s="62">
        <f t="shared" si="6"/>
        <v>0</v>
      </c>
      <c r="X7" s="63"/>
      <c r="Y7" s="63"/>
      <c r="Z7" s="63"/>
      <c r="AA7" s="63"/>
      <c r="AB7" s="63"/>
    </row>
    <row r="8" ht="14.25" customHeight="1">
      <c r="A8" s="133">
        <v>7.0</v>
      </c>
      <c r="B8" s="133" t="s">
        <v>23</v>
      </c>
      <c r="C8" s="56" t="s">
        <v>30</v>
      </c>
      <c r="D8" s="134">
        <v>8.0</v>
      </c>
      <c r="E8" s="134">
        <v>8.0</v>
      </c>
      <c r="F8" s="135"/>
      <c r="G8" s="134">
        <v>52.0</v>
      </c>
      <c r="H8" s="135"/>
      <c r="I8" s="56">
        <f t="shared" si="1"/>
        <v>85</v>
      </c>
      <c r="J8" s="135"/>
      <c r="K8" s="134">
        <v>137.0</v>
      </c>
      <c r="L8" s="56">
        <f t="shared" si="2"/>
        <v>0</v>
      </c>
      <c r="M8" s="56">
        <f t="shared" si="3"/>
        <v>137</v>
      </c>
      <c r="N8" s="136"/>
      <c r="O8" s="56">
        <v>11.31</v>
      </c>
      <c r="P8" s="56">
        <v>13.482</v>
      </c>
      <c r="Q8" s="56">
        <f t="shared" si="4"/>
        <v>198.336</v>
      </c>
      <c r="R8" s="9">
        <v>379137.0</v>
      </c>
      <c r="S8" s="64"/>
      <c r="T8" s="64"/>
      <c r="U8" s="60"/>
      <c r="V8" s="62">
        <f t="shared" si="5"/>
        <v>-379137</v>
      </c>
      <c r="W8" s="62">
        <f t="shared" si="6"/>
        <v>0</v>
      </c>
      <c r="X8" s="63"/>
      <c r="Y8" s="63"/>
      <c r="Z8" s="63"/>
      <c r="AA8" s="63"/>
      <c r="AB8" s="63"/>
    </row>
    <row r="9" ht="14.25" customHeight="1">
      <c r="A9" s="133">
        <v>8.0</v>
      </c>
      <c r="B9" s="133" t="s">
        <v>23</v>
      </c>
      <c r="C9" s="56" t="s">
        <v>31</v>
      </c>
      <c r="D9" s="134">
        <v>8.0</v>
      </c>
      <c r="E9" s="134">
        <v>8.0</v>
      </c>
      <c r="F9" s="135"/>
      <c r="G9" s="134">
        <v>55.0</v>
      </c>
      <c r="H9" s="135"/>
      <c r="I9" s="56">
        <f t="shared" si="1"/>
        <v>77</v>
      </c>
      <c r="J9" s="135"/>
      <c r="K9" s="134">
        <v>132.0</v>
      </c>
      <c r="L9" s="56">
        <f t="shared" si="2"/>
        <v>0</v>
      </c>
      <c r="M9" s="56">
        <f t="shared" si="3"/>
        <v>132</v>
      </c>
      <c r="N9" s="136"/>
      <c r="O9" s="56">
        <v>11.31</v>
      </c>
      <c r="P9" s="56">
        <v>13.482</v>
      </c>
      <c r="Q9" s="56">
        <f t="shared" si="4"/>
        <v>198.336</v>
      </c>
      <c r="R9" s="9">
        <v>370437.0</v>
      </c>
      <c r="S9" s="64"/>
      <c r="T9" s="64"/>
      <c r="U9" s="60"/>
      <c r="V9" s="62">
        <f t="shared" si="5"/>
        <v>-370437</v>
      </c>
      <c r="W9" s="62">
        <f t="shared" si="6"/>
        <v>0</v>
      </c>
      <c r="X9" s="63"/>
      <c r="Y9" s="63"/>
      <c r="Z9" s="63"/>
      <c r="AA9" s="63"/>
      <c r="AB9" s="63"/>
    </row>
    <row r="10" ht="14.25" customHeight="1">
      <c r="A10" s="133">
        <v>9.0</v>
      </c>
      <c r="B10" s="133" t="s">
        <v>23</v>
      </c>
      <c r="C10" s="56" t="s">
        <v>32</v>
      </c>
      <c r="D10" s="134">
        <v>8.0</v>
      </c>
      <c r="E10" s="134">
        <v>8.0</v>
      </c>
      <c r="F10" s="135"/>
      <c r="G10" s="134">
        <v>78.0</v>
      </c>
      <c r="H10" s="135"/>
      <c r="I10" s="56">
        <f t="shared" si="1"/>
        <v>140</v>
      </c>
      <c r="J10" s="135"/>
      <c r="K10" s="134">
        <v>218.0</v>
      </c>
      <c r="L10" s="56">
        <f t="shared" si="2"/>
        <v>0</v>
      </c>
      <c r="M10" s="56">
        <f t="shared" si="3"/>
        <v>218</v>
      </c>
      <c r="N10" s="136"/>
      <c r="O10" s="56">
        <v>11.31</v>
      </c>
      <c r="P10" s="56">
        <v>13.482</v>
      </c>
      <c r="Q10" s="56">
        <f t="shared" si="4"/>
        <v>198.336</v>
      </c>
      <c r="R10" s="9">
        <v>369933.0</v>
      </c>
      <c r="S10" s="64"/>
      <c r="T10" s="64"/>
      <c r="U10" s="60"/>
      <c r="V10" s="62">
        <f t="shared" si="5"/>
        <v>-369933</v>
      </c>
      <c r="W10" s="62">
        <f t="shared" si="6"/>
        <v>0</v>
      </c>
      <c r="X10" s="63"/>
      <c r="Y10" s="63"/>
      <c r="Z10" s="63"/>
      <c r="AA10" s="63"/>
      <c r="AB10" s="63"/>
    </row>
    <row r="11" ht="14.25" customHeight="1">
      <c r="A11" s="133">
        <v>10.0</v>
      </c>
      <c r="B11" s="133" t="s">
        <v>23</v>
      </c>
      <c r="C11" s="56" t="s">
        <v>33</v>
      </c>
      <c r="D11" s="134">
        <v>8.0</v>
      </c>
      <c r="E11" s="134">
        <v>8.0</v>
      </c>
      <c r="F11" s="135"/>
      <c r="G11" s="134">
        <v>85.0</v>
      </c>
      <c r="H11" s="135"/>
      <c r="I11" s="56">
        <f t="shared" si="1"/>
        <v>94</v>
      </c>
      <c r="J11" s="135"/>
      <c r="K11" s="134">
        <v>179.0</v>
      </c>
      <c r="L11" s="56">
        <f t="shared" si="2"/>
        <v>0</v>
      </c>
      <c r="M11" s="56">
        <f t="shared" si="3"/>
        <v>179</v>
      </c>
      <c r="N11" s="136"/>
      <c r="O11" s="56">
        <v>11.31</v>
      </c>
      <c r="P11" s="56">
        <v>13.482</v>
      </c>
      <c r="Q11" s="56">
        <f t="shared" si="4"/>
        <v>198.336</v>
      </c>
      <c r="R11" s="9">
        <v>362291.0</v>
      </c>
      <c r="S11" s="64"/>
      <c r="T11" s="64"/>
      <c r="U11" s="60"/>
      <c r="V11" s="62">
        <f t="shared" si="5"/>
        <v>-362291</v>
      </c>
      <c r="W11" s="62">
        <f t="shared" si="6"/>
        <v>0</v>
      </c>
      <c r="X11" s="63"/>
      <c r="Y11" s="63"/>
      <c r="Z11" s="63"/>
      <c r="AA11" s="63"/>
      <c r="AB11" s="63"/>
    </row>
    <row r="12" ht="14.25" customHeight="1">
      <c r="A12" s="133">
        <v>11.0</v>
      </c>
      <c r="B12" s="133" t="s">
        <v>23</v>
      </c>
      <c r="C12" s="56" t="s">
        <v>34</v>
      </c>
      <c r="D12" s="134">
        <v>7.0</v>
      </c>
      <c r="E12" s="134">
        <v>8.0</v>
      </c>
      <c r="F12" s="135"/>
      <c r="G12" s="134">
        <v>68.0</v>
      </c>
      <c r="H12" s="135"/>
      <c r="I12" s="56">
        <f t="shared" si="1"/>
        <v>80</v>
      </c>
      <c r="J12" s="135"/>
      <c r="K12" s="134">
        <v>148.0</v>
      </c>
      <c r="L12" s="56">
        <f t="shared" si="2"/>
        <v>0</v>
      </c>
      <c r="M12" s="56">
        <f t="shared" si="3"/>
        <v>148</v>
      </c>
      <c r="N12" s="136"/>
      <c r="O12" s="56">
        <v>11.31</v>
      </c>
      <c r="P12" s="56">
        <v>13.482</v>
      </c>
      <c r="Q12" s="56">
        <f t="shared" si="4"/>
        <v>187.026</v>
      </c>
      <c r="R12" s="9">
        <v>68360.0</v>
      </c>
      <c r="S12" s="64"/>
      <c r="T12" s="64"/>
      <c r="U12" s="60"/>
      <c r="V12" s="62">
        <f t="shared" si="5"/>
        <v>-68360</v>
      </c>
      <c r="W12" s="62">
        <f t="shared" si="6"/>
        <v>0</v>
      </c>
      <c r="X12" s="63"/>
      <c r="Y12" s="63"/>
      <c r="Z12" s="63"/>
      <c r="AA12" s="63"/>
      <c r="AB12" s="63"/>
    </row>
    <row r="13" ht="14.25" customHeight="1">
      <c r="A13" s="133">
        <v>12.0</v>
      </c>
      <c r="B13" s="133" t="s">
        <v>23</v>
      </c>
      <c r="C13" s="56" t="s">
        <v>35</v>
      </c>
      <c r="D13" s="134">
        <v>7.0</v>
      </c>
      <c r="E13" s="134">
        <v>8.0</v>
      </c>
      <c r="F13" s="135"/>
      <c r="G13" s="134">
        <v>90.0</v>
      </c>
      <c r="H13" s="135"/>
      <c r="I13" s="56">
        <f t="shared" si="1"/>
        <v>60</v>
      </c>
      <c r="J13" s="135"/>
      <c r="K13" s="134">
        <v>150.0</v>
      </c>
      <c r="L13" s="56">
        <f t="shared" si="2"/>
        <v>0</v>
      </c>
      <c r="M13" s="56">
        <f t="shared" si="3"/>
        <v>150</v>
      </c>
      <c r="N13" s="136"/>
      <c r="O13" s="56">
        <v>11.31</v>
      </c>
      <c r="P13" s="56">
        <v>13.482</v>
      </c>
      <c r="Q13" s="56">
        <f t="shared" si="4"/>
        <v>187.026</v>
      </c>
      <c r="R13" s="9">
        <v>368887.0</v>
      </c>
      <c r="S13" s="64"/>
      <c r="T13" s="64"/>
      <c r="U13" s="60"/>
      <c r="V13" s="62">
        <f t="shared" si="5"/>
        <v>-368887</v>
      </c>
      <c r="W13" s="62">
        <f t="shared" si="6"/>
        <v>0</v>
      </c>
      <c r="X13" s="63"/>
      <c r="Y13" s="63"/>
      <c r="Z13" s="63"/>
      <c r="AA13" s="63"/>
      <c r="AB13" s="63"/>
    </row>
    <row r="14" ht="14.25" customHeight="1">
      <c r="A14" s="133">
        <v>13.0</v>
      </c>
      <c r="B14" s="133" t="s">
        <v>23</v>
      </c>
      <c r="C14" s="56" t="s">
        <v>36</v>
      </c>
      <c r="D14" s="134">
        <v>7.0</v>
      </c>
      <c r="E14" s="134">
        <v>8.0</v>
      </c>
      <c r="F14" s="135"/>
      <c r="G14" s="134">
        <v>58.0</v>
      </c>
      <c r="H14" s="135"/>
      <c r="I14" s="56">
        <f t="shared" si="1"/>
        <v>103</v>
      </c>
      <c r="J14" s="135"/>
      <c r="K14" s="134">
        <v>161.0</v>
      </c>
      <c r="L14" s="56">
        <f t="shared" si="2"/>
        <v>0</v>
      </c>
      <c r="M14" s="56">
        <f t="shared" si="3"/>
        <v>161</v>
      </c>
      <c r="N14" s="136"/>
      <c r="O14" s="56">
        <v>11.31</v>
      </c>
      <c r="P14" s="56">
        <v>13.482</v>
      </c>
      <c r="Q14" s="56">
        <f t="shared" si="4"/>
        <v>187.026</v>
      </c>
      <c r="R14" s="9">
        <v>369510.0</v>
      </c>
      <c r="S14" s="64"/>
      <c r="T14" s="64"/>
      <c r="U14" s="60"/>
      <c r="V14" s="62">
        <f t="shared" si="5"/>
        <v>-369510</v>
      </c>
      <c r="W14" s="62">
        <f t="shared" si="6"/>
        <v>0</v>
      </c>
      <c r="X14" s="63"/>
      <c r="Y14" s="63"/>
      <c r="Z14" s="63"/>
      <c r="AA14" s="63"/>
      <c r="AB14" s="63"/>
    </row>
    <row r="15" ht="14.25" customHeight="1">
      <c r="A15" s="133">
        <v>14.0</v>
      </c>
      <c r="B15" s="133" t="s">
        <v>23</v>
      </c>
      <c r="C15" s="56" t="s">
        <v>37</v>
      </c>
      <c r="D15" s="134">
        <v>7.0</v>
      </c>
      <c r="E15" s="134">
        <v>8.0</v>
      </c>
      <c r="F15" s="135"/>
      <c r="G15" s="134">
        <v>66.0</v>
      </c>
      <c r="H15" s="135"/>
      <c r="I15" s="56">
        <f t="shared" si="1"/>
        <v>110</v>
      </c>
      <c r="J15" s="135"/>
      <c r="K15" s="134">
        <v>176.0</v>
      </c>
      <c r="L15" s="56">
        <f t="shared" si="2"/>
        <v>0</v>
      </c>
      <c r="M15" s="56">
        <f t="shared" si="3"/>
        <v>176</v>
      </c>
      <c r="N15" s="136"/>
      <c r="O15" s="56">
        <v>11.31</v>
      </c>
      <c r="P15" s="56">
        <v>13.482</v>
      </c>
      <c r="Q15" s="56">
        <f t="shared" si="4"/>
        <v>187.026</v>
      </c>
      <c r="R15" s="9">
        <v>370148.0</v>
      </c>
      <c r="S15" s="64"/>
      <c r="T15" s="64"/>
      <c r="U15" s="60"/>
      <c r="V15" s="62">
        <f t="shared" si="5"/>
        <v>-370148</v>
      </c>
      <c r="W15" s="62">
        <f t="shared" si="6"/>
        <v>0</v>
      </c>
      <c r="X15" s="63"/>
      <c r="Y15" s="63"/>
      <c r="Z15" s="63"/>
      <c r="AA15" s="63"/>
      <c r="AB15" s="63"/>
    </row>
    <row r="16" ht="14.25" customHeight="1">
      <c r="A16" s="133">
        <v>15.0</v>
      </c>
      <c r="B16" s="133" t="s">
        <v>23</v>
      </c>
      <c r="C16" s="56" t="s">
        <v>38</v>
      </c>
      <c r="D16" s="134">
        <v>7.0</v>
      </c>
      <c r="E16" s="134">
        <v>8.0</v>
      </c>
      <c r="F16" s="135"/>
      <c r="G16" s="134">
        <v>65.0</v>
      </c>
      <c r="H16" s="135"/>
      <c r="I16" s="56">
        <f t="shared" si="1"/>
        <v>94</v>
      </c>
      <c r="J16" s="135"/>
      <c r="K16" s="134">
        <v>159.0</v>
      </c>
      <c r="L16" s="56">
        <f t="shared" si="2"/>
        <v>0</v>
      </c>
      <c r="M16" s="56">
        <f t="shared" si="3"/>
        <v>159</v>
      </c>
      <c r="N16" s="136"/>
      <c r="O16" s="56">
        <v>11.31</v>
      </c>
      <c r="P16" s="56">
        <v>13.482</v>
      </c>
      <c r="Q16" s="56">
        <f t="shared" si="4"/>
        <v>187.026</v>
      </c>
      <c r="R16" s="9">
        <v>361375.0</v>
      </c>
      <c r="S16" s="64"/>
      <c r="T16" s="64"/>
      <c r="U16" s="60"/>
      <c r="V16" s="62">
        <f t="shared" si="5"/>
        <v>-361375</v>
      </c>
      <c r="W16" s="62">
        <f t="shared" si="6"/>
        <v>0</v>
      </c>
      <c r="X16" s="63"/>
      <c r="Y16" s="63"/>
      <c r="Z16" s="63"/>
      <c r="AA16" s="63"/>
      <c r="AB16" s="63"/>
    </row>
    <row r="17" ht="14.25" customHeight="1">
      <c r="A17" s="133">
        <v>16.0</v>
      </c>
      <c r="B17" s="133" t="s">
        <v>23</v>
      </c>
      <c r="C17" s="56" t="s">
        <v>39</v>
      </c>
      <c r="D17" s="134">
        <v>7.0</v>
      </c>
      <c r="E17" s="134">
        <v>8.0</v>
      </c>
      <c r="F17" s="135"/>
      <c r="G17" s="134">
        <v>80.0</v>
      </c>
      <c r="H17" s="135"/>
      <c r="I17" s="56">
        <f t="shared" si="1"/>
        <v>57</v>
      </c>
      <c r="J17" s="135"/>
      <c r="K17" s="134">
        <v>137.0</v>
      </c>
      <c r="L17" s="56">
        <f t="shared" si="2"/>
        <v>0</v>
      </c>
      <c r="M17" s="56">
        <f t="shared" si="3"/>
        <v>137</v>
      </c>
      <c r="N17" s="136"/>
      <c r="O17" s="56">
        <v>11.31</v>
      </c>
      <c r="P17" s="56">
        <v>13.482</v>
      </c>
      <c r="Q17" s="56">
        <f t="shared" si="4"/>
        <v>187.026</v>
      </c>
      <c r="R17" s="9">
        <v>365687.0</v>
      </c>
      <c r="S17" s="64"/>
      <c r="T17" s="64"/>
      <c r="U17" s="60"/>
      <c r="V17" s="62">
        <f t="shared" si="5"/>
        <v>-365687</v>
      </c>
      <c r="W17" s="62">
        <f t="shared" si="6"/>
        <v>0</v>
      </c>
      <c r="X17" s="63"/>
      <c r="Y17" s="63"/>
      <c r="Z17" s="63"/>
      <c r="AA17" s="63"/>
      <c r="AB17" s="63"/>
    </row>
    <row r="18" ht="14.25" customHeight="1">
      <c r="A18" s="133">
        <v>17.0</v>
      </c>
      <c r="B18" s="133" t="s">
        <v>23</v>
      </c>
      <c r="C18" s="56" t="s">
        <v>40</v>
      </c>
      <c r="D18" s="134">
        <v>7.0</v>
      </c>
      <c r="E18" s="134">
        <v>8.0</v>
      </c>
      <c r="F18" s="135"/>
      <c r="G18" s="134">
        <v>69.0</v>
      </c>
      <c r="H18" s="135"/>
      <c r="I18" s="56">
        <f t="shared" si="1"/>
        <v>103</v>
      </c>
      <c r="J18" s="135"/>
      <c r="K18" s="134">
        <v>172.0</v>
      </c>
      <c r="L18" s="56">
        <f t="shared" si="2"/>
        <v>0</v>
      </c>
      <c r="M18" s="56">
        <f t="shared" si="3"/>
        <v>172</v>
      </c>
      <c r="N18" s="136"/>
      <c r="O18" s="56">
        <v>11.31</v>
      </c>
      <c r="P18" s="56">
        <v>13.482</v>
      </c>
      <c r="Q18" s="56">
        <f t="shared" si="4"/>
        <v>187.026</v>
      </c>
      <c r="R18" s="9">
        <v>300929.0</v>
      </c>
      <c r="S18" s="64"/>
      <c r="T18" s="64"/>
      <c r="U18" s="60"/>
      <c r="V18" s="62">
        <f t="shared" si="5"/>
        <v>-300929</v>
      </c>
      <c r="W18" s="62">
        <f t="shared" si="6"/>
        <v>0</v>
      </c>
      <c r="X18" s="63"/>
      <c r="Y18" s="63"/>
      <c r="Z18" s="63"/>
      <c r="AA18" s="63"/>
      <c r="AB18" s="63"/>
    </row>
    <row r="19" ht="14.25" customHeight="1">
      <c r="A19" s="133">
        <v>18.0</v>
      </c>
      <c r="B19" s="133" t="s">
        <v>23</v>
      </c>
      <c r="C19" s="65" t="s">
        <v>42</v>
      </c>
      <c r="D19" s="137"/>
      <c r="E19" s="137"/>
      <c r="F19" s="138"/>
      <c r="G19" s="138"/>
      <c r="H19" s="138"/>
      <c r="I19" s="65">
        <f t="shared" si="1"/>
        <v>0</v>
      </c>
      <c r="J19" s="138"/>
      <c r="K19" s="138"/>
      <c r="L19" s="65">
        <f t="shared" si="2"/>
        <v>0</v>
      </c>
      <c r="M19" s="65">
        <f t="shared" si="3"/>
        <v>0</v>
      </c>
      <c r="N19" s="139" t="s">
        <v>76</v>
      </c>
      <c r="O19" s="65">
        <v>11.31</v>
      </c>
      <c r="P19" s="65">
        <v>13.482</v>
      </c>
      <c r="Q19" s="65">
        <f t="shared" si="4"/>
        <v>0</v>
      </c>
      <c r="R19" s="140"/>
      <c r="S19" s="67"/>
      <c r="T19" s="67"/>
      <c r="U19" s="68"/>
      <c r="V19" s="69">
        <f t="shared" si="5"/>
        <v>0</v>
      </c>
      <c r="W19" s="69">
        <f t="shared" si="6"/>
        <v>0</v>
      </c>
      <c r="X19" s="63"/>
      <c r="Y19" s="63"/>
      <c r="Z19" s="63"/>
      <c r="AA19" s="63"/>
      <c r="AB19" s="63"/>
    </row>
    <row r="20" ht="14.25" customHeight="1">
      <c r="A20" s="133">
        <v>19.0</v>
      </c>
      <c r="B20" s="133" t="s">
        <v>23</v>
      </c>
      <c r="C20" s="56" t="s">
        <v>44</v>
      </c>
      <c r="D20" s="134">
        <v>7.0</v>
      </c>
      <c r="E20" s="134">
        <v>8.0</v>
      </c>
      <c r="F20" s="135"/>
      <c r="G20" s="134">
        <v>47.0</v>
      </c>
      <c r="H20" s="135"/>
      <c r="I20" s="56">
        <f t="shared" si="1"/>
        <v>107</v>
      </c>
      <c r="J20" s="135"/>
      <c r="K20" s="134">
        <v>154.0</v>
      </c>
      <c r="L20" s="56">
        <f t="shared" si="2"/>
        <v>0</v>
      </c>
      <c r="M20" s="56">
        <f t="shared" si="3"/>
        <v>154</v>
      </c>
      <c r="N20" s="136"/>
      <c r="O20" s="56">
        <v>11.31</v>
      </c>
      <c r="P20" s="56">
        <v>13.482</v>
      </c>
      <c r="Q20" s="56">
        <f t="shared" si="4"/>
        <v>187.026</v>
      </c>
      <c r="R20" s="9">
        <v>551377.0</v>
      </c>
      <c r="S20" s="64"/>
      <c r="T20" s="64"/>
      <c r="U20" s="60"/>
      <c r="V20" s="62">
        <f t="shared" si="5"/>
        <v>-551377</v>
      </c>
      <c r="W20" s="62">
        <f t="shared" si="6"/>
        <v>0</v>
      </c>
      <c r="X20" s="63"/>
      <c r="Y20" s="63"/>
      <c r="Z20" s="63"/>
      <c r="AA20" s="63"/>
      <c r="AB20" s="63"/>
    </row>
    <row r="21" ht="14.25" customHeight="1">
      <c r="A21" s="133">
        <v>20.0</v>
      </c>
      <c r="B21" s="133" t="s">
        <v>23</v>
      </c>
      <c r="C21" s="56" t="s">
        <v>45</v>
      </c>
      <c r="D21" s="134">
        <v>7.0</v>
      </c>
      <c r="E21" s="134">
        <v>8.0</v>
      </c>
      <c r="F21" s="135"/>
      <c r="G21" s="134">
        <v>68.0</v>
      </c>
      <c r="H21" s="135"/>
      <c r="I21" s="56">
        <f t="shared" si="1"/>
        <v>55</v>
      </c>
      <c r="J21" s="135"/>
      <c r="K21" s="134">
        <v>123.0</v>
      </c>
      <c r="L21" s="56">
        <f t="shared" si="2"/>
        <v>0</v>
      </c>
      <c r="M21" s="56">
        <f t="shared" si="3"/>
        <v>123</v>
      </c>
      <c r="N21" s="136"/>
      <c r="O21" s="56">
        <v>11.31</v>
      </c>
      <c r="P21" s="56">
        <v>13.482</v>
      </c>
      <c r="Q21" s="56">
        <f t="shared" si="4"/>
        <v>187.026</v>
      </c>
      <c r="R21" s="9">
        <v>428425.0</v>
      </c>
      <c r="S21" s="64"/>
      <c r="T21" s="64"/>
      <c r="U21" s="60"/>
      <c r="V21" s="62">
        <f t="shared" si="5"/>
        <v>-428425</v>
      </c>
      <c r="W21" s="62">
        <f t="shared" si="6"/>
        <v>0</v>
      </c>
      <c r="X21" s="63"/>
      <c r="Y21" s="63"/>
      <c r="Z21" s="63"/>
      <c r="AA21" s="63"/>
      <c r="AB21" s="63"/>
    </row>
    <row r="22" ht="14.25" customHeight="1">
      <c r="A22" s="133">
        <v>21.0</v>
      </c>
      <c r="B22" s="133" t="s">
        <v>23</v>
      </c>
      <c r="C22" s="56" t="s">
        <v>46</v>
      </c>
      <c r="D22" s="134">
        <v>9.0</v>
      </c>
      <c r="E22" s="134">
        <v>9.0</v>
      </c>
      <c r="F22" s="135"/>
      <c r="G22" s="134">
        <v>45.0</v>
      </c>
      <c r="H22" s="135"/>
      <c r="I22" s="56">
        <f t="shared" si="1"/>
        <v>121</v>
      </c>
      <c r="J22" s="135"/>
      <c r="K22" s="134">
        <v>166.0</v>
      </c>
      <c r="L22" s="56">
        <f t="shared" si="2"/>
        <v>0</v>
      </c>
      <c r="M22" s="56">
        <f t="shared" si="3"/>
        <v>166</v>
      </c>
      <c r="N22" s="136"/>
      <c r="O22" s="56">
        <v>11.31</v>
      </c>
      <c r="P22" s="56">
        <v>13.482</v>
      </c>
      <c r="Q22" s="56">
        <f t="shared" si="4"/>
        <v>223.128</v>
      </c>
      <c r="R22" s="9">
        <v>490250.0</v>
      </c>
      <c r="S22" s="64"/>
      <c r="T22" s="64"/>
      <c r="U22" s="60"/>
      <c r="V22" s="62">
        <f t="shared" si="5"/>
        <v>-490250</v>
      </c>
      <c r="W22" s="62">
        <f t="shared" si="6"/>
        <v>0</v>
      </c>
      <c r="X22" s="63"/>
      <c r="Y22" s="63"/>
      <c r="Z22" s="63"/>
      <c r="AA22" s="63"/>
      <c r="AB22" s="63"/>
    </row>
    <row r="23" ht="14.25" customHeight="1">
      <c r="A23" s="133">
        <v>22.0</v>
      </c>
      <c r="B23" s="133" t="s">
        <v>23</v>
      </c>
      <c r="C23" s="56" t="s">
        <v>47</v>
      </c>
      <c r="D23" s="134">
        <v>9.0</v>
      </c>
      <c r="E23" s="134">
        <v>9.0</v>
      </c>
      <c r="F23" s="135"/>
      <c r="G23" s="134">
        <v>71.0</v>
      </c>
      <c r="H23" s="135"/>
      <c r="I23" s="56">
        <f t="shared" si="1"/>
        <v>87</v>
      </c>
      <c r="J23" s="135"/>
      <c r="K23" s="134">
        <v>158.0</v>
      </c>
      <c r="L23" s="56">
        <f t="shared" si="2"/>
        <v>0</v>
      </c>
      <c r="M23" s="56">
        <f t="shared" si="3"/>
        <v>158</v>
      </c>
      <c r="N23" s="136"/>
      <c r="O23" s="56">
        <v>11.31</v>
      </c>
      <c r="P23" s="56">
        <v>13.482</v>
      </c>
      <c r="Q23" s="56">
        <f t="shared" si="4"/>
        <v>223.128</v>
      </c>
      <c r="R23" s="9">
        <v>379700.0</v>
      </c>
      <c r="S23" s="64"/>
      <c r="T23" s="64"/>
      <c r="U23" s="60"/>
      <c r="V23" s="62">
        <f t="shared" si="5"/>
        <v>-379700</v>
      </c>
      <c r="W23" s="62">
        <f t="shared" si="6"/>
        <v>0</v>
      </c>
      <c r="X23" s="63"/>
      <c r="Y23" s="63"/>
      <c r="Z23" s="63"/>
      <c r="AA23" s="63"/>
      <c r="AB23" s="63"/>
    </row>
    <row r="24" ht="14.25" customHeight="1">
      <c r="A24" s="133">
        <v>23.0</v>
      </c>
      <c r="B24" s="133" t="s">
        <v>23</v>
      </c>
      <c r="C24" s="56" t="s">
        <v>49</v>
      </c>
      <c r="D24" s="134">
        <v>9.0</v>
      </c>
      <c r="E24" s="134">
        <v>9.0</v>
      </c>
      <c r="F24" s="135"/>
      <c r="G24" s="134">
        <v>43.0</v>
      </c>
      <c r="H24" s="135"/>
      <c r="I24" s="56">
        <f t="shared" si="1"/>
        <v>87</v>
      </c>
      <c r="J24" s="135"/>
      <c r="K24" s="134">
        <v>130.0</v>
      </c>
      <c r="L24" s="56">
        <f t="shared" si="2"/>
        <v>0</v>
      </c>
      <c r="M24" s="56">
        <f t="shared" si="3"/>
        <v>130</v>
      </c>
      <c r="N24" s="136"/>
      <c r="O24" s="56">
        <v>11.31</v>
      </c>
      <c r="P24" s="56">
        <v>13.482</v>
      </c>
      <c r="Q24" s="56">
        <f t="shared" si="4"/>
        <v>223.128</v>
      </c>
      <c r="R24" s="9">
        <v>256885.0</v>
      </c>
      <c r="S24" s="64"/>
      <c r="T24" s="64"/>
      <c r="U24" s="60"/>
      <c r="V24" s="62">
        <f t="shared" si="5"/>
        <v>-256885</v>
      </c>
      <c r="W24" s="62">
        <f t="shared" si="6"/>
        <v>0</v>
      </c>
      <c r="X24" s="63"/>
      <c r="Y24" s="63"/>
      <c r="Z24" s="63"/>
      <c r="AA24" s="63"/>
      <c r="AB24" s="63"/>
    </row>
    <row r="25" ht="14.25" customHeight="1">
      <c r="A25" s="133">
        <v>24.0</v>
      </c>
      <c r="B25" s="133" t="s">
        <v>23</v>
      </c>
      <c r="C25" s="56" t="s">
        <v>50</v>
      </c>
      <c r="D25" s="134">
        <v>9.0</v>
      </c>
      <c r="E25" s="134">
        <v>9.0</v>
      </c>
      <c r="F25" s="135"/>
      <c r="G25" s="134">
        <v>102.0</v>
      </c>
      <c r="H25" s="135"/>
      <c r="I25" s="56">
        <f t="shared" si="1"/>
        <v>73</v>
      </c>
      <c r="J25" s="135"/>
      <c r="K25" s="134">
        <v>175.0</v>
      </c>
      <c r="L25" s="56">
        <f t="shared" si="2"/>
        <v>0</v>
      </c>
      <c r="M25" s="56">
        <f t="shared" si="3"/>
        <v>175</v>
      </c>
      <c r="N25" s="136"/>
      <c r="O25" s="56">
        <v>11.31</v>
      </c>
      <c r="P25" s="56">
        <v>13.482</v>
      </c>
      <c r="Q25" s="56">
        <f t="shared" si="4"/>
        <v>223.128</v>
      </c>
      <c r="R25" s="9">
        <v>255910.0</v>
      </c>
      <c r="S25" s="64"/>
      <c r="T25" s="64"/>
      <c r="U25" s="60"/>
      <c r="V25" s="62">
        <f t="shared" si="5"/>
        <v>-255910</v>
      </c>
      <c r="W25" s="62">
        <f t="shared" si="6"/>
        <v>0</v>
      </c>
      <c r="X25" s="63"/>
      <c r="Y25" s="63"/>
      <c r="Z25" s="63"/>
      <c r="AA25" s="63"/>
      <c r="AB25" s="63"/>
    </row>
    <row r="26" ht="14.25" customHeight="1">
      <c r="A26" s="133">
        <v>25.0</v>
      </c>
      <c r="B26" s="133" t="s">
        <v>23</v>
      </c>
      <c r="C26" s="56" t="s">
        <v>51</v>
      </c>
      <c r="D26" s="134">
        <v>9.0</v>
      </c>
      <c r="E26" s="134">
        <v>9.0</v>
      </c>
      <c r="F26" s="135"/>
      <c r="G26" s="134">
        <v>75.0</v>
      </c>
      <c r="H26" s="135"/>
      <c r="I26" s="56">
        <f t="shared" si="1"/>
        <v>133</v>
      </c>
      <c r="J26" s="135"/>
      <c r="K26" s="134">
        <v>208.0</v>
      </c>
      <c r="L26" s="56">
        <f t="shared" si="2"/>
        <v>0</v>
      </c>
      <c r="M26" s="56">
        <f t="shared" si="3"/>
        <v>208</v>
      </c>
      <c r="N26" s="136"/>
      <c r="O26" s="56">
        <v>11.31</v>
      </c>
      <c r="P26" s="56">
        <v>13.482</v>
      </c>
      <c r="Q26" s="56">
        <f t="shared" si="4"/>
        <v>223.128</v>
      </c>
      <c r="R26" s="9">
        <v>258196.0</v>
      </c>
      <c r="S26" s="64"/>
      <c r="T26" s="64"/>
      <c r="U26" s="60"/>
      <c r="V26" s="62">
        <f t="shared" si="5"/>
        <v>-258196</v>
      </c>
      <c r="W26" s="62">
        <f t="shared" si="6"/>
        <v>0</v>
      </c>
      <c r="X26" s="63"/>
      <c r="Y26" s="63"/>
      <c r="Z26" s="63"/>
      <c r="AA26" s="63"/>
      <c r="AB26" s="63"/>
    </row>
    <row r="27" ht="14.25" customHeight="1">
      <c r="A27" s="133">
        <v>26.0</v>
      </c>
      <c r="B27" s="133" t="s">
        <v>23</v>
      </c>
      <c r="C27" s="56" t="s">
        <v>52</v>
      </c>
      <c r="D27" s="134">
        <v>9.0</v>
      </c>
      <c r="E27" s="134">
        <v>9.0</v>
      </c>
      <c r="F27" s="135"/>
      <c r="G27" s="134">
        <v>101.0</v>
      </c>
      <c r="H27" s="135"/>
      <c r="I27" s="56">
        <f t="shared" si="1"/>
        <v>107</v>
      </c>
      <c r="J27" s="135"/>
      <c r="K27" s="134">
        <v>208.0</v>
      </c>
      <c r="L27" s="56">
        <f t="shared" si="2"/>
        <v>0</v>
      </c>
      <c r="M27" s="56">
        <f t="shared" si="3"/>
        <v>208</v>
      </c>
      <c r="N27" s="136"/>
      <c r="O27" s="56">
        <v>11.31</v>
      </c>
      <c r="P27" s="56">
        <v>13.482</v>
      </c>
      <c r="Q27" s="56">
        <f t="shared" si="4"/>
        <v>223.128</v>
      </c>
      <c r="R27" s="9">
        <v>256438.0</v>
      </c>
      <c r="S27" s="64"/>
      <c r="T27" s="64"/>
      <c r="U27" s="60"/>
      <c r="V27" s="62">
        <f t="shared" si="5"/>
        <v>-256438</v>
      </c>
      <c r="W27" s="62">
        <f t="shared" si="6"/>
        <v>0</v>
      </c>
      <c r="X27" s="63"/>
      <c r="Y27" s="63"/>
      <c r="Z27" s="63"/>
      <c r="AA27" s="63"/>
      <c r="AB27" s="63"/>
    </row>
    <row r="28" ht="14.25" customHeight="1">
      <c r="A28" s="133">
        <v>27.0</v>
      </c>
      <c r="B28" s="133" t="s">
        <v>23</v>
      </c>
      <c r="C28" s="56" t="s">
        <v>53</v>
      </c>
      <c r="D28" s="134">
        <v>8.0</v>
      </c>
      <c r="E28" s="134">
        <v>8.0</v>
      </c>
      <c r="F28" s="135"/>
      <c r="G28" s="134">
        <v>117.0</v>
      </c>
      <c r="H28" s="135"/>
      <c r="I28" s="56">
        <f t="shared" si="1"/>
        <v>124</v>
      </c>
      <c r="J28" s="135"/>
      <c r="K28" s="134">
        <v>241.0</v>
      </c>
      <c r="L28" s="56">
        <f t="shared" si="2"/>
        <v>0</v>
      </c>
      <c r="M28" s="56">
        <f t="shared" si="3"/>
        <v>241</v>
      </c>
      <c r="N28" s="136"/>
      <c r="O28" s="56">
        <v>11.31</v>
      </c>
      <c r="P28" s="56">
        <v>13.482</v>
      </c>
      <c r="Q28" s="56">
        <f t="shared" si="4"/>
        <v>198.336</v>
      </c>
      <c r="R28" s="9">
        <v>452937.0</v>
      </c>
      <c r="S28" s="64"/>
      <c r="T28" s="64"/>
      <c r="U28" s="60"/>
      <c r="V28" s="62">
        <f t="shared" si="5"/>
        <v>-452937</v>
      </c>
      <c r="W28" s="62">
        <f t="shared" si="6"/>
        <v>0</v>
      </c>
      <c r="X28" s="63"/>
      <c r="Y28" s="63"/>
      <c r="Z28" s="63"/>
      <c r="AA28" s="63"/>
      <c r="AB28" s="63"/>
    </row>
    <row r="29" ht="14.25" customHeight="1">
      <c r="A29" s="133">
        <v>28.0</v>
      </c>
      <c r="B29" s="133" t="s">
        <v>23</v>
      </c>
      <c r="C29" s="56" t="s">
        <v>54</v>
      </c>
      <c r="D29" s="134">
        <v>8.0</v>
      </c>
      <c r="E29" s="134">
        <v>8.0</v>
      </c>
      <c r="F29" s="135"/>
      <c r="G29" s="134">
        <v>65.0</v>
      </c>
      <c r="H29" s="135"/>
      <c r="I29" s="56">
        <f t="shared" si="1"/>
        <v>127</v>
      </c>
      <c r="J29" s="135"/>
      <c r="K29" s="134">
        <v>192.0</v>
      </c>
      <c r="L29" s="56">
        <f t="shared" si="2"/>
        <v>0</v>
      </c>
      <c r="M29" s="56">
        <f t="shared" si="3"/>
        <v>192</v>
      </c>
      <c r="N29" s="136"/>
      <c r="O29" s="56">
        <v>11.31</v>
      </c>
      <c r="P29" s="56">
        <v>13.482</v>
      </c>
      <c r="Q29" s="56">
        <f t="shared" si="4"/>
        <v>198.336</v>
      </c>
      <c r="R29" s="9">
        <v>266990.0</v>
      </c>
      <c r="S29" s="64"/>
      <c r="T29" s="64"/>
      <c r="U29" s="60"/>
      <c r="V29" s="62">
        <f t="shared" si="5"/>
        <v>-266990</v>
      </c>
      <c r="W29" s="62">
        <f t="shared" si="6"/>
        <v>0</v>
      </c>
      <c r="X29" s="63"/>
      <c r="Y29" s="63"/>
      <c r="Z29" s="63"/>
      <c r="AA29" s="63"/>
      <c r="AB29" s="63"/>
    </row>
    <row r="30" ht="14.25" customHeight="1">
      <c r="A30" s="133">
        <v>29.0</v>
      </c>
      <c r="B30" s="133" t="s">
        <v>23</v>
      </c>
      <c r="C30" s="56" t="s">
        <v>55</v>
      </c>
      <c r="D30" s="134">
        <v>8.0</v>
      </c>
      <c r="E30" s="134">
        <v>8.0</v>
      </c>
      <c r="F30" s="135"/>
      <c r="G30" s="134">
        <v>61.0</v>
      </c>
      <c r="H30" s="135"/>
      <c r="I30" s="56">
        <f t="shared" si="1"/>
        <v>75</v>
      </c>
      <c r="J30" s="135"/>
      <c r="K30" s="134">
        <v>136.0</v>
      </c>
      <c r="L30" s="56">
        <f t="shared" si="2"/>
        <v>0</v>
      </c>
      <c r="M30" s="56">
        <f t="shared" si="3"/>
        <v>136</v>
      </c>
      <c r="N30" s="136"/>
      <c r="O30" s="56">
        <v>11.31</v>
      </c>
      <c r="P30" s="56">
        <v>13.482</v>
      </c>
      <c r="Q30" s="56">
        <f t="shared" si="4"/>
        <v>198.336</v>
      </c>
      <c r="R30" s="9">
        <v>269838.0</v>
      </c>
      <c r="S30" s="64"/>
      <c r="T30" s="64"/>
      <c r="U30" s="60"/>
      <c r="V30" s="62">
        <f t="shared" si="5"/>
        <v>-269838</v>
      </c>
      <c r="W30" s="62">
        <f t="shared" si="6"/>
        <v>0</v>
      </c>
      <c r="X30" s="63"/>
      <c r="Y30" s="63"/>
      <c r="Z30" s="63"/>
      <c r="AA30" s="63"/>
      <c r="AB30" s="63"/>
    </row>
    <row r="31" ht="14.25" customHeight="1">
      <c r="A31" s="133">
        <v>30.0</v>
      </c>
      <c r="B31" s="133" t="s">
        <v>23</v>
      </c>
      <c r="C31" s="56" t="s">
        <v>56</v>
      </c>
      <c r="D31" s="134">
        <v>8.0</v>
      </c>
      <c r="E31" s="134">
        <v>8.0</v>
      </c>
      <c r="F31" s="135"/>
      <c r="G31" s="134">
        <v>68.0</v>
      </c>
      <c r="H31" s="135"/>
      <c r="I31" s="56">
        <f t="shared" si="1"/>
        <v>82</v>
      </c>
      <c r="J31" s="135"/>
      <c r="K31" s="134">
        <v>150.0</v>
      </c>
      <c r="L31" s="56">
        <f t="shared" si="2"/>
        <v>0</v>
      </c>
      <c r="M31" s="56">
        <f t="shared" si="3"/>
        <v>150</v>
      </c>
      <c r="N31" s="136"/>
      <c r="O31" s="56">
        <v>11.31</v>
      </c>
      <c r="P31" s="56">
        <v>13.482</v>
      </c>
      <c r="Q31" s="56">
        <f t="shared" si="4"/>
        <v>198.336</v>
      </c>
      <c r="R31" s="9">
        <v>293325.0</v>
      </c>
      <c r="S31" s="64"/>
      <c r="T31" s="64"/>
      <c r="U31" s="60"/>
      <c r="V31" s="62">
        <f t="shared" si="5"/>
        <v>-293325</v>
      </c>
      <c r="W31" s="62">
        <f t="shared" si="6"/>
        <v>0</v>
      </c>
      <c r="X31" s="63"/>
      <c r="Y31" s="63"/>
      <c r="Z31" s="63"/>
      <c r="AA31" s="63"/>
      <c r="AB31" s="63"/>
    </row>
    <row r="32" ht="14.25" customHeight="1">
      <c r="A32" s="141"/>
      <c r="B32" s="141"/>
      <c r="C32" s="63"/>
      <c r="D32" s="76" t="s">
        <v>57</v>
      </c>
      <c r="E32" s="77">
        <f>SUM(M:M)</f>
        <v>4627</v>
      </c>
      <c r="F32" s="63"/>
      <c r="G32" s="63"/>
      <c r="H32" s="63"/>
      <c r="I32" s="63"/>
      <c r="J32" s="63"/>
      <c r="K32" s="63"/>
      <c r="L32" s="63"/>
      <c r="M32" s="63"/>
      <c r="N32" s="78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</row>
    <row r="33" ht="14.25" customHeight="1">
      <c r="A33" s="141"/>
      <c r="B33" s="141"/>
      <c r="C33" s="63"/>
      <c r="D33" s="76" t="s">
        <v>58</v>
      </c>
      <c r="E33" s="77">
        <f>SUM(Q:Q)</f>
        <v>5600.37</v>
      </c>
      <c r="F33" s="63"/>
      <c r="G33" s="63"/>
      <c r="H33" s="63"/>
      <c r="I33" s="63"/>
      <c r="J33" s="63"/>
      <c r="K33" s="63"/>
      <c r="L33" s="63"/>
      <c r="M33" s="63"/>
      <c r="N33" s="78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</row>
    <row r="34" ht="14.25" customHeight="1">
      <c r="A34" s="141"/>
      <c r="B34" s="141"/>
      <c r="C34" s="63"/>
      <c r="D34" s="76" t="s">
        <v>59</v>
      </c>
      <c r="E34" s="77">
        <f>E32/E33</f>
        <v>0.8261954121</v>
      </c>
      <c r="F34" s="63"/>
      <c r="G34" s="63"/>
      <c r="H34" s="63"/>
      <c r="I34" s="63"/>
      <c r="J34" s="63"/>
      <c r="K34" s="63"/>
      <c r="L34" s="63"/>
      <c r="M34" s="63"/>
      <c r="N34" s="78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</row>
    <row r="35" ht="14.25" customHeight="1">
      <c r="A35" s="141"/>
      <c r="B35" s="141"/>
      <c r="C35" s="63"/>
      <c r="D35" s="79"/>
      <c r="E35" s="80"/>
      <c r="F35" s="63"/>
      <c r="G35" s="63"/>
      <c r="H35" s="63"/>
      <c r="I35" s="63"/>
      <c r="J35" s="63"/>
      <c r="K35" s="63"/>
      <c r="L35" s="63"/>
      <c r="M35" s="63"/>
      <c r="N35" s="78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</row>
    <row r="36" ht="14.25" customHeight="1">
      <c r="A36" s="141"/>
      <c r="B36" s="141"/>
      <c r="C36" s="63"/>
      <c r="D36" s="81" t="s">
        <v>60</v>
      </c>
      <c r="E36" s="82">
        <f>AVERAGEIF(Q:Q,"&gt;0",Q:Q)</f>
        <v>200.0132143</v>
      </c>
      <c r="F36" s="63"/>
      <c r="G36" s="63"/>
      <c r="H36" s="63"/>
      <c r="I36" s="63"/>
      <c r="J36" s="63"/>
      <c r="K36" s="63"/>
      <c r="L36" s="63"/>
      <c r="M36" s="63"/>
      <c r="N36" s="78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</row>
    <row r="37" ht="14.25" customHeight="1">
      <c r="A37" s="141"/>
      <c r="B37" s="141"/>
      <c r="C37" s="63"/>
      <c r="D37" s="79"/>
      <c r="E37" s="80"/>
      <c r="F37" s="63"/>
      <c r="G37" s="63"/>
      <c r="H37" s="63"/>
      <c r="I37" s="63"/>
      <c r="J37" s="63"/>
      <c r="K37" s="63"/>
      <c r="L37" s="63"/>
      <c r="M37" s="63"/>
      <c r="N37" s="78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</row>
    <row r="38" ht="14.25" customHeight="1">
      <c r="A38" s="141"/>
      <c r="B38" s="141"/>
      <c r="C38" s="63"/>
      <c r="D38" s="83" t="s">
        <v>61</v>
      </c>
      <c r="E38" s="84">
        <f>SUM(G:G)</f>
        <v>1899</v>
      </c>
      <c r="F38" s="63"/>
      <c r="G38" s="63"/>
      <c r="H38" s="63"/>
      <c r="I38" s="63"/>
      <c r="J38" s="63"/>
      <c r="K38" s="63"/>
      <c r="L38" s="63"/>
      <c r="M38" s="63"/>
      <c r="N38" s="78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</row>
    <row r="39" ht="14.25" customHeight="1">
      <c r="A39" s="141"/>
      <c r="B39" s="141"/>
      <c r="C39" s="63"/>
      <c r="D39" s="83" t="s">
        <v>62</v>
      </c>
      <c r="E39" s="84">
        <f>SUM(H:H)</f>
        <v>0</v>
      </c>
      <c r="F39" s="63"/>
      <c r="G39" s="63"/>
      <c r="H39" s="63"/>
      <c r="I39" s="63"/>
      <c r="J39" s="63"/>
      <c r="K39" s="63"/>
      <c r="L39" s="63"/>
      <c r="M39" s="63"/>
      <c r="N39" s="78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</row>
    <row r="40" ht="14.25" customHeight="1">
      <c r="A40" s="141"/>
      <c r="B40" s="141"/>
      <c r="C40" s="63"/>
      <c r="D40" s="83" t="s">
        <v>63</v>
      </c>
      <c r="E40" s="84">
        <f>E39+E38</f>
        <v>1899</v>
      </c>
      <c r="F40" s="63"/>
      <c r="G40" s="63"/>
      <c r="H40" s="63"/>
      <c r="I40" s="63"/>
      <c r="J40" s="63"/>
      <c r="K40" s="63"/>
      <c r="L40" s="63"/>
      <c r="M40" s="63"/>
      <c r="N40" s="78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</row>
    <row r="41" ht="14.25" customHeight="1">
      <c r="A41" s="141"/>
      <c r="B41" s="141"/>
      <c r="C41" s="63"/>
      <c r="D41" s="79"/>
      <c r="E41" s="80"/>
      <c r="F41" s="63"/>
      <c r="G41" s="63"/>
      <c r="H41" s="63"/>
      <c r="I41" s="63"/>
      <c r="J41" s="63"/>
      <c r="K41" s="63"/>
      <c r="L41" s="63"/>
      <c r="M41" s="63"/>
      <c r="N41" s="78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</row>
    <row r="42" ht="14.25" customHeight="1">
      <c r="A42" s="141"/>
      <c r="B42" s="141"/>
      <c r="C42" s="63"/>
      <c r="D42" s="49" t="s">
        <v>64</v>
      </c>
      <c r="E42" s="85">
        <f>SUM(I:I)</f>
        <v>2728</v>
      </c>
      <c r="F42" s="63"/>
      <c r="G42" s="63"/>
      <c r="H42" s="63"/>
      <c r="I42" s="63"/>
      <c r="J42" s="63"/>
      <c r="K42" s="63"/>
      <c r="L42" s="63"/>
      <c r="M42" s="63"/>
      <c r="N42" s="78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</row>
    <row r="43" ht="14.25" customHeight="1">
      <c r="A43" s="141"/>
      <c r="B43" s="141"/>
      <c r="C43" s="63"/>
      <c r="D43" s="49" t="s">
        <v>65</v>
      </c>
      <c r="E43" s="85">
        <f>SUM(J:J)</f>
        <v>0</v>
      </c>
      <c r="F43" s="63"/>
      <c r="G43" s="63"/>
      <c r="H43" s="63"/>
      <c r="I43" s="63"/>
      <c r="J43" s="63"/>
      <c r="K43" s="63"/>
      <c r="L43" s="63"/>
      <c r="M43" s="63"/>
      <c r="N43" s="78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</row>
    <row r="44" ht="14.25" customHeight="1">
      <c r="A44" s="141"/>
      <c r="B44" s="141"/>
      <c r="C44" s="63"/>
      <c r="D44" s="49" t="s">
        <v>66</v>
      </c>
      <c r="E44" s="85">
        <f>E43+E42</f>
        <v>2728</v>
      </c>
      <c r="F44" s="63"/>
      <c r="G44" s="63"/>
      <c r="H44" s="63"/>
      <c r="I44" s="63"/>
      <c r="J44" s="63"/>
      <c r="K44" s="63"/>
      <c r="L44" s="63"/>
      <c r="M44" s="63"/>
      <c r="N44" s="78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</row>
    <row r="45" ht="14.25" customHeight="1">
      <c r="A45" s="141"/>
      <c r="B45" s="141"/>
      <c r="C45" s="63"/>
      <c r="D45" s="79"/>
      <c r="E45" s="80"/>
      <c r="F45" s="63"/>
      <c r="G45" s="63"/>
      <c r="H45" s="63"/>
      <c r="I45" s="63"/>
      <c r="J45" s="63"/>
      <c r="K45" s="63"/>
      <c r="L45" s="63"/>
      <c r="M45" s="63"/>
      <c r="N45" s="78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</row>
    <row r="46" ht="14.25" customHeight="1">
      <c r="A46" s="141"/>
      <c r="B46" s="141"/>
      <c r="C46" s="63"/>
      <c r="D46" s="86" t="s">
        <v>10</v>
      </c>
      <c r="E46" s="87">
        <f t="shared" ref="E46:E47" si="7">E42+E38</f>
        <v>4627</v>
      </c>
      <c r="F46" s="63"/>
      <c r="G46" s="63"/>
      <c r="H46" s="63"/>
      <c r="I46" s="63"/>
      <c r="J46" s="63"/>
      <c r="K46" s="63"/>
      <c r="L46" s="63"/>
      <c r="M46" s="63"/>
      <c r="N46" s="78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</row>
    <row r="47" ht="14.25" customHeight="1">
      <c r="A47" s="141"/>
      <c r="B47" s="141"/>
      <c r="C47" s="63"/>
      <c r="D47" s="86" t="s">
        <v>11</v>
      </c>
      <c r="E47" s="87">
        <f t="shared" si="7"/>
        <v>0</v>
      </c>
      <c r="F47" s="63"/>
      <c r="G47" s="63"/>
      <c r="H47" s="63"/>
      <c r="I47" s="63"/>
      <c r="J47" s="63"/>
      <c r="K47" s="63"/>
      <c r="L47" s="63"/>
      <c r="M47" s="63"/>
      <c r="N47" s="78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</row>
    <row r="48" ht="14.25" customHeight="1">
      <c r="A48" s="141"/>
      <c r="B48" s="141"/>
      <c r="C48" s="63"/>
      <c r="D48" s="80"/>
      <c r="E48" s="80"/>
      <c r="F48" s="63"/>
      <c r="G48" s="63"/>
      <c r="H48" s="63"/>
      <c r="I48" s="63"/>
      <c r="J48" s="63"/>
      <c r="K48" s="63"/>
      <c r="L48" s="63"/>
      <c r="M48" s="63"/>
      <c r="N48" s="78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</row>
    <row r="49" ht="14.25" customHeight="1">
      <c r="A49" s="141"/>
      <c r="B49" s="141"/>
      <c r="C49" s="63"/>
      <c r="D49" s="80"/>
      <c r="E49" s="80"/>
      <c r="F49" s="63"/>
      <c r="G49" s="63"/>
      <c r="H49" s="63"/>
      <c r="I49" s="63"/>
      <c r="J49" s="63"/>
      <c r="K49" s="63"/>
      <c r="L49" s="63"/>
      <c r="M49" s="63"/>
      <c r="N49" s="78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</row>
    <row r="50" ht="14.25" customHeight="1">
      <c r="A50" s="141"/>
      <c r="B50" s="141"/>
      <c r="C50" s="63"/>
      <c r="D50" s="80"/>
      <c r="E50" s="80"/>
      <c r="F50" s="63"/>
      <c r="G50" s="63"/>
      <c r="H50" s="63"/>
      <c r="I50" s="63"/>
      <c r="J50" s="63"/>
      <c r="K50" s="63"/>
      <c r="L50" s="63"/>
      <c r="M50" s="63"/>
      <c r="N50" s="78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</row>
    <row r="51" ht="14.25" customHeight="1">
      <c r="A51" s="141"/>
      <c r="B51" s="141"/>
      <c r="C51" s="63"/>
      <c r="D51" s="80"/>
      <c r="E51" s="80"/>
      <c r="F51" s="63"/>
      <c r="G51" s="63"/>
      <c r="H51" s="63"/>
      <c r="I51" s="63"/>
      <c r="J51" s="63"/>
      <c r="K51" s="63"/>
      <c r="L51" s="63"/>
      <c r="M51" s="63"/>
      <c r="N51" s="78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</row>
    <row r="52" ht="14.25" customHeight="1">
      <c r="A52" s="141"/>
      <c r="B52" s="141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78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</row>
    <row r="53" ht="14.25" customHeight="1">
      <c r="A53" s="141"/>
      <c r="B53" s="141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78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</row>
    <row r="54" ht="14.25" customHeight="1">
      <c r="A54" s="141"/>
      <c r="B54" s="141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78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</row>
    <row r="55" ht="14.25" customHeight="1">
      <c r="A55" s="141"/>
      <c r="B55" s="141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78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</row>
    <row r="56" ht="14.25" customHeight="1">
      <c r="A56" s="141"/>
      <c r="B56" s="141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78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</row>
    <row r="57" ht="14.25" customHeight="1">
      <c r="A57" s="141"/>
      <c r="B57" s="141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78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</row>
    <row r="58" ht="14.25" customHeight="1">
      <c r="A58" s="141"/>
      <c r="B58" s="141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78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</row>
    <row r="59" ht="14.25" customHeight="1">
      <c r="A59" s="141"/>
      <c r="B59" s="141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78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</row>
    <row r="60" ht="14.25" customHeight="1">
      <c r="A60" s="141"/>
      <c r="B60" s="141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78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</row>
    <row r="61" ht="14.25" customHeight="1">
      <c r="A61" s="141"/>
      <c r="B61" s="141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78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</row>
    <row r="62" ht="14.25" customHeight="1">
      <c r="A62" s="141"/>
      <c r="B62" s="141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78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</row>
    <row r="63" ht="14.25" customHeight="1">
      <c r="A63" s="141"/>
      <c r="B63" s="141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78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</row>
    <row r="64" ht="14.25" customHeight="1">
      <c r="A64" s="141"/>
      <c r="B64" s="141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78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</row>
    <row r="65" ht="14.25" customHeight="1">
      <c r="A65" s="141"/>
      <c r="B65" s="141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78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</row>
    <row r="66" ht="14.25" customHeight="1">
      <c r="A66" s="141"/>
      <c r="B66" s="141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78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</row>
    <row r="67" ht="14.25" customHeight="1">
      <c r="A67" s="141"/>
      <c r="B67" s="141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78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</row>
    <row r="68" ht="14.25" customHeight="1">
      <c r="A68" s="141"/>
      <c r="B68" s="141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78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</row>
    <row r="69" ht="14.25" customHeight="1">
      <c r="A69" s="141"/>
      <c r="B69" s="141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78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</row>
    <row r="70" ht="14.25" customHeight="1">
      <c r="A70" s="141"/>
      <c r="B70" s="141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78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</row>
    <row r="71" ht="14.25" customHeight="1">
      <c r="A71" s="141"/>
      <c r="B71" s="141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78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</row>
    <row r="72" ht="14.25" customHeight="1">
      <c r="A72" s="141"/>
      <c r="B72" s="141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78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</row>
    <row r="73" ht="14.25" customHeight="1">
      <c r="A73" s="141"/>
      <c r="B73" s="141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78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</row>
    <row r="74" ht="14.25" customHeight="1">
      <c r="A74" s="141"/>
      <c r="B74" s="141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78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</row>
    <row r="75" ht="14.25" customHeight="1">
      <c r="A75" s="141"/>
      <c r="B75" s="141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78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</row>
    <row r="76" ht="14.25" customHeight="1">
      <c r="A76" s="141"/>
      <c r="B76" s="141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78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</row>
    <row r="77" ht="14.25" customHeight="1">
      <c r="A77" s="141"/>
      <c r="B77" s="141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78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</row>
    <row r="78" ht="14.25" customHeight="1">
      <c r="A78" s="141"/>
      <c r="B78" s="141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78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</row>
    <row r="79" ht="14.25" customHeight="1">
      <c r="A79" s="141"/>
      <c r="B79" s="141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78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</row>
    <row r="80" ht="14.25" customHeight="1">
      <c r="A80" s="141"/>
      <c r="B80" s="141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78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</row>
    <row r="81" ht="14.25" customHeight="1">
      <c r="A81" s="141"/>
      <c r="B81" s="141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78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</row>
    <row r="82" ht="14.25" customHeight="1">
      <c r="A82" s="141"/>
      <c r="B82" s="141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78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</row>
    <row r="83" ht="14.25" customHeight="1">
      <c r="A83" s="141"/>
      <c r="B83" s="141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78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</row>
    <row r="84" ht="14.25" customHeight="1">
      <c r="A84" s="141"/>
      <c r="B84" s="141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78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</row>
    <row r="85" ht="14.25" customHeight="1">
      <c r="A85" s="141"/>
      <c r="B85" s="141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78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</row>
    <row r="86" ht="14.25" customHeight="1">
      <c r="A86" s="141"/>
      <c r="B86" s="141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78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</row>
    <row r="87" ht="14.25" customHeight="1">
      <c r="A87" s="141"/>
      <c r="B87" s="141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78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</row>
    <row r="88" ht="14.25" customHeight="1">
      <c r="A88" s="141"/>
      <c r="B88" s="141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78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</row>
    <row r="89" ht="14.25" customHeight="1">
      <c r="A89" s="141"/>
      <c r="B89" s="141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78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</row>
    <row r="90" ht="14.25" customHeight="1">
      <c r="A90" s="141"/>
      <c r="B90" s="141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78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</row>
    <row r="91" ht="14.25" customHeight="1">
      <c r="A91" s="141"/>
      <c r="B91" s="141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78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</row>
    <row r="92" ht="14.25" customHeight="1">
      <c r="A92" s="141"/>
      <c r="B92" s="141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78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</row>
    <row r="93" ht="14.25" customHeight="1">
      <c r="A93" s="141"/>
      <c r="B93" s="141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78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</row>
    <row r="94" ht="14.25" customHeight="1">
      <c r="A94" s="141"/>
      <c r="B94" s="141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78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</row>
    <row r="95" ht="14.25" customHeight="1">
      <c r="A95" s="141"/>
      <c r="B95" s="141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78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</row>
    <row r="96" ht="14.25" customHeight="1">
      <c r="A96" s="141"/>
      <c r="B96" s="141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78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</row>
    <row r="97" ht="14.25" customHeight="1">
      <c r="A97" s="141"/>
      <c r="B97" s="141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78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</row>
    <row r="98" ht="14.25" customHeight="1">
      <c r="A98" s="141"/>
      <c r="B98" s="141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78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</row>
    <row r="99" ht="14.25" customHeight="1">
      <c r="A99" s="141"/>
      <c r="B99" s="141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78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</row>
    <row r="100" ht="14.25" customHeight="1">
      <c r="A100" s="141"/>
      <c r="B100" s="141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78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</row>
    <row r="101" ht="14.25" customHeight="1">
      <c r="A101" s="141"/>
      <c r="B101" s="141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78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</row>
    <row r="102" ht="14.25" customHeight="1">
      <c r="A102" s="141"/>
      <c r="B102" s="141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78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</row>
    <row r="103" ht="14.25" customHeight="1">
      <c r="A103" s="141"/>
      <c r="B103" s="141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78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</row>
    <row r="104" ht="14.25" customHeight="1">
      <c r="A104" s="141"/>
      <c r="B104" s="141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78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</row>
    <row r="105" ht="14.25" customHeight="1">
      <c r="A105" s="141"/>
      <c r="B105" s="141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78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</row>
    <row r="106" ht="14.25" customHeight="1">
      <c r="A106" s="141"/>
      <c r="B106" s="141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78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</row>
    <row r="107" ht="14.25" customHeight="1">
      <c r="A107" s="141"/>
      <c r="B107" s="141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78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</row>
    <row r="108" ht="14.25" customHeight="1">
      <c r="A108" s="141"/>
      <c r="B108" s="141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78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</row>
    <row r="109" ht="14.25" customHeight="1">
      <c r="A109" s="141"/>
      <c r="B109" s="141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78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</row>
    <row r="110" ht="14.25" customHeight="1">
      <c r="A110" s="141"/>
      <c r="B110" s="141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78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</row>
    <row r="111" ht="14.25" customHeight="1">
      <c r="A111" s="141"/>
      <c r="B111" s="141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78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</row>
    <row r="112" ht="14.25" customHeight="1">
      <c r="A112" s="141"/>
      <c r="B112" s="141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78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</row>
    <row r="113" ht="14.25" customHeight="1">
      <c r="A113" s="141"/>
      <c r="B113" s="141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78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</row>
    <row r="114" ht="14.25" customHeight="1">
      <c r="A114" s="141"/>
      <c r="B114" s="141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78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</row>
    <row r="115" ht="14.25" customHeight="1">
      <c r="A115" s="141"/>
      <c r="B115" s="141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78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</row>
    <row r="116" ht="14.25" customHeight="1">
      <c r="A116" s="141"/>
      <c r="B116" s="141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78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</row>
    <row r="117" ht="14.25" customHeight="1">
      <c r="A117" s="141"/>
      <c r="B117" s="141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78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</row>
    <row r="118" ht="14.25" customHeight="1">
      <c r="A118" s="141"/>
      <c r="B118" s="141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78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</row>
    <row r="119" ht="14.25" customHeight="1">
      <c r="A119" s="141"/>
      <c r="B119" s="141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78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</row>
    <row r="120" ht="14.25" customHeight="1">
      <c r="A120" s="141"/>
      <c r="B120" s="141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78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</row>
    <row r="121" ht="14.25" customHeight="1">
      <c r="A121" s="141"/>
      <c r="B121" s="141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78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</row>
    <row r="122" ht="14.25" customHeight="1">
      <c r="A122" s="141"/>
      <c r="B122" s="141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78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</row>
    <row r="123" ht="14.25" customHeight="1">
      <c r="A123" s="141"/>
      <c r="B123" s="141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78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</row>
    <row r="124" ht="14.25" customHeight="1">
      <c r="A124" s="141"/>
      <c r="B124" s="141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78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</row>
    <row r="125" ht="14.25" customHeight="1">
      <c r="A125" s="141"/>
      <c r="B125" s="141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78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</row>
    <row r="126" ht="14.25" customHeight="1">
      <c r="A126" s="141"/>
      <c r="B126" s="141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78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</row>
    <row r="127" ht="14.25" customHeight="1">
      <c r="A127" s="141"/>
      <c r="B127" s="141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78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</row>
    <row r="128" ht="14.25" customHeight="1">
      <c r="A128" s="141"/>
      <c r="B128" s="141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78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</row>
    <row r="129" ht="14.25" customHeight="1">
      <c r="A129" s="141"/>
      <c r="B129" s="141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78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</row>
    <row r="130" ht="14.25" customHeight="1">
      <c r="A130" s="141"/>
      <c r="B130" s="141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78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</row>
    <row r="131" ht="14.25" customHeight="1">
      <c r="A131" s="141"/>
      <c r="B131" s="141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78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</row>
    <row r="132" ht="14.25" customHeight="1">
      <c r="A132" s="141"/>
      <c r="B132" s="141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78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</row>
    <row r="133" ht="14.25" customHeight="1">
      <c r="A133" s="141"/>
      <c r="B133" s="141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78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</row>
    <row r="134" ht="14.25" customHeight="1">
      <c r="A134" s="141"/>
      <c r="B134" s="141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78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</row>
    <row r="135" ht="14.25" customHeight="1">
      <c r="A135" s="141"/>
      <c r="B135" s="141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78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</row>
    <row r="136" ht="14.25" customHeight="1">
      <c r="A136" s="141"/>
      <c r="B136" s="141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78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</row>
    <row r="137" ht="14.25" customHeight="1">
      <c r="A137" s="141"/>
      <c r="B137" s="141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78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</row>
    <row r="138" ht="14.25" customHeight="1">
      <c r="A138" s="141"/>
      <c r="B138" s="141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78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</row>
    <row r="139" ht="14.25" customHeight="1">
      <c r="A139" s="141"/>
      <c r="B139" s="141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78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</row>
    <row r="140" ht="14.25" customHeight="1">
      <c r="A140" s="141"/>
      <c r="B140" s="141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78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</row>
    <row r="141" ht="14.25" customHeight="1">
      <c r="A141" s="141"/>
      <c r="B141" s="141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78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</row>
    <row r="142" ht="14.25" customHeight="1">
      <c r="A142" s="141"/>
      <c r="B142" s="141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78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</row>
    <row r="143" ht="14.25" customHeight="1">
      <c r="A143" s="141"/>
      <c r="B143" s="141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78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</row>
    <row r="144" ht="14.25" customHeight="1">
      <c r="A144" s="141"/>
      <c r="B144" s="141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78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</row>
    <row r="145" ht="14.25" customHeight="1">
      <c r="A145" s="141"/>
      <c r="B145" s="141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78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</row>
    <row r="146" ht="14.25" customHeight="1">
      <c r="A146" s="141"/>
      <c r="B146" s="141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78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</row>
    <row r="147" ht="14.25" customHeight="1">
      <c r="A147" s="141"/>
      <c r="B147" s="141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78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</row>
    <row r="148" ht="14.25" customHeight="1">
      <c r="A148" s="141"/>
      <c r="B148" s="141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78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</row>
    <row r="149" ht="14.25" customHeight="1">
      <c r="A149" s="141"/>
      <c r="B149" s="141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78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</row>
    <row r="150" ht="14.25" customHeight="1">
      <c r="A150" s="141"/>
      <c r="B150" s="141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78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</row>
    <row r="151" ht="14.25" customHeight="1">
      <c r="A151" s="141"/>
      <c r="B151" s="141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78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</row>
    <row r="152" ht="14.25" customHeight="1">
      <c r="A152" s="141"/>
      <c r="B152" s="141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78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</row>
    <row r="153" ht="14.25" customHeight="1">
      <c r="A153" s="141"/>
      <c r="B153" s="141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78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</row>
    <row r="154" ht="14.25" customHeight="1">
      <c r="A154" s="141"/>
      <c r="B154" s="141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78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</row>
    <row r="155" ht="14.25" customHeight="1">
      <c r="A155" s="141"/>
      <c r="B155" s="141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78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</row>
    <row r="156" ht="14.25" customHeight="1">
      <c r="A156" s="141"/>
      <c r="B156" s="141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78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</row>
    <row r="157" ht="14.25" customHeight="1">
      <c r="A157" s="141"/>
      <c r="B157" s="141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78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</row>
    <row r="158" ht="14.25" customHeight="1">
      <c r="A158" s="141"/>
      <c r="B158" s="141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78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</row>
    <row r="159" ht="14.25" customHeight="1">
      <c r="A159" s="141"/>
      <c r="B159" s="141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78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</row>
    <row r="160" ht="14.25" customHeight="1">
      <c r="A160" s="141"/>
      <c r="B160" s="141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78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</row>
    <row r="161" ht="14.25" customHeight="1">
      <c r="A161" s="141"/>
      <c r="B161" s="141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78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</row>
    <row r="162" ht="14.25" customHeight="1">
      <c r="A162" s="141"/>
      <c r="B162" s="141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78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</row>
    <row r="163" ht="14.25" customHeight="1">
      <c r="A163" s="141"/>
      <c r="B163" s="141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78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</row>
    <row r="164" ht="14.25" customHeight="1">
      <c r="A164" s="141"/>
      <c r="B164" s="141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78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</row>
    <row r="165" ht="14.25" customHeight="1">
      <c r="A165" s="141"/>
      <c r="B165" s="141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78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</row>
    <row r="166" ht="14.25" customHeight="1">
      <c r="A166" s="141"/>
      <c r="B166" s="141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78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</row>
    <row r="167" ht="14.25" customHeight="1">
      <c r="A167" s="141"/>
      <c r="B167" s="141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78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</row>
    <row r="168" ht="14.25" customHeight="1">
      <c r="A168" s="141"/>
      <c r="B168" s="141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78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</row>
    <row r="169" ht="14.25" customHeight="1">
      <c r="A169" s="141"/>
      <c r="B169" s="141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78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</row>
    <row r="170" ht="14.25" customHeight="1">
      <c r="A170" s="141"/>
      <c r="B170" s="141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78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</row>
    <row r="171" ht="14.25" customHeight="1">
      <c r="A171" s="141"/>
      <c r="B171" s="141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78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</row>
    <row r="172" ht="14.25" customHeight="1">
      <c r="A172" s="141"/>
      <c r="B172" s="141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78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</row>
    <row r="173" ht="14.25" customHeight="1">
      <c r="A173" s="141"/>
      <c r="B173" s="141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78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</row>
    <row r="174" ht="14.25" customHeight="1">
      <c r="A174" s="141"/>
      <c r="B174" s="141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78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</row>
    <row r="175" ht="14.25" customHeight="1">
      <c r="A175" s="141"/>
      <c r="B175" s="141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78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</row>
    <row r="176" ht="14.25" customHeight="1">
      <c r="A176" s="141"/>
      <c r="B176" s="141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78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</row>
    <row r="177" ht="14.25" customHeight="1">
      <c r="A177" s="141"/>
      <c r="B177" s="141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78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</row>
    <row r="178" ht="14.25" customHeight="1">
      <c r="A178" s="141"/>
      <c r="B178" s="141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78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</row>
    <row r="179" ht="14.25" customHeight="1">
      <c r="A179" s="141"/>
      <c r="B179" s="141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78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</row>
    <row r="180" ht="14.25" customHeight="1">
      <c r="A180" s="141"/>
      <c r="B180" s="141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78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</row>
    <row r="181" ht="14.25" customHeight="1">
      <c r="A181" s="141"/>
      <c r="B181" s="141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78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</row>
    <row r="182" ht="14.25" customHeight="1">
      <c r="A182" s="141"/>
      <c r="B182" s="141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78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</row>
    <row r="183" ht="14.25" customHeight="1">
      <c r="A183" s="141"/>
      <c r="B183" s="141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78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</row>
    <row r="184" ht="14.25" customHeight="1">
      <c r="A184" s="141"/>
      <c r="B184" s="141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78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</row>
    <row r="185" ht="14.25" customHeight="1">
      <c r="A185" s="141"/>
      <c r="B185" s="141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78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</row>
    <row r="186" ht="14.25" customHeight="1">
      <c r="A186" s="141"/>
      <c r="B186" s="141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78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</row>
    <row r="187" ht="14.25" customHeight="1">
      <c r="A187" s="141"/>
      <c r="B187" s="141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78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</row>
    <row r="188" ht="14.25" customHeight="1">
      <c r="A188" s="141"/>
      <c r="B188" s="141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78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</row>
    <row r="189" ht="14.25" customHeight="1">
      <c r="A189" s="141"/>
      <c r="B189" s="141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78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</row>
    <row r="190" ht="14.25" customHeight="1">
      <c r="A190" s="141"/>
      <c r="B190" s="141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78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</row>
    <row r="191" ht="14.25" customHeight="1">
      <c r="A191" s="141"/>
      <c r="B191" s="141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78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</row>
    <row r="192" ht="14.25" customHeight="1">
      <c r="A192" s="141"/>
      <c r="B192" s="141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78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</row>
    <row r="193" ht="14.25" customHeight="1">
      <c r="A193" s="141"/>
      <c r="B193" s="141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78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</row>
    <row r="194" ht="14.25" customHeight="1">
      <c r="A194" s="141"/>
      <c r="B194" s="141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78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</row>
    <row r="195" ht="14.25" customHeight="1">
      <c r="A195" s="141"/>
      <c r="B195" s="141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78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</row>
    <row r="196" ht="14.25" customHeight="1">
      <c r="A196" s="141"/>
      <c r="B196" s="141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78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</row>
    <row r="197" ht="14.25" customHeight="1">
      <c r="A197" s="141"/>
      <c r="B197" s="141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78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</row>
    <row r="198" ht="14.25" customHeight="1">
      <c r="A198" s="141"/>
      <c r="B198" s="141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78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</row>
    <row r="199" ht="14.25" customHeight="1">
      <c r="A199" s="141"/>
      <c r="B199" s="141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78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</row>
    <row r="200" ht="14.25" customHeight="1">
      <c r="A200" s="141"/>
      <c r="B200" s="141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78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</row>
    <row r="201" ht="14.25" customHeight="1">
      <c r="A201" s="141"/>
      <c r="B201" s="141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78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</row>
    <row r="202" ht="14.25" customHeight="1">
      <c r="A202" s="141"/>
      <c r="B202" s="141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78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</row>
    <row r="203" ht="14.25" customHeight="1">
      <c r="A203" s="141"/>
      <c r="B203" s="141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78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</row>
    <row r="204" ht="14.25" customHeight="1">
      <c r="A204" s="141"/>
      <c r="B204" s="141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78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</row>
    <row r="205" ht="14.25" customHeight="1">
      <c r="A205" s="141"/>
      <c r="B205" s="141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78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</row>
    <row r="206" ht="14.25" customHeight="1">
      <c r="A206" s="141"/>
      <c r="B206" s="141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78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</row>
    <row r="207" ht="14.25" customHeight="1">
      <c r="A207" s="141"/>
      <c r="B207" s="141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78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</row>
    <row r="208" ht="14.25" customHeight="1">
      <c r="A208" s="141"/>
      <c r="B208" s="141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78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</row>
    <row r="209" ht="14.25" customHeight="1">
      <c r="A209" s="141"/>
      <c r="B209" s="141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78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</row>
    <row r="210" ht="14.25" customHeight="1">
      <c r="A210" s="141"/>
      <c r="B210" s="141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78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</row>
    <row r="211" ht="14.25" customHeight="1">
      <c r="A211" s="141"/>
      <c r="B211" s="141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78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</row>
    <row r="212" ht="14.25" customHeight="1">
      <c r="A212" s="141"/>
      <c r="B212" s="141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78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</row>
    <row r="213" ht="14.25" customHeight="1">
      <c r="A213" s="141"/>
      <c r="B213" s="141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78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</row>
    <row r="214" ht="14.25" customHeight="1">
      <c r="A214" s="141"/>
      <c r="B214" s="141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78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</row>
    <row r="215" ht="14.25" customHeight="1">
      <c r="A215" s="141"/>
      <c r="B215" s="141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78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</row>
    <row r="216" ht="14.25" customHeight="1">
      <c r="A216" s="141"/>
      <c r="B216" s="141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78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</row>
    <row r="217" ht="14.25" customHeight="1">
      <c r="A217" s="141"/>
      <c r="B217" s="141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78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</row>
    <row r="218" ht="14.25" customHeight="1">
      <c r="A218" s="141"/>
      <c r="B218" s="141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78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</row>
    <row r="219" ht="14.25" customHeight="1">
      <c r="A219" s="141"/>
      <c r="B219" s="141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78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</row>
    <row r="220" ht="14.25" customHeight="1">
      <c r="A220" s="141"/>
      <c r="B220" s="141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78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</row>
    <row r="221" ht="14.25" customHeight="1">
      <c r="A221" s="141"/>
      <c r="B221" s="141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78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</row>
    <row r="222" ht="14.25" customHeight="1">
      <c r="A222" s="141"/>
      <c r="B222" s="141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78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</row>
    <row r="223" ht="14.25" customHeight="1">
      <c r="A223" s="141"/>
      <c r="B223" s="141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78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</row>
    <row r="224" ht="14.25" customHeight="1">
      <c r="A224" s="141"/>
      <c r="B224" s="141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78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</row>
    <row r="225" ht="14.25" customHeight="1">
      <c r="A225" s="141"/>
      <c r="B225" s="141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78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</row>
    <row r="226" ht="14.25" customHeight="1">
      <c r="A226" s="141"/>
      <c r="B226" s="141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78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</row>
    <row r="227" ht="14.25" customHeight="1">
      <c r="A227" s="141"/>
      <c r="B227" s="141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78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</row>
    <row r="228" ht="14.25" customHeight="1">
      <c r="A228" s="141"/>
      <c r="B228" s="141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78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</row>
    <row r="229" ht="14.25" customHeight="1">
      <c r="A229" s="141"/>
      <c r="B229" s="141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78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</row>
    <row r="230" ht="14.25" customHeight="1">
      <c r="A230" s="141"/>
      <c r="B230" s="141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78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</row>
    <row r="231" ht="14.25" customHeight="1">
      <c r="A231" s="141"/>
      <c r="B231" s="141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78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</row>
    <row r="232" ht="14.25" customHeight="1">
      <c r="A232" s="141"/>
      <c r="B232" s="141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78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</row>
    <row r="233" ht="14.25" customHeight="1">
      <c r="A233" s="141"/>
      <c r="B233" s="141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78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</row>
    <row r="234" ht="14.25" customHeight="1">
      <c r="A234" s="141"/>
      <c r="B234" s="141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78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</row>
    <row r="235" ht="14.25" customHeight="1">
      <c r="A235" s="141"/>
      <c r="B235" s="141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78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</row>
    <row r="236" ht="14.25" customHeight="1">
      <c r="A236" s="141"/>
      <c r="B236" s="141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78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</row>
    <row r="237" ht="14.25" customHeight="1">
      <c r="A237" s="141"/>
      <c r="B237" s="141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78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</row>
    <row r="238" ht="14.25" customHeight="1">
      <c r="A238" s="141"/>
      <c r="B238" s="141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78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</row>
    <row r="239" ht="14.25" customHeight="1">
      <c r="A239" s="141"/>
      <c r="B239" s="141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78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</row>
    <row r="240" ht="14.25" customHeight="1">
      <c r="A240" s="141"/>
      <c r="B240" s="141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78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</row>
    <row r="241" ht="14.25" customHeight="1">
      <c r="A241" s="141"/>
      <c r="B241" s="141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78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</row>
    <row r="242" ht="14.25" customHeight="1">
      <c r="A242" s="141"/>
      <c r="B242" s="141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78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</row>
    <row r="243" ht="14.25" customHeight="1">
      <c r="A243" s="141"/>
      <c r="B243" s="141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78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</row>
    <row r="244" ht="14.25" customHeight="1">
      <c r="A244" s="141"/>
      <c r="B244" s="141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78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</row>
    <row r="245" ht="14.25" customHeight="1">
      <c r="A245" s="141"/>
      <c r="B245" s="141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78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</row>
    <row r="246" ht="14.25" customHeight="1">
      <c r="A246" s="141"/>
      <c r="B246" s="141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78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</row>
    <row r="247" ht="14.25" customHeight="1">
      <c r="A247" s="141"/>
      <c r="B247" s="141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78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</row>
    <row r="248" ht="15.75" customHeight="1">
      <c r="A248" s="142"/>
      <c r="B248" s="142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89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ht="15.75" customHeight="1">
      <c r="A249" s="142"/>
      <c r="B249" s="142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89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ht="15.75" customHeight="1">
      <c r="A250" s="142"/>
      <c r="B250" s="142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89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ht="15.75" customHeight="1">
      <c r="A251" s="142"/>
      <c r="B251" s="142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89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ht="15.75" customHeight="1">
      <c r="A252" s="142"/>
      <c r="B252" s="142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89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ht="15.75" customHeight="1">
      <c r="A253" s="142"/>
      <c r="B253" s="142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89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ht="15.75" customHeight="1">
      <c r="A254" s="142"/>
      <c r="B254" s="142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89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ht="15.75" customHeight="1">
      <c r="A255" s="142"/>
      <c r="B255" s="142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89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ht="15.75" customHeight="1">
      <c r="A256" s="142"/>
      <c r="B256" s="142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89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ht="15.75" customHeight="1">
      <c r="A257" s="142"/>
      <c r="B257" s="142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89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ht="15.75" customHeight="1">
      <c r="A258" s="142"/>
      <c r="B258" s="142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89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ht="15.75" customHeight="1">
      <c r="A259" s="142"/>
      <c r="B259" s="142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89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ht="15.75" customHeight="1">
      <c r="A260" s="142"/>
      <c r="B260" s="142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89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ht="15.75" customHeight="1">
      <c r="A261" s="142"/>
      <c r="B261" s="142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89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ht="15.75" customHeight="1">
      <c r="A262" s="142"/>
      <c r="B262" s="142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89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ht="15.75" customHeight="1">
      <c r="A263" s="142"/>
      <c r="B263" s="142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89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ht="15.75" customHeight="1">
      <c r="A264" s="142"/>
      <c r="B264" s="142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89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ht="15.75" customHeight="1">
      <c r="A265" s="142"/>
      <c r="B265" s="142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89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ht="15.75" customHeight="1">
      <c r="A266" s="142"/>
      <c r="B266" s="142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89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ht="15.75" customHeight="1">
      <c r="A267" s="142"/>
      <c r="B267" s="142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89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ht="15.75" customHeight="1">
      <c r="A268" s="142"/>
      <c r="B268" s="142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89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ht="15.75" customHeight="1">
      <c r="A269" s="142"/>
      <c r="B269" s="142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89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ht="15.75" customHeight="1">
      <c r="A270" s="142"/>
      <c r="B270" s="142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89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ht="15.75" customHeight="1">
      <c r="A271" s="142"/>
      <c r="B271" s="142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89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ht="15.75" customHeight="1">
      <c r="A272" s="142"/>
      <c r="B272" s="142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89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ht="15.75" customHeight="1">
      <c r="A273" s="142"/>
      <c r="B273" s="142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89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ht="15.75" customHeight="1">
      <c r="A274" s="142"/>
      <c r="B274" s="142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89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ht="15.75" customHeight="1">
      <c r="A275" s="142"/>
      <c r="B275" s="142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89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ht="15.75" customHeight="1">
      <c r="A276" s="142"/>
      <c r="B276" s="142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89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ht="15.75" customHeight="1">
      <c r="A277" s="142"/>
      <c r="B277" s="142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89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ht="15.75" customHeight="1">
      <c r="A278" s="142"/>
      <c r="B278" s="142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89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ht="15.75" customHeight="1">
      <c r="A279" s="142"/>
      <c r="B279" s="142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89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ht="15.75" customHeight="1">
      <c r="A280" s="142"/>
      <c r="B280" s="142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89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ht="15.75" customHeight="1">
      <c r="A281" s="142"/>
      <c r="B281" s="142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89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ht="15.75" customHeight="1">
      <c r="A282" s="142"/>
      <c r="B282" s="142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89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ht="15.75" customHeight="1">
      <c r="A283" s="142"/>
      <c r="B283" s="142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89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ht="15.75" customHeight="1">
      <c r="A284" s="142"/>
      <c r="B284" s="142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89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ht="15.75" customHeight="1">
      <c r="A285" s="142"/>
      <c r="B285" s="142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89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ht="15.75" customHeight="1">
      <c r="A286" s="142"/>
      <c r="B286" s="142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89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ht="15.75" customHeight="1">
      <c r="A287" s="142"/>
      <c r="B287" s="142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89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ht="15.75" customHeight="1">
      <c r="A288" s="142"/>
      <c r="B288" s="142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89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ht="15.75" customHeight="1">
      <c r="A289" s="142"/>
      <c r="B289" s="142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89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ht="15.75" customHeight="1">
      <c r="A290" s="142"/>
      <c r="B290" s="142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89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ht="15.75" customHeight="1">
      <c r="A291" s="142"/>
      <c r="B291" s="142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89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ht="15.75" customHeight="1">
      <c r="A292" s="142"/>
      <c r="B292" s="142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89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ht="15.75" customHeight="1">
      <c r="A293" s="142"/>
      <c r="B293" s="142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89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ht="15.75" customHeight="1">
      <c r="A294" s="142"/>
      <c r="B294" s="142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89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ht="15.75" customHeight="1">
      <c r="A295" s="142"/>
      <c r="B295" s="142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89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ht="15.75" customHeight="1">
      <c r="A296" s="142"/>
      <c r="B296" s="142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89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ht="15.75" customHeight="1">
      <c r="A297" s="142"/>
      <c r="B297" s="142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89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ht="15.75" customHeight="1">
      <c r="A298" s="142"/>
      <c r="B298" s="142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89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ht="15.75" customHeight="1">
      <c r="A299" s="142"/>
      <c r="B299" s="142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89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ht="15.75" customHeight="1">
      <c r="A300" s="142"/>
      <c r="B300" s="142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89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ht="15.75" customHeight="1">
      <c r="A301" s="142"/>
      <c r="B301" s="142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89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ht="15.75" customHeight="1">
      <c r="A302" s="142"/>
      <c r="B302" s="142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89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ht="15.75" customHeight="1">
      <c r="A303" s="142"/>
      <c r="B303" s="142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89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ht="15.75" customHeight="1">
      <c r="A304" s="142"/>
      <c r="B304" s="142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89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ht="15.75" customHeight="1">
      <c r="A305" s="142"/>
      <c r="B305" s="142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89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ht="15.75" customHeight="1">
      <c r="A306" s="142"/>
      <c r="B306" s="142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89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ht="15.75" customHeight="1">
      <c r="A307" s="142"/>
      <c r="B307" s="142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89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ht="15.75" customHeight="1">
      <c r="A308" s="142"/>
      <c r="B308" s="142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89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ht="15.75" customHeight="1">
      <c r="A309" s="142"/>
      <c r="B309" s="142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89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ht="15.75" customHeight="1">
      <c r="A310" s="142"/>
      <c r="B310" s="142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89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ht="15.75" customHeight="1">
      <c r="A311" s="142"/>
      <c r="B311" s="142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89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ht="15.75" customHeight="1">
      <c r="A312" s="142"/>
      <c r="B312" s="142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89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ht="15.75" customHeight="1">
      <c r="A313" s="142"/>
      <c r="B313" s="142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89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ht="15.75" customHeight="1">
      <c r="A314" s="142"/>
      <c r="B314" s="142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89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ht="15.75" customHeight="1">
      <c r="A315" s="142"/>
      <c r="B315" s="142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89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ht="15.75" customHeight="1">
      <c r="A316" s="142"/>
      <c r="B316" s="142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89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ht="15.75" customHeight="1">
      <c r="A317" s="142"/>
      <c r="B317" s="142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89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ht="15.75" customHeight="1">
      <c r="A318" s="142"/>
      <c r="B318" s="142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89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ht="15.75" customHeight="1">
      <c r="A319" s="142"/>
      <c r="B319" s="142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89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ht="15.75" customHeight="1">
      <c r="A320" s="142"/>
      <c r="B320" s="142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89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ht="15.75" customHeight="1">
      <c r="A321" s="142"/>
      <c r="B321" s="142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89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ht="15.75" customHeight="1">
      <c r="A322" s="142"/>
      <c r="B322" s="142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89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ht="15.75" customHeight="1">
      <c r="A323" s="142"/>
      <c r="B323" s="142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89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ht="15.75" customHeight="1">
      <c r="A324" s="142"/>
      <c r="B324" s="142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89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ht="15.75" customHeight="1">
      <c r="A325" s="142"/>
      <c r="B325" s="142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89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ht="15.75" customHeight="1">
      <c r="A326" s="142"/>
      <c r="B326" s="142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89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ht="15.75" customHeight="1">
      <c r="A327" s="142"/>
      <c r="B327" s="142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89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ht="15.75" customHeight="1">
      <c r="A328" s="142"/>
      <c r="B328" s="142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89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ht="15.75" customHeight="1">
      <c r="A329" s="142"/>
      <c r="B329" s="142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89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ht="15.75" customHeight="1">
      <c r="A330" s="142"/>
      <c r="B330" s="142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89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ht="15.75" customHeight="1">
      <c r="A331" s="142"/>
      <c r="B331" s="142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89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ht="15.75" customHeight="1">
      <c r="A332" s="142"/>
      <c r="B332" s="142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89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ht="15.75" customHeight="1">
      <c r="A333" s="142"/>
      <c r="B333" s="142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89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ht="15.75" customHeight="1">
      <c r="A334" s="142"/>
      <c r="B334" s="142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89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ht="15.75" customHeight="1">
      <c r="A335" s="142"/>
      <c r="B335" s="142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89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ht="15.75" customHeight="1">
      <c r="A336" s="142"/>
      <c r="B336" s="142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89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ht="15.75" customHeight="1">
      <c r="A337" s="142"/>
      <c r="B337" s="142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89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ht="15.75" customHeight="1">
      <c r="A338" s="142"/>
      <c r="B338" s="142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89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ht="15.75" customHeight="1">
      <c r="A339" s="142"/>
      <c r="B339" s="142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89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ht="15.75" customHeight="1">
      <c r="A340" s="142"/>
      <c r="B340" s="142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89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ht="15.75" customHeight="1">
      <c r="A341" s="142"/>
      <c r="B341" s="142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89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ht="15.75" customHeight="1">
      <c r="A342" s="142"/>
      <c r="B342" s="142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89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ht="15.75" customHeight="1">
      <c r="A343" s="142"/>
      <c r="B343" s="142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89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ht="15.75" customHeight="1">
      <c r="A344" s="142"/>
      <c r="B344" s="142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89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ht="15.75" customHeight="1">
      <c r="A345" s="142"/>
      <c r="B345" s="142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89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ht="15.75" customHeight="1">
      <c r="A346" s="142"/>
      <c r="B346" s="142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89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ht="15.75" customHeight="1">
      <c r="A347" s="142"/>
      <c r="B347" s="142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89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ht="15.75" customHeight="1">
      <c r="A348" s="142"/>
      <c r="B348" s="142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89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ht="15.75" customHeight="1">
      <c r="A349" s="142"/>
      <c r="B349" s="142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89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ht="15.75" customHeight="1">
      <c r="A350" s="142"/>
      <c r="B350" s="142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89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ht="15.75" customHeight="1">
      <c r="A351" s="142"/>
      <c r="B351" s="142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89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ht="15.75" customHeight="1">
      <c r="A352" s="142"/>
      <c r="B352" s="142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89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ht="15.75" customHeight="1">
      <c r="A353" s="142"/>
      <c r="B353" s="142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89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ht="15.75" customHeight="1">
      <c r="A354" s="142"/>
      <c r="B354" s="142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89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ht="15.75" customHeight="1">
      <c r="A355" s="142"/>
      <c r="B355" s="142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89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ht="15.75" customHeight="1">
      <c r="A356" s="142"/>
      <c r="B356" s="142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89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ht="15.75" customHeight="1">
      <c r="A357" s="142"/>
      <c r="B357" s="142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89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ht="15.75" customHeight="1">
      <c r="A358" s="142"/>
      <c r="B358" s="142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89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ht="15.75" customHeight="1">
      <c r="A359" s="142"/>
      <c r="B359" s="142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89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ht="15.75" customHeight="1">
      <c r="A360" s="142"/>
      <c r="B360" s="142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89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ht="15.75" customHeight="1">
      <c r="A361" s="142"/>
      <c r="B361" s="142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89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ht="15.75" customHeight="1">
      <c r="A362" s="142"/>
      <c r="B362" s="142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89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ht="15.75" customHeight="1">
      <c r="A363" s="142"/>
      <c r="B363" s="142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89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ht="15.75" customHeight="1">
      <c r="A364" s="142"/>
      <c r="B364" s="142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89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ht="15.75" customHeight="1">
      <c r="A365" s="142"/>
      <c r="B365" s="142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89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ht="15.75" customHeight="1">
      <c r="A366" s="142"/>
      <c r="B366" s="142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89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ht="15.75" customHeight="1">
      <c r="A367" s="142"/>
      <c r="B367" s="142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89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ht="15.75" customHeight="1">
      <c r="A368" s="142"/>
      <c r="B368" s="142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89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ht="15.75" customHeight="1">
      <c r="A369" s="142"/>
      <c r="B369" s="142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89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ht="15.75" customHeight="1">
      <c r="A370" s="142"/>
      <c r="B370" s="142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89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ht="15.75" customHeight="1">
      <c r="A371" s="142"/>
      <c r="B371" s="142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89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ht="15.75" customHeight="1">
      <c r="A372" s="142"/>
      <c r="B372" s="142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89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ht="15.75" customHeight="1">
      <c r="A373" s="142"/>
      <c r="B373" s="142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89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ht="15.75" customHeight="1">
      <c r="A374" s="142"/>
      <c r="B374" s="142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89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ht="15.75" customHeight="1">
      <c r="A375" s="142"/>
      <c r="B375" s="142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89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ht="15.75" customHeight="1">
      <c r="A376" s="142"/>
      <c r="B376" s="142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89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ht="15.75" customHeight="1">
      <c r="A377" s="142"/>
      <c r="B377" s="142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89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ht="15.75" customHeight="1">
      <c r="A378" s="142"/>
      <c r="B378" s="142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89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ht="15.75" customHeight="1">
      <c r="A379" s="142"/>
      <c r="B379" s="142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89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ht="15.75" customHeight="1">
      <c r="A380" s="142"/>
      <c r="B380" s="142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89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ht="15.75" customHeight="1">
      <c r="A381" s="142"/>
      <c r="B381" s="142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89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ht="15.75" customHeight="1">
      <c r="A382" s="142"/>
      <c r="B382" s="142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89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ht="15.75" customHeight="1">
      <c r="A383" s="142"/>
      <c r="B383" s="142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89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ht="15.75" customHeight="1">
      <c r="A384" s="142"/>
      <c r="B384" s="142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89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ht="15.75" customHeight="1">
      <c r="A385" s="142"/>
      <c r="B385" s="142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89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ht="15.75" customHeight="1">
      <c r="A386" s="142"/>
      <c r="B386" s="142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89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ht="15.75" customHeight="1">
      <c r="A387" s="142"/>
      <c r="B387" s="142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89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ht="15.75" customHeight="1">
      <c r="A388" s="142"/>
      <c r="B388" s="142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89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ht="15.75" customHeight="1">
      <c r="A389" s="142"/>
      <c r="B389" s="142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89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ht="15.75" customHeight="1">
      <c r="A390" s="142"/>
      <c r="B390" s="142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89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ht="15.75" customHeight="1">
      <c r="A391" s="142"/>
      <c r="B391" s="142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89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ht="15.75" customHeight="1">
      <c r="A392" s="142"/>
      <c r="B392" s="142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89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ht="15.75" customHeight="1">
      <c r="A393" s="142"/>
      <c r="B393" s="142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89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ht="15.75" customHeight="1">
      <c r="A394" s="142"/>
      <c r="B394" s="142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89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ht="15.75" customHeight="1">
      <c r="A395" s="142"/>
      <c r="B395" s="142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89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ht="15.75" customHeight="1">
      <c r="A396" s="142"/>
      <c r="B396" s="142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89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ht="15.75" customHeight="1">
      <c r="A397" s="142"/>
      <c r="B397" s="142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89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ht="15.75" customHeight="1">
      <c r="A398" s="142"/>
      <c r="B398" s="142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89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ht="15.75" customHeight="1">
      <c r="A399" s="142"/>
      <c r="B399" s="142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89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ht="15.75" customHeight="1">
      <c r="A400" s="142"/>
      <c r="B400" s="142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89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ht="15.75" customHeight="1">
      <c r="A401" s="142"/>
      <c r="B401" s="142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89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ht="15.75" customHeight="1">
      <c r="A402" s="142"/>
      <c r="B402" s="142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89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ht="15.75" customHeight="1">
      <c r="A403" s="142"/>
      <c r="B403" s="142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89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ht="15.75" customHeight="1">
      <c r="A404" s="142"/>
      <c r="B404" s="142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89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ht="15.75" customHeight="1">
      <c r="A405" s="142"/>
      <c r="B405" s="142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89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ht="15.75" customHeight="1">
      <c r="A406" s="142"/>
      <c r="B406" s="142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89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ht="15.75" customHeight="1">
      <c r="A407" s="142"/>
      <c r="B407" s="142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89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ht="15.75" customHeight="1">
      <c r="A408" s="142"/>
      <c r="B408" s="142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89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ht="15.75" customHeight="1">
      <c r="A409" s="142"/>
      <c r="B409" s="142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89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ht="15.75" customHeight="1">
      <c r="A410" s="142"/>
      <c r="B410" s="142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89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ht="15.75" customHeight="1">
      <c r="A411" s="142"/>
      <c r="B411" s="142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89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ht="15.75" customHeight="1">
      <c r="A412" s="142"/>
      <c r="B412" s="142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89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ht="15.75" customHeight="1">
      <c r="A413" s="142"/>
      <c r="B413" s="142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89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ht="15.75" customHeight="1">
      <c r="A414" s="142"/>
      <c r="B414" s="142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89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ht="15.75" customHeight="1">
      <c r="A415" s="142"/>
      <c r="B415" s="142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89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ht="15.75" customHeight="1">
      <c r="A416" s="142"/>
      <c r="B416" s="142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89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ht="15.75" customHeight="1">
      <c r="A417" s="142"/>
      <c r="B417" s="142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89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ht="15.75" customHeight="1">
      <c r="A418" s="142"/>
      <c r="B418" s="142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89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ht="15.75" customHeight="1">
      <c r="A419" s="142"/>
      <c r="B419" s="142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89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ht="15.75" customHeight="1">
      <c r="A420" s="142"/>
      <c r="B420" s="142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89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ht="15.75" customHeight="1">
      <c r="A421" s="142"/>
      <c r="B421" s="142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89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ht="15.75" customHeight="1">
      <c r="A422" s="142"/>
      <c r="B422" s="142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89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ht="15.75" customHeight="1">
      <c r="A423" s="142"/>
      <c r="B423" s="142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89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ht="15.75" customHeight="1">
      <c r="A424" s="142"/>
      <c r="B424" s="142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89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ht="15.75" customHeight="1">
      <c r="A425" s="142"/>
      <c r="B425" s="142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89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ht="15.75" customHeight="1">
      <c r="A426" s="142"/>
      <c r="B426" s="142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89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ht="15.75" customHeight="1">
      <c r="A427" s="142"/>
      <c r="B427" s="142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89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ht="15.75" customHeight="1">
      <c r="A428" s="142"/>
      <c r="B428" s="142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89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ht="15.75" customHeight="1">
      <c r="A429" s="142"/>
      <c r="B429" s="142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89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ht="15.75" customHeight="1">
      <c r="A430" s="142"/>
      <c r="B430" s="142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89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ht="15.75" customHeight="1">
      <c r="A431" s="142"/>
      <c r="B431" s="142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89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ht="15.75" customHeight="1">
      <c r="A432" s="142"/>
      <c r="B432" s="142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89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ht="15.75" customHeight="1">
      <c r="A433" s="142"/>
      <c r="B433" s="142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89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ht="15.75" customHeight="1">
      <c r="A434" s="142"/>
      <c r="B434" s="142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89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ht="15.75" customHeight="1">
      <c r="A435" s="142"/>
      <c r="B435" s="142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89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ht="15.75" customHeight="1">
      <c r="A436" s="142"/>
      <c r="B436" s="142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89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ht="15.75" customHeight="1">
      <c r="A437" s="142"/>
      <c r="B437" s="142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89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ht="15.75" customHeight="1">
      <c r="A438" s="142"/>
      <c r="B438" s="142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89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ht="15.75" customHeight="1">
      <c r="A439" s="142"/>
      <c r="B439" s="142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89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ht="15.75" customHeight="1">
      <c r="A440" s="142"/>
      <c r="B440" s="142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89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ht="15.75" customHeight="1">
      <c r="A441" s="142"/>
      <c r="B441" s="142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89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ht="15.75" customHeight="1">
      <c r="A442" s="142"/>
      <c r="B442" s="142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89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ht="15.75" customHeight="1">
      <c r="A443" s="142"/>
      <c r="B443" s="142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89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ht="15.75" customHeight="1">
      <c r="A444" s="142"/>
      <c r="B444" s="142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89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ht="15.75" customHeight="1">
      <c r="A445" s="142"/>
      <c r="B445" s="142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89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ht="15.75" customHeight="1">
      <c r="A446" s="142"/>
      <c r="B446" s="142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89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ht="15.75" customHeight="1">
      <c r="A447" s="142"/>
      <c r="B447" s="142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89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ht="15.75" customHeight="1">
      <c r="A448" s="142"/>
      <c r="B448" s="142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89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ht="15.75" customHeight="1">
      <c r="A449" s="142"/>
      <c r="B449" s="142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89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ht="15.75" customHeight="1">
      <c r="A450" s="142"/>
      <c r="B450" s="142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89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ht="15.75" customHeight="1">
      <c r="A451" s="142"/>
      <c r="B451" s="142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89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ht="15.75" customHeight="1">
      <c r="A452" s="142"/>
      <c r="B452" s="142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89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ht="15.75" customHeight="1">
      <c r="A453" s="142"/>
      <c r="B453" s="142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89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ht="15.75" customHeight="1">
      <c r="A454" s="142"/>
      <c r="B454" s="142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89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ht="15.75" customHeight="1">
      <c r="A455" s="142"/>
      <c r="B455" s="142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89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ht="15.75" customHeight="1">
      <c r="A456" s="142"/>
      <c r="B456" s="142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89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ht="15.75" customHeight="1">
      <c r="A457" s="142"/>
      <c r="B457" s="142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89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ht="15.75" customHeight="1">
      <c r="A458" s="142"/>
      <c r="B458" s="142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89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ht="15.75" customHeight="1">
      <c r="A459" s="142"/>
      <c r="B459" s="142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89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ht="15.75" customHeight="1">
      <c r="A460" s="142"/>
      <c r="B460" s="142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89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ht="15.75" customHeight="1">
      <c r="A461" s="142"/>
      <c r="B461" s="142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89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ht="15.75" customHeight="1">
      <c r="A462" s="142"/>
      <c r="B462" s="142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89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ht="15.75" customHeight="1">
      <c r="A463" s="142"/>
      <c r="B463" s="142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89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ht="15.75" customHeight="1">
      <c r="A464" s="142"/>
      <c r="B464" s="142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89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ht="15.75" customHeight="1">
      <c r="A465" s="142"/>
      <c r="B465" s="142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89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ht="15.75" customHeight="1">
      <c r="A466" s="142"/>
      <c r="B466" s="142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89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ht="15.75" customHeight="1">
      <c r="A467" s="142"/>
      <c r="B467" s="142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89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ht="15.75" customHeight="1">
      <c r="A468" s="142"/>
      <c r="B468" s="142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89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ht="15.75" customHeight="1">
      <c r="A469" s="142"/>
      <c r="B469" s="142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89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ht="15.75" customHeight="1">
      <c r="A470" s="142"/>
      <c r="B470" s="142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89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ht="15.75" customHeight="1">
      <c r="A471" s="142"/>
      <c r="B471" s="142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89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ht="15.75" customHeight="1">
      <c r="A472" s="142"/>
      <c r="B472" s="142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89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ht="15.75" customHeight="1">
      <c r="A473" s="142"/>
      <c r="B473" s="142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89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ht="15.75" customHeight="1">
      <c r="A474" s="142"/>
      <c r="B474" s="142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89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ht="15.75" customHeight="1">
      <c r="A475" s="142"/>
      <c r="B475" s="142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89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ht="15.75" customHeight="1">
      <c r="A476" s="142"/>
      <c r="B476" s="142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89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ht="15.75" customHeight="1">
      <c r="A477" s="142"/>
      <c r="B477" s="142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89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ht="15.75" customHeight="1">
      <c r="A478" s="142"/>
      <c r="B478" s="142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89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ht="15.75" customHeight="1">
      <c r="A479" s="142"/>
      <c r="B479" s="142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89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ht="15.75" customHeight="1">
      <c r="A480" s="142"/>
      <c r="B480" s="142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89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ht="15.75" customHeight="1">
      <c r="A481" s="142"/>
      <c r="B481" s="142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89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ht="15.75" customHeight="1">
      <c r="A482" s="142"/>
      <c r="B482" s="142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89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ht="15.75" customHeight="1">
      <c r="A483" s="142"/>
      <c r="B483" s="142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89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ht="15.75" customHeight="1">
      <c r="A484" s="142"/>
      <c r="B484" s="142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89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ht="15.75" customHeight="1">
      <c r="A485" s="142"/>
      <c r="B485" s="142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89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ht="15.75" customHeight="1">
      <c r="A486" s="142"/>
      <c r="B486" s="142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89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ht="15.75" customHeight="1">
      <c r="A487" s="142"/>
      <c r="B487" s="142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89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ht="15.75" customHeight="1">
      <c r="A488" s="142"/>
      <c r="B488" s="142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89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ht="15.75" customHeight="1">
      <c r="A489" s="142"/>
      <c r="B489" s="142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89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ht="15.75" customHeight="1">
      <c r="A490" s="142"/>
      <c r="B490" s="142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89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ht="15.75" customHeight="1">
      <c r="A491" s="142"/>
      <c r="B491" s="142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89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ht="15.75" customHeight="1">
      <c r="A492" s="142"/>
      <c r="B492" s="142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89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ht="15.75" customHeight="1">
      <c r="A493" s="142"/>
      <c r="B493" s="142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89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ht="15.75" customHeight="1">
      <c r="A494" s="142"/>
      <c r="B494" s="142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89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ht="15.75" customHeight="1">
      <c r="A495" s="142"/>
      <c r="B495" s="142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89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ht="15.75" customHeight="1">
      <c r="A496" s="142"/>
      <c r="B496" s="142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89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ht="15.75" customHeight="1">
      <c r="A497" s="142"/>
      <c r="B497" s="142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89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ht="15.75" customHeight="1">
      <c r="A498" s="142"/>
      <c r="B498" s="142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89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ht="15.75" customHeight="1">
      <c r="A499" s="142"/>
      <c r="B499" s="142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89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ht="15.75" customHeight="1">
      <c r="A500" s="142"/>
      <c r="B500" s="142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89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ht="15.75" customHeight="1">
      <c r="A501" s="142"/>
      <c r="B501" s="142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89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ht="15.75" customHeight="1">
      <c r="A502" s="142"/>
      <c r="B502" s="142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89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ht="15.75" customHeight="1">
      <c r="A503" s="142"/>
      <c r="B503" s="142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89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ht="15.75" customHeight="1">
      <c r="A504" s="142"/>
      <c r="B504" s="142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89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ht="15.75" customHeight="1">
      <c r="A505" s="142"/>
      <c r="B505" s="142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89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ht="15.75" customHeight="1">
      <c r="A506" s="142"/>
      <c r="B506" s="142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89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ht="15.75" customHeight="1">
      <c r="A507" s="142"/>
      <c r="B507" s="142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89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ht="15.75" customHeight="1">
      <c r="A508" s="142"/>
      <c r="B508" s="142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89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ht="15.75" customHeight="1">
      <c r="A509" s="142"/>
      <c r="B509" s="142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89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ht="15.75" customHeight="1">
      <c r="A510" s="142"/>
      <c r="B510" s="142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89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ht="15.75" customHeight="1">
      <c r="A511" s="142"/>
      <c r="B511" s="142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89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ht="15.75" customHeight="1">
      <c r="A512" s="142"/>
      <c r="B512" s="142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89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ht="15.75" customHeight="1">
      <c r="A513" s="142"/>
      <c r="B513" s="142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89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ht="15.75" customHeight="1">
      <c r="A514" s="142"/>
      <c r="B514" s="142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89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ht="15.75" customHeight="1">
      <c r="A515" s="142"/>
      <c r="B515" s="142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89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ht="15.75" customHeight="1">
      <c r="A516" s="142"/>
      <c r="B516" s="142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89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ht="15.75" customHeight="1">
      <c r="A517" s="142"/>
      <c r="B517" s="142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89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ht="15.75" customHeight="1">
      <c r="A518" s="142"/>
      <c r="B518" s="142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89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ht="15.75" customHeight="1">
      <c r="A519" s="142"/>
      <c r="B519" s="142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89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ht="15.75" customHeight="1">
      <c r="A520" s="142"/>
      <c r="B520" s="142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89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ht="15.75" customHeight="1">
      <c r="A521" s="142"/>
      <c r="B521" s="142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89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ht="15.75" customHeight="1">
      <c r="A522" s="142"/>
      <c r="B522" s="142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89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ht="15.75" customHeight="1">
      <c r="A523" s="142"/>
      <c r="B523" s="142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89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ht="15.75" customHeight="1">
      <c r="A524" s="142"/>
      <c r="B524" s="142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89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ht="15.75" customHeight="1">
      <c r="A525" s="142"/>
      <c r="B525" s="142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89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ht="15.75" customHeight="1">
      <c r="A526" s="142"/>
      <c r="B526" s="142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89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ht="15.75" customHeight="1">
      <c r="A527" s="142"/>
      <c r="B527" s="142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89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ht="15.75" customHeight="1">
      <c r="A528" s="142"/>
      <c r="B528" s="142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89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ht="15.75" customHeight="1">
      <c r="A529" s="142"/>
      <c r="B529" s="142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89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ht="15.75" customHeight="1">
      <c r="A530" s="142"/>
      <c r="B530" s="142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89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ht="15.75" customHeight="1">
      <c r="A531" s="142"/>
      <c r="B531" s="142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89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ht="15.75" customHeight="1">
      <c r="A532" s="142"/>
      <c r="B532" s="142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89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ht="15.75" customHeight="1">
      <c r="A533" s="142"/>
      <c r="B533" s="142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89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ht="15.75" customHeight="1">
      <c r="A534" s="142"/>
      <c r="B534" s="142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89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ht="15.75" customHeight="1">
      <c r="A535" s="142"/>
      <c r="B535" s="142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89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ht="15.75" customHeight="1">
      <c r="A536" s="142"/>
      <c r="B536" s="142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89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ht="15.75" customHeight="1">
      <c r="A537" s="142"/>
      <c r="B537" s="142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89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ht="15.75" customHeight="1">
      <c r="A538" s="142"/>
      <c r="B538" s="142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89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ht="15.75" customHeight="1">
      <c r="A539" s="142"/>
      <c r="B539" s="142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89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ht="15.75" customHeight="1">
      <c r="A540" s="142"/>
      <c r="B540" s="142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89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ht="15.75" customHeight="1">
      <c r="A541" s="142"/>
      <c r="B541" s="142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89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ht="15.75" customHeight="1">
      <c r="A542" s="142"/>
      <c r="B542" s="142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89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ht="15.75" customHeight="1">
      <c r="A543" s="142"/>
      <c r="B543" s="142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89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ht="15.75" customHeight="1">
      <c r="A544" s="142"/>
      <c r="B544" s="142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89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ht="15.75" customHeight="1">
      <c r="A545" s="142"/>
      <c r="B545" s="142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89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ht="15.75" customHeight="1">
      <c r="A546" s="142"/>
      <c r="B546" s="142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89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ht="15.75" customHeight="1">
      <c r="A547" s="142"/>
      <c r="B547" s="142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89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ht="15.75" customHeight="1">
      <c r="A548" s="142"/>
      <c r="B548" s="142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89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ht="15.75" customHeight="1">
      <c r="A549" s="142"/>
      <c r="B549" s="142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89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ht="15.75" customHeight="1">
      <c r="A550" s="142"/>
      <c r="B550" s="142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89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ht="15.75" customHeight="1">
      <c r="A551" s="142"/>
      <c r="B551" s="142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89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ht="15.75" customHeight="1">
      <c r="A552" s="142"/>
      <c r="B552" s="142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89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ht="15.75" customHeight="1">
      <c r="A553" s="142"/>
      <c r="B553" s="142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89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ht="15.75" customHeight="1">
      <c r="A554" s="142"/>
      <c r="B554" s="142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89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ht="15.75" customHeight="1">
      <c r="A555" s="142"/>
      <c r="B555" s="142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89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ht="15.75" customHeight="1">
      <c r="A556" s="142"/>
      <c r="B556" s="142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89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ht="15.75" customHeight="1">
      <c r="A557" s="142"/>
      <c r="B557" s="142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89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ht="15.75" customHeight="1">
      <c r="A558" s="142"/>
      <c r="B558" s="142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89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ht="15.75" customHeight="1">
      <c r="A559" s="142"/>
      <c r="B559" s="142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89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ht="15.75" customHeight="1">
      <c r="A560" s="142"/>
      <c r="B560" s="142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89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ht="15.75" customHeight="1">
      <c r="A561" s="142"/>
      <c r="B561" s="142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89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ht="15.75" customHeight="1">
      <c r="A562" s="142"/>
      <c r="B562" s="142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89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ht="15.75" customHeight="1">
      <c r="A563" s="142"/>
      <c r="B563" s="142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89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ht="15.75" customHeight="1">
      <c r="A564" s="142"/>
      <c r="B564" s="142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89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ht="15.75" customHeight="1">
      <c r="A565" s="142"/>
      <c r="B565" s="142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89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ht="15.75" customHeight="1">
      <c r="A566" s="142"/>
      <c r="B566" s="142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89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ht="15.75" customHeight="1">
      <c r="A567" s="142"/>
      <c r="B567" s="142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89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ht="15.75" customHeight="1">
      <c r="A568" s="142"/>
      <c r="B568" s="142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89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ht="15.75" customHeight="1">
      <c r="A569" s="142"/>
      <c r="B569" s="142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89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ht="15.75" customHeight="1">
      <c r="A570" s="142"/>
      <c r="B570" s="142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89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ht="15.75" customHeight="1">
      <c r="A571" s="142"/>
      <c r="B571" s="142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89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ht="15.75" customHeight="1">
      <c r="A572" s="142"/>
      <c r="B572" s="142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89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ht="15.75" customHeight="1">
      <c r="A573" s="142"/>
      <c r="B573" s="142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89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ht="15.75" customHeight="1">
      <c r="A574" s="142"/>
      <c r="B574" s="142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89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ht="15.75" customHeight="1">
      <c r="A575" s="142"/>
      <c r="B575" s="142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89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ht="15.75" customHeight="1">
      <c r="A576" s="142"/>
      <c r="B576" s="142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89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ht="15.75" customHeight="1">
      <c r="A577" s="142"/>
      <c r="B577" s="142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89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ht="15.75" customHeight="1">
      <c r="A578" s="142"/>
      <c r="B578" s="142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89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ht="15.75" customHeight="1">
      <c r="A579" s="142"/>
      <c r="B579" s="142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89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ht="15.75" customHeight="1">
      <c r="A580" s="142"/>
      <c r="B580" s="142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89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ht="15.75" customHeight="1">
      <c r="A581" s="142"/>
      <c r="B581" s="142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89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ht="15.75" customHeight="1">
      <c r="A582" s="142"/>
      <c r="B582" s="142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89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ht="15.75" customHeight="1">
      <c r="A583" s="142"/>
      <c r="B583" s="142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89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ht="15.75" customHeight="1">
      <c r="A584" s="142"/>
      <c r="B584" s="142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89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ht="15.75" customHeight="1">
      <c r="A585" s="142"/>
      <c r="B585" s="142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89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ht="15.75" customHeight="1">
      <c r="A586" s="142"/>
      <c r="B586" s="142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89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ht="15.75" customHeight="1">
      <c r="A587" s="142"/>
      <c r="B587" s="142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89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ht="15.75" customHeight="1">
      <c r="A588" s="142"/>
      <c r="B588" s="142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89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ht="15.75" customHeight="1">
      <c r="A589" s="142"/>
      <c r="B589" s="142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89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ht="15.75" customHeight="1">
      <c r="A590" s="142"/>
      <c r="B590" s="142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89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ht="15.75" customHeight="1">
      <c r="A591" s="142"/>
      <c r="B591" s="142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89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ht="15.75" customHeight="1">
      <c r="A592" s="142"/>
      <c r="B592" s="142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89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ht="15.75" customHeight="1">
      <c r="A593" s="142"/>
      <c r="B593" s="142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89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ht="15.75" customHeight="1">
      <c r="A594" s="142"/>
      <c r="B594" s="142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89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ht="15.75" customHeight="1">
      <c r="A595" s="142"/>
      <c r="B595" s="142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89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ht="15.75" customHeight="1">
      <c r="A596" s="142"/>
      <c r="B596" s="142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89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ht="15.75" customHeight="1">
      <c r="A597" s="142"/>
      <c r="B597" s="142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89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ht="15.75" customHeight="1">
      <c r="A598" s="142"/>
      <c r="B598" s="142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89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ht="15.75" customHeight="1">
      <c r="A599" s="142"/>
      <c r="B599" s="142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89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ht="15.75" customHeight="1">
      <c r="A600" s="142"/>
      <c r="B600" s="142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89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ht="15.75" customHeight="1">
      <c r="A601" s="142"/>
      <c r="B601" s="142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89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ht="15.75" customHeight="1">
      <c r="A602" s="142"/>
      <c r="B602" s="142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89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ht="15.75" customHeight="1">
      <c r="A603" s="142"/>
      <c r="B603" s="142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89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ht="15.75" customHeight="1">
      <c r="A604" s="142"/>
      <c r="B604" s="142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89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ht="15.75" customHeight="1">
      <c r="A605" s="142"/>
      <c r="B605" s="142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89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ht="15.75" customHeight="1">
      <c r="A606" s="142"/>
      <c r="B606" s="142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89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ht="15.75" customHeight="1">
      <c r="A607" s="142"/>
      <c r="B607" s="142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89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ht="15.75" customHeight="1">
      <c r="A608" s="142"/>
      <c r="B608" s="142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89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ht="15.75" customHeight="1">
      <c r="A609" s="142"/>
      <c r="B609" s="142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89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ht="15.75" customHeight="1">
      <c r="A610" s="142"/>
      <c r="B610" s="142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89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ht="15.75" customHeight="1">
      <c r="A611" s="142"/>
      <c r="B611" s="142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89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ht="15.75" customHeight="1">
      <c r="A612" s="142"/>
      <c r="B612" s="142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89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ht="15.75" customHeight="1">
      <c r="A613" s="142"/>
      <c r="B613" s="142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89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ht="15.75" customHeight="1">
      <c r="A614" s="142"/>
      <c r="B614" s="142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89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ht="15.75" customHeight="1">
      <c r="A615" s="142"/>
      <c r="B615" s="142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89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ht="15.75" customHeight="1">
      <c r="A616" s="142"/>
      <c r="B616" s="142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89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ht="15.75" customHeight="1">
      <c r="A617" s="142"/>
      <c r="B617" s="142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89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ht="15.75" customHeight="1">
      <c r="A618" s="142"/>
      <c r="B618" s="142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89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ht="15.75" customHeight="1">
      <c r="A619" s="142"/>
      <c r="B619" s="142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89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ht="15.75" customHeight="1">
      <c r="A620" s="142"/>
      <c r="B620" s="142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89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ht="15.75" customHeight="1">
      <c r="A621" s="142"/>
      <c r="B621" s="142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89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ht="15.75" customHeight="1">
      <c r="A622" s="142"/>
      <c r="B622" s="142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89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ht="15.75" customHeight="1">
      <c r="A623" s="142"/>
      <c r="B623" s="142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89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ht="15.75" customHeight="1">
      <c r="A624" s="142"/>
      <c r="B624" s="142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89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ht="15.75" customHeight="1">
      <c r="A625" s="142"/>
      <c r="B625" s="142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89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ht="15.75" customHeight="1">
      <c r="A626" s="142"/>
      <c r="B626" s="142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89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ht="15.75" customHeight="1">
      <c r="A627" s="142"/>
      <c r="B627" s="142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89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ht="15.75" customHeight="1">
      <c r="A628" s="142"/>
      <c r="B628" s="142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89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ht="15.75" customHeight="1">
      <c r="A629" s="142"/>
      <c r="B629" s="142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89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ht="15.75" customHeight="1">
      <c r="A630" s="142"/>
      <c r="B630" s="142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89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ht="15.75" customHeight="1">
      <c r="A631" s="142"/>
      <c r="B631" s="142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89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ht="15.75" customHeight="1">
      <c r="A632" s="142"/>
      <c r="B632" s="142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89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ht="15.75" customHeight="1">
      <c r="A633" s="142"/>
      <c r="B633" s="142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89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ht="15.75" customHeight="1">
      <c r="A634" s="142"/>
      <c r="B634" s="142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89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ht="15.75" customHeight="1">
      <c r="A635" s="142"/>
      <c r="B635" s="142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89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ht="15.75" customHeight="1">
      <c r="A636" s="142"/>
      <c r="B636" s="142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89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ht="15.75" customHeight="1">
      <c r="A637" s="142"/>
      <c r="B637" s="142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89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ht="15.75" customHeight="1">
      <c r="A638" s="142"/>
      <c r="B638" s="142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89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ht="15.75" customHeight="1">
      <c r="A639" s="142"/>
      <c r="B639" s="142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89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ht="15.75" customHeight="1">
      <c r="A640" s="142"/>
      <c r="B640" s="142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89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ht="15.75" customHeight="1">
      <c r="A641" s="142"/>
      <c r="B641" s="142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89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ht="15.75" customHeight="1">
      <c r="A642" s="142"/>
      <c r="B642" s="142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89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ht="15.75" customHeight="1">
      <c r="A643" s="142"/>
      <c r="B643" s="142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89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ht="15.75" customHeight="1">
      <c r="A644" s="142"/>
      <c r="B644" s="142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89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ht="15.75" customHeight="1">
      <c r="A645" s="142"/>
      <c r="B645" s="142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89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ht="15.75" customHeight="1">
      <c r="A646" s="142"/>
      <c r="B646" s="142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89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ht="15.75" customHeight="1">
      <c r="A647" s="142"/>
      <c r="B647" s="142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89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ht="15.75" customHeight="1">
      <c r="A648" s="142"/>
      <c r="B648" s="142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89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ht="15.75" customHeight="1">
      <c r="A649" s="142"/>
      <c r="B649" s="142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89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ht="15.75" customHeight="1">
      <c r="A650" s="142"/>
      <c r="B650" s="142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89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ht="15.75" customHeight="1">
      <c r="A651" s="142"/>
      <c r="B651" s="142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89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ht="15.75" customHeight="1">
      <c r="A652" s="142"/>
      <c r="B652" s="142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89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ht="15.75" customHeight="1">
      <c r="A653" s="142"/>
      <c r="B653" s="142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89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ht="15.75" customHeight="1">
      <c r="A654" s="142"/>
      <c r="B654" s="142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89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ht="15.75" customHeight="1">
      <c r="A655" s="142"/>
      <c r="B655" s="142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89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ht="15.75" customHeight="1">
      <c r="A656" s="142"/>
      <c r="B656" s="142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89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ht="15.75" customHeight="1">
      <c r="A657" s="142"/>
      <c r="B657" s="142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89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ht="15.75" customHeight="1">
      <c r="A658" s="142"/>
      <c r="B658" s="142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89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ht="15.75" customHeight="1">
      <c r="A659" s="142"/>
      <c r="B659" s="142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89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ht="15.75" customHeight="1">
      <c r="A660" s="142"/>
      <c r="B660" s="142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89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ht="15.75" customHeight="1">
      <c r="A661" s="142"/>
      <c r="B661" s="142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89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ht="15.75" customHeight="1">
      <c r="A662" s="142"/>
      <c r="B662" s="142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89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ht="15.75" customHeight="1">
      <c r="A663" s="142"/>
      <c r="B663" s="142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89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ht="15.75" customHeight="1">
      <c r="A664" s="142"/>
      <c r="B664" s="142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89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ht="15.75" customHeight="1">
      <c r="A665" s="142"/>
      <c r="B665" s="142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89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ht="15.75" customHeight="1">
      <c r="A666" s="142"/>
      <c r="B666" s="142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89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ht="15.75" customHeight="1">
      <c r="A667" s="142"/>
      <c r="B667" s="142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89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ht="15.75" customHeight="1">
      <c r="A668" s="142"/>
      <c r="B668" s="142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89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ht="15.75" customHeight="1">
      <c r="A669" s="142"/>
      <c r="B669" s="142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89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ht="15.75" customHeight="1">
      <c r="A670" s="142"/>
      <c r="B670" s="142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89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ht="15.75" customHeight="1">
      <c r="A671" s="142"/>
      <c r="B671" s="142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89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ht="15.75" customHeight="1">
      <c r="A672" s="142"/>
      <c r="B672" s="142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89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ht="15.75" customHeight="1">
      <c r="A673" s="142"/>
      <c r="B673" s="142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89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ht="15.75" customHeight="1">
      <c r="A674" s="142"/>
      <c r="B674" s="142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89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ht="15.75" customHeight="1">
      <c r="A675" s="142"/>
      <c r="B675" s="142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89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ht="15.75" customHeight="1">
      <c r="A676" s="142"/>
      <c r="B676" s="142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89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ht="15.75" customHeight="1">
      <c r="A677" s="142"/>
      <c r="B677" s="142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89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ht="15.75" customHeight="1">
      <c r="A678" s="142"/>
      <c r="B678" s="142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89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ht="15.75" customHeight="1">
      <c r="A679" s="142"/>
      <c r="B679" s="142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89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ht="15.75" customHeight="1">
      <c r="A680" s="142"/>
      <c r="B680" s="142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89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ht="15.75" customHeight="1">
      <c r="A681" s="142"/>
      <c r="B681" s="142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89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ht="15.75" customHeight="1">
      <c r="A682" s="142"/>
      <c r="B682" s="142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89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ht="15.75" customHeight="1">
      <c r="A683" s="142"/>
      <c r="B683" s="142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89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ht="15.75" customHeight="1">
      <c r="A684" s="142"/>
      <c r="B684" s="142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89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ht="15.75" customHeight="1">
      <c r="A685" s="142"/>
      <c r="B685" s="142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89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ht="15.75" customHeight="1">
      <c r="A686" s="142"/>
      <c r="B686" s="142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89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ht="15.75" customHeight="1">
      <c r="A687" s="142"/>
      <c r="B687" s="142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89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ht="15.75" customHeight="1">
      <c r="A688" s="142"/>
      <c r="B688" s="142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89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ht="15.75" customHeight="1">
      <c r="A689" s="142"/>
      <c r="B689" s="142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89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ht="15.75" customHeight="1">
      <c r="A690" s="142"/>
      <c r="B690" s="142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89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ht="15.75" customHeight="1">
      <c r="A691" s="142"/>
      <c r="B691" s="142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89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ht="15.75" customHeight="1">
      <c r="A692" s="142"/>
      <c r="B692" s="142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89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ht="15.75" customHeight="1">
      <c r="A693" s="142"/>
      <c r="B693" s="142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89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ht="15.75" customHeight="1">
      <c r="A694" s="142"/>
      <c r="B694" s="142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89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ht="15.75" customHeight="1">
      <c r="A695" s="142"/>
      <c r="B695" s="142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89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ht="15.75" customHeight="1">
      <c r="A696" s="142"/>
      <c r="B696" s="142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89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ht="15.75" customHeight="1">
      <c r="A697" s="142"/>
      <c r="B697" s="142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89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ht="15.75" customHeight="1">
      <c r="A698" s="142"/>
      <c r="B698" s="142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89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ht="15.75" customHeight="1">
      <c r="A699" s="142"/>
      <c r="B699" s="142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89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ht="15.75" customHeight="1">
      <c r="A700" s="142"/>
      <c r="B700" s="142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89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ht="15.75" customHeight="1">
      <c r="A701" s="142"/>
      <c r="B701" s="142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89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ht="15.75" customHeight="1">
      <c r="A702" s="142"/>
      <c r="B702" s="142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89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ht="15.75" customHeight="1">
      <c r="A703" s="142"/>
      <c r="B703" s="142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89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ht="15.75" customHeight="1">
      <c r="A704" s="142"/>
      <c r="B704" s="142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89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ht="15.75" customHeight="1">
      <c r="A705" s="142"/>
      <c r="B705" s="142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89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ht="15.75" customHeight="1">
      <c r="A706" s="142"/>
      <c r="B706" s="142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89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ht="15.75" customHeight="1">
      <c r="A707" s="142"/>
      <c r="B707" s="142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89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ht="15.75" customHeight="1">
      <c r="A708" s="142"/>
      <c r="B708" s="142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89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ht="15.75" customHeight="1">
      <c r="A709" s="142"/>
      <c r="B709" s="142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89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ht="15.75" customHeight="1">
      <c r="A710" s="142"/>
      <c r="B710" s="142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89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ht="15.75" customHeight="1">
      <c r="A711" s="142"/>
      <c r="B711" s="142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89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ht="15.75" customHeight="1">
      <c r="A712" s="142"/>
      <c r="B712" s="142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89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ht="15.75" customHeight="1">
      <c r="A713" s="142"/>
      <c r="B713" s="142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89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ht="15.75" customHeight="1">
      <c r="A714" s="142"/>
      <c r="B714" s="142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89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ht="15.75" customHeight="1">
      <c r="A715" s="142"/>
      <c r="B715" s="142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89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ht="15.75" customHeight="1">
      <c r="A716" s="142"/>
      <c r="B716" s="142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89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ht="15.75" customHeight="1">
      <c r="A717" s="142"/>
      <c r="B717" s="142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89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ht="15.75" customHeight="1">
      <c r="A718" s="142"/>
      <c r="B718" s="142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89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ht="15.75" customHeight="1">
      <c r="A719" s="142"/>
      <c r="B719" s="142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89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ht="15.75" customHeight="1">
      <c r="A720" s="142"/>
      <c r="B720" s="142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89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 ht="15.75" customHeight="1">
      <c r="A721" s="142"/>
      <c r="B721" s="142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89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 ht="15.75" customHeight="1">
      <c r="A722" s="142"/>
      <c r="B722" s="142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89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 ht="15.75" customHeight="1">
      <c r="A723" s="142"/>
      <c r="B723" s="142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89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 ht="15.75" customHeight="1">
      <c r="A724" s="142"/>
      <c r="B724" s="142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89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 ht="15.75" customHeight="1">
      <c r="A725" s="142"/>
      <c r="B725" s="142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89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 ht="15.75" customHeight="1">
      <c r="A726" s="142"/>
      <c r="B726" s="142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89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 ht="15.75" customHeight="1">
      <c r="A727" s="142"/>
      <c r="B727" s="142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89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 ht="15.75" customHeight="1">
      <c r="A728" s="142"/>
      <c r="B728" s="142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89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 ht="15.75" customHeight="1">
      <c r="A729" s="142"/>
      <c r="B729" s="142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89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 ht="15.75" customHeight="1">
      <c r="A730" s="142"/>
      <c r="B730" s="142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89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 ht="15.75" customHeight="1">
      <c r="A731" s="142"/>
      <c r="B731" s="142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89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 ht="15.75" customHeight="1">
      <c r="A732" s="142"/>
      <c r="B732" s="142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89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 ht="15.75" customHeight="1">
      <c r="A733" s="142"/>
      <c r="B733" s="142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89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 ht="15.75" customHeight="1">
      <c r="A734" s="142"/>
      <c r="B734" s="142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89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 ht="15.75" customHeight="1">
      <c r="A735" s="142"/>
      <c r="B735" s="142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89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 ht="15.75" customHeight="1">
      <c r="A736" s="142"/>
      <c r="B736" s="142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89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 ht="15.75" customHeight="1">
      <c r="A737" s="142"/>
      <c r="B737" s="142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89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 ht="15.75" customHeight="1">
      <c r="A738" s="142"/>
      <c r="B738" s="142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89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 ht="15.75" customHeight="1">
      <c r="A739" s="142"/>
      <c r="B739" s="142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89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 ht="15.75" customHeight="1">
      <c r="A740" s="142"/>
      <c r="B740" s="142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89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 ht="15.75" customHeight="1">
      <c r="A741" s="142"/>
      <c r="B741" s="142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89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 ht="15.75" customHeight="1">
      <c r="A742" s="142"/>
      <c r="B742" s="142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89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 ht="15.75" customHeight="1">
      <c r="A743" s="142"/>
      <c r="B743" s="142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89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 ht="15.75" customHeight="1">
      <c r="A744" s="142"/>
      <c r="B744" s="142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89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 ht="15.75" customHeight="1">
      <c r="A745" s="142"/>
      <c r="B745" s="142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89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 ht="15.75" customHeight="1">
      <c r="A746" s="142"/>
      <c r="B746" s="142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89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 ht="15.75" customHeight="1">
      <c r="A747" s="142"/>
      <c r="B747" s="142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89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 ht="15.75" customHeight="1">
      <c r="A748" s="142"/>
      <c r="B748" s="142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89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 ht="15.75" customHeight="1">
      <c r="A749" s="142"/>
      <c r="B749" s="142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89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 ht="15.75" customHeight="1">
      <c r="A750" s="142"/>
      <c r="B750" s="142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89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 ht="15.75" customHeight="1">
      <c r="A751" s="142"/>
      <c r="B751" s="142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89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 ht="15.75" customHeight="1">
      <c r="A752" s="142"/>
      <c r="B752" s="142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89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 ht="15.75" customHeight="1">
      <c r="A753" s="142"/>
      <c r="B753" s="142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89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 ht="15.75" customHeight="1">
      <c r="A754" s="142"/>
      <c r="B754" s="142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89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 ht="15.75" customHeight="1">
      <c r="A755" s="142"/>
      <c r="B755" s="142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89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 ht="15.75" customHeight="1">
      <c r="A756" s="142"/>
      <c r="B756" s="142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89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 ht="15.75" customHeight="1">
      <c r="A757" s="142"/>
      <c r="B757" s="142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89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 ht="15.75" customHeight="1">
      <c r="A758" s="142"/>
      <c r="B758" s="142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89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 ht="15.75" customHeight="1">
      <c r="A759" s="142"/>
      <c r="B759" s="142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89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 ht="15.75" customHeight="1">
      <c r="A760" s="142"/>
      <c r="B760" s="142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89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 ht="15.75" customHeight="1">
      <c r="A761" s="142"/>
      <c r="B761" s="142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89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 ht="15.75" customHeight="1">
      <c r="A762" s="142"/>
      <c r="B762" s="142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89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 ht="15.75" customHeight="1">
      <c r="A763" s="142"/>
      <c r="B763" s="142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89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 ht="15.75" customHeight="1">
      <c r="A764" s="142"/>
      <c r="B764" s="142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89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 ht="15.75" customHeight="1">
      <c r="A765" s="142"/>
      <c r="B765" s="142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89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 ht="15.75" customHeight="1">
      <c r="A766" s="142"/>
      <c r="B766" s="142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89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 ht="15.75" customHeight="1">
      <c r="A767" s="142"/>
      <c r="B767" s="142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89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 ht="15.75" customHeight="1">
      <c r="A768" s="142"/>
      <c r="B768" s="142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89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 ht="15.75" customHeight="1">
      <c r="A769" s="142"/>
      <c r="B769" s="142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89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 ht="15.75" customHeight="1">
      <c r="A770" s="142"/>
      <c r="B770" s="142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89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 ht="15.75" customHeight="1">
      <c r="A771" s="142"/>
      <c r="B771" s="142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89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 ht="15.75" customHeight="1">
      <c r="A772" s="142"/>
      <c r="B772" s="142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89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 ht="15.75" customHeight="1">
      <c r="A773" s="142"/>
      <c r="B773" s="142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89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 ht="15.75" customHeight="1">
      <c r="A774" s="142"/>
      <c r="B774" s="142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89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 ht="15.75" customHeight="1">
      <c r="A775" s="142"/>
      <c r="B775" s="142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89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 ht="15.75" customHeight="1">
      <c r="A776" s="142"/>
      <c r="B776" s="142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89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 ht="15.75" customHeight="1">
      <c r="A777" s="142"/>
      <c r="B777" s="142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89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 ht="15.75" customHeight="1">
      <c r="A778" s="142"/>
      <c r="B778" s="142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89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 ht="15.75" customHeight="1">
      <c r="A779" s="142"/>
      <c r="B779" s="142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89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 ht="15.75" customHeight="1">
      <c r="A780" s="142"/>
      <c r="B780" s="142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89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 ht="15.75" customHeight="1">
      <c r="A781" s="142"/>
      <c r="B781" s="142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89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 ht="15.75" customHeight="1">
      <c r="A782" s="142"/>
      <c r="B782" s="142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89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 ht="15.75" customHeight="1">
      <c r="A783" s="142"/>
      <c r="B783" s="142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89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 ht="15.75" customHeight="1">
      <c r="A784" s="142"/>
      <c r="B784" s="142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89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 ht="15.75" customHeight="1">
      <c r="A785" s="142"/>
      <c r="B785" s="142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89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 ht="15.75" customHeight="1">
      <c r="A786" s="142"/>
      <c r="B786" s="142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89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 ht="15.75" customHeight="1">
      <c r="A787" s="142"/>
      <c r="B787" s="142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89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 ht="15.75" customHeight="1">
      <c r="A788" s="142"/>
      <c r="B788" s="142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89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 ht="15.75" customHeight="1">
      <c r="A789" s="142"/>
      <c r="B789" s="142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89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 ht="15.75" customHeight="1">
      <c r="A790" s="142"/>
      <c r="B790" s="142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89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 ht="15.75" customHeight="1">
      <c r="A791" s="142"/>
      <c r="B791" s="142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89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 ht="15.75" customHeight="1">
      <c r="A792" s="142"/>
      <c r="B792" s="142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89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 ht="15.75" customHeight="1">
      <c r="A793" s="142"/>
      <c r="B793" s="142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89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 ht="15.75" customHeight="1">
      <c r="A794" s="142"/>
      <c r="B794" s="142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89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 ht="15.75" customHeight="1">
      <c r="A795" s="142"/>
      <c r="B795" s="142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89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 ht="15.75" customHeight="1">
      <c r="A796" s="142"/>
      <c r="B796" s="142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89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 ht="15.75" customHeight="1">
      <c r="A797" s="142"/>
      <c r="B797" s="142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89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 ht="15.75" customHeight="1">
      <c r="A798" s="142"/>
      <c r="B798" s="142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89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 ht="15.75" customHeight="1">
      <c r="A799" s="142"/>
      <c r="B799" s="142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89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 ht="15.75" customHeight="1">
      <c r="A800" s="142"/>
      <c r="B800" s="142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89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 ht="15.75" customHeight="1">
      <c r="A801" s="142"/>
      <c r="B801" s="142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89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 ht="15.75" customHeight="1">
      <c r="A802" s="142"/>
      <c r="B802" s="142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89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 ht="15.75" customHeight="1">
      <c r="A803" s="142"/>
      <c r="B803" s="142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89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 ht="15.75" customHeight="1">
      <c r="A804" s="142"/>
      <c r="B804" s="142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89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 ht="15.75" customHeight="1">
      <c r="A805" s="142"/>
      <c r="B805" s="142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89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 ht="15.75" customHeight="1">
      <c r="A806" s="142"/>
      <c r="B806" s="142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89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 ht="15.75" customHeight="1">
      <c r="A807" s="142"/>
      <c r="B807" s="142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89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 ht="15.75" customHeight="1">
      <c r="A808" s="142"/>
      <c r="B808" s="142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89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 ht="15.75" customHeight="1">
      <c r="A809" s="142"/>
      <c r="B809" s="142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89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ht="15.75" customHeight="1">
      <c r="A810" s="142"/>
      <c r="B810" s="142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89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 ht="15.75" customHeight="1">
      <c r="A811" s="142"/>
      <c r="B811" s="142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89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 ht="15.75" customHeight="1">
      <c r="A812" s="142"/>
      <c r="B812" s="142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89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 ht="15.75" customHeight="1">
      <c r="A813" s="142"/>
      <c r="B813" s="142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89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 ht="15.75" customHeight="1">
      <c r="A814" s="142"/>
      <c r="B814" s="142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89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 ht="15.75" customHeight="1">
      <c r="A815" s="142"/>
      <c r="B815" s="142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89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 ht="15.75" customHeight="1">
      <c r="A816" s="142"/>
      <c r="B816" s="142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89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 ht="15.75" customHeight="1">
      <c r="A817" s="142"/>
      <c r="B817" s="142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89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 ht="15.75" customHeight="1">
      <c r="A818" s="142"/>
      <c r="B818" s="142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89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 ht="15.75" customHeight="1">
      <c r="A819" s="142"/>
      <c r="B819" s="142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89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 ht="15.75" customHeight="1">
      <c r="A820" s="142"/>
      <c r="B820" s="142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89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 ht="15.75" customHeight="1">
      <c r="A821" s="142"/>
      <c r="B821" s="142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89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 ht="15.75" customHeight="1">
      <c r="A822" s="142"/>
      <c r="B822" s="142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89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 ht="15.75" customHeight="1">
      <c r="A823" s="142"/>
      <c r="B823" s="142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89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 ht="15.75" customHeight="1">
      <c r="A824" s="142"/>
      <c r="B824" s="142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89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 ht="15.75" customHeight="1">
      <c r="A825" s="142"/>
      <c r="B825" s="142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89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 ht="15.75" customHeight="1">
      <c r="A826" s="142"/>
      <c r="B826" s="142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89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 ht="15.75" customHeight="1">
      <c r="A827" s="142"/>
      <c r="B827" s="142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89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 ht="15.75" customHeight="1">
      <c r="A828" s="142"/>
      <c r="B828" s="142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89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 ht="15.75" customHeight="1">
      <c r="A829" s="142"/>
      <c r="B829" s="142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89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 ht="15.75" customHeight="1">
      <c r="A830" s="142"/>
      <c r="B830" s="142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89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 ht="15.75" customHeight="1">
      <c r="A831" s="142"/>
      <c r="B831" s="142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89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 ht="15.75" customHeight="1">
      <c r="A832" s="142"/>
      <c r="B832" s="142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89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 ht="15.75" customHeight="1">
      <c r="A833" s="142"/>
      <c r="B833" s="142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89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 ht="15.75" customHeight="1">
      <c r="A834" s="142"/>
      <c r="B834" s="142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89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 ht="15.75" customHeight="1">
      <c r="A835" s="142"/>
      <c r="B835" s="142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89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 ht="15.75" customHeight="1">
      <c r="A836" s="142"/>
      <c r="B836" s="142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89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 ht="15.75" customHeight="1">
      <c r="A837" s="142"/>
      <c r="B837" s="142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89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 ht="15.75" customHeight="1">
      <c r="A838" s="142"/>
      <c r="B838" s="142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89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ht="15.75" customHeight="1">
      <c r="A839" s="142"/>
      <c r="B839" s="142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89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 ht="15.75" customHeight="1">
      <c r="A840" s="142"/>
      <c r="B840" s="142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89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 ht="15.75" customHeight="1">
      <c r="A841" s="142"/>
      <c r="B841" s="142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89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 ht="15.75" customHeight="1">
      <c r="A842" s="142"/>
      <c r="B842" s="142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89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ht="15.75" customHeight="1">
      <c r="A843" s="142"/>
      <c r="B843" s="142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89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 ht="15.75" customHeight="1">
      <c r="A844" s="142"/>
      <c r="B844" s="142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89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 ht="15.75" customHeight="1">
      <c r="A845" s="142"/>
      <c r="B845" s="142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89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 ht="15.75" customHeight="1">
      <c r="A846" s="142"/>
      <c r="B846" s="142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89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 ht="15.75" customHeight="1">
      <c r="A847" s="142"/>
      <c r="B847" s="142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89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 ht="15.75" customHeight="1">
      <c r="A848" s="142"/>
      <c r="B848" s="142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89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 ht="15.75" customHeight="1">
      <c r="A849" s="142"/>
      <c r="B849" s="142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89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 ht="15.75" customHeight="1">
      <c r="A850" s="142"/>
      <c r="B850" s="142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89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 ht="15.75" customHeight="1">
      <c r="A851" s="142"/>
      <c r="B851" s="142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89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 ht="15.75" customHeight="1">
      <c r="A852" s="142"/>
      <c r="B852" s="142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89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 ht="15.75" customHeight="1">
      <c r="A853" s="142"/>
      <c r="B853" s="142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89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 ht="15.75" customHeight="1">
      <c r="A854" s="142"/>
      <c r="B854" s="142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89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 ht="15.75" customHeight="1">
      <c r="A855" s="142"/>
      <c r="B855" s="142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89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 ht="15.75" customHeight="1">
      <c r="A856" s="142"/>
      <c r="B856" s="142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89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 ht="15.75" customHeight="1">
      <c r="A857" s="142"/>
      <c r="B857" s="142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89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ht="15.75" customHeight="1">
      <c r="A858" s="142"/>
      <c r="B858" s="142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89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 ht="15.75" customHeight="1">
      <c r="A859" s="142"/>
      <c r="B859" s="142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89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 ht="15.75" customHeight="1">
      <c r="A860" s="142"/>
      <c r="B860" s="142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89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 ht="15.75" customHeight="1">
      <c r="A861" s="142"/>
      <c r="B861" s="142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89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 ht="15.75" customHeight="1">
      <c r="A862" s="142"/>
      <c r="B862" s="142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89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 ht="15.75" customHeight="1">
      <c r="A863" s="142"/>
      <c r="B863" s="142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89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 ht="15.75" customHeight="1">
      <c r="A864" s="142"/>
      <c r="B864" s="142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89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 ht="15.75" customHeight="1">
      <c r="A865" s="142"/>
      <c r="B865" s="142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89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 ht="15.75" customHeight="1">
      <c r="A866" s="142"/>
      <c r="B866" s="142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89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 ht="15.75" customHeight="1">
      <c r="A867" s="142"/>
      <c r="B867" s="142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89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 ht="15.75" customHeight="1">
      <c r="A868" s="142"/>
      <c r="B868" s="142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89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 ht="15.75" customHeight="1">
      <c r="A869" s="142"/>
      <c r="B869" s="142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89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ht="15.75" customHeight="1">
      <c r="A870" s="142"/>
      <c r="B870" s="142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89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 ht="15.75" customHeight="1">
      <c r="A871" s="142"/>
      <c r="B871" s="142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89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ht="15.75" customHeight="1">
      <c r="A872" s="142"/>
      <c r="B872" s="142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89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 ht="15.75" customHeight="1">
      <c r="A873" s="142"/>
      <c r="B873" s="142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89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 ht="15.75" customHeight="1">
      <c r="A874" s="142"/>
      <c r="B874" s="142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89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 ht="15.75" customHeight="1">
      <c r="A875" s="142"/>
      <c r="B875" s="142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89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 ht="15.75" customHeight="1">
      <c r="A876" s="142"/>
      <c r="B876" s="142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89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 ht="15.75" customHeight="1">
      <c r="A877" s="142"/>
      <c r="B877" s="142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89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 ht="15.75" customHeight="1">
      <c r="A878" s="142"/>
      <c r="B878" s="142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89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 ht="15.75" customHeight="1">
      <c r="A879" s="142"/>
      <c r="B879" s="142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89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 ht="15.75" customHeight="1">
      <c r="A880" s="142"/>
      <c r="B880" s="142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89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 ht="15.75" customHeight="1">
      <c r="A881" s="142"/>
      <c r="B881" s="142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89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 ht="15.75" customHeight="1">
      <c r="A882" s="142"/>
      <c r="B882" s="142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89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 ht="15.75" customHeight="1">
      <c r="A883" s="142"/>
      <c r="B883" s="142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89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 ht="15.75" customHeight="1">
      <c r="A884" s="142"/>
      <c r="B884" s="142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89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 ht="15.75" customHeight="1">
      <c r="A885" s="142"/>
      <c r="B885" s="142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89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 ht="15.75" customHeight="1">
      <c r="A886" s="142"/>
      <c r="B886" s="142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89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 ht="15.75" customHeight="1">
      <c r="A887" s="142"/>
      <c r="B887" s="142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89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 ht="15.75" customHeight="1">
      <c r="A888" s="142"/>
      <c r="B888" s="142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89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 ht="15.75" customHeight="1">
      <c r="A889" s="142"/>
      <c r="B889" s="142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89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 ht="15.75" customHeight="1">
      <c r="A890" s="142"/>
      <c r="B890" s="142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89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 ht="15.75" customHeight="1">
      <c r="A891" s="142"/>
      <c r="B891" s="142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89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 ht="15.75" customHeight="1">
      <c r="A892" s="142"/>
      <c r="B892" s="142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89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 ht="15.75" customHeight="1">
      <c r="A893" s="142"/>
      <c r="B893" s="142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89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 ht="15.75" customHeight="1">
      <c r="A894" s="142"/>
      <c r="B894" s="142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89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 ht="15.75" customHeight="1">
      <c r="A895" s="142"/>
      <c r="B895" s="142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89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 ht="15.75" customHeight="1">
      <c r="A896" s="142"/>
      <c r="B896" s="142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89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 ht="15.75" customHeight="1">
      <c r="A897" s="142"/>
      <c r="B897" s="142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89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 ht="15.75" customHeight="1">
      <c r="A898" s="142"/>
      <c r="B898" s="142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89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 ht="15.75" customHeight="1">
      <c r="A899" s="142"/>
      <c r="B899" s="142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89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 ht="15.75" customHeight="1">
      <c r="A900" s="142"/>
      <c r="B900" s="142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89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 ht="15.75" customHeight="1">
      <c r="A901" s="142"/>
      <c r="B901" s="142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89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 ht="15.75" customHeight="1">
      <c r="A902" s="142"/>
      <c r="B902" s="142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89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 ht="15.75" customHeight="1">
      <c r="A903" s="142"/>
      <c r="B903" s="142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89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 ht="15.75" customHeight="1">
      <c r="A904" s="142"/>
      <c r="B904" s="142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89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 ht="15.75" customHeight="1">
      <c r="A905" s="142"/>
      <c r="B905" s="142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89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 ht="15.75" customHeight="1">
      <c r="A906" s="142"/>
      <c r="B906" s="142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89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 ht="15.75" customHeight="1">
      <c r="A907" s="142"/>
      <c r="B907" s="142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89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 ht="15.75" customHeight="1">
      <c r="A908" s="142"/>
      <c r="B908" s="142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89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 ht="15.75" customHeight="1">
      <c r="A909" s="142"/>
      <c r="B909" s="142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89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 ht="15.75" customHeight="1">
      <c r="A910" s="142"/>
      <c r="B910" s="142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89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 ht="15.75" customHeight="1">
      <c r="A911" s="142"/>
      <c r="B911" s="142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89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 ht="15.75" customHeight="1">
      <c r="A912" s="142"/>
      <c r="B912" s="142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89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 ht="15.75" customHeight="1">
      <c r="A913" s="142"/>
      <c r="B913" s="142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89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 ht="15.75" customHeight="1">
      <c r="A914" s="142"/>
      <c r="B914" s="142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89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 ht="15.75" customHeight="1">
      <c r="A915" s="142"/>
      <c r="B915" s="142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89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 ht="15.75" customHeight="1">
      <c r="A916" s="142"/>
      <c r="B916" s="142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89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 ht="15.75" customHeight="1">
      <c r="A917" s="142"/>
      <c r="B917" s="142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89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 ht="15.75" customHeight="1">
      <c r="A918" s="142"/>
      <c r="B918" s="142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89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 ht="15.75" customHeight="1">
      <c r="A919" s="142"/>
      <c r="B919" s="142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89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 ht="15.75" customHeight="1">
      <c r="A920" s="142"/>
      <c r="B920" s="142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89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 ht="15.75" customHeight="1">
      <c r="A921" s="142"/>
      <c r="B921" s="142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89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 ht="15.75" customHeight="1">
      <c r="A922" s="142"/>
      <c r="B922" s="142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89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 ht="15.75" customHeight="1">
      <c r="A923" s="142"/>
      <c r="B923" s="142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89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 ht="15.75" customHeight="1">
      <c r="A924" s="142"/>
      <c r="B924" s="142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89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 ht="15.75" customHeight="1">
      <c r="A925" s="142"/>
      <c r="B925" s="142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89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 ht="15.75" customHeight="1">
      <c r="A926" s="142"/>
      <c r="B926" s="142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89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 ht="15.75" customHeight="1">
      <c r="A927" s="142"/>
      <c r="B927" s="142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89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 ht="15.75" customHeight="1">
      <c r="A928" s="142"/>
      <c r="B928" s="142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89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 ht="15.75" customHeight="1">
      <c r="A929" s="142"/>
      <c r="B929" s="142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89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 ht="15.75" customHeight="1">
      <c r="A930" s="142"/>
      <c r="B930" s="142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89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 ht="15.75" customHeight="1">
      <c r="A931" s="142"/>
      <c r="B931" s="142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89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 ht="15.75" customHeight="1">
      <c r="A932" s="142"/>
      <c r="B932" s="142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89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 ht="15.75" customHeight="1">
      <c r="A933" s="142"/>
      <c r="B933" s="142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89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 ht="15.75" customHeight="1">
      <c r="A934" s="142"/>
      <c r="B934" s="142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89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 ht="15.75" customHeight="1">
      <c r="A935" s="142"/>
      <c r="B935" s="142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89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 ht="15.75" customHeight="1">
      <c r="A936" s="142"/>
      <c r="B936" s="142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89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 ht="15.75" customHeight="1">
      <c r="A937" s="142"/>
      <c r="B937" s="142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89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 ht="15.75" customHeight="1">
      <c r="A938" s="142"/>
      <c r="B938" s="142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89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 ht="15.75" customHeight="1">
      <c r="A939" s="142"/>
      <c r="B939" s="142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89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 ht="15.75" customHeight="1">
      <c r="A940" s="142"/>
      <c r="B940" s="142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89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 ht="15.75" customHeight="1">
      <c r="A941" s="142"/>
      <c r="B941" s="142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89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 ht="15.75" customHeight="1">
      <c r="A942" s="142"/>
      <c r="B942" s="142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89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 ht="15.75" customHeight="1">
      <c r="A943" s="142"/>
      <c r="B943" s="142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89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 ht="15.75" customHeight="1">
      <c r="A944" s="142"/>
      <c r="B944" s="142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89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 ht="15.75" customHeight="1">
      <c r="A945" s="142"/>
      <c r="B945" s="142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89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 ht="15.75" customHeight="1">
      <c r="A946" s="142"/>
      <c r="B946" s="142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89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 ht="15.75" customHeight="1">
      <c r="A947" s="142"/>
      <c r="B947" s="142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89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 ht="15.75" customHeight="1">
      <c r="A948" s="142"/>
      <c r="B948" s="142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89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 ht="15.75" customHeight="1">
      <c r="A949" s="142"/>
      <c r="B949" s="142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89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 ht="15.75" customHeight="1">
      <c r="A950" s="142"/>
      <c r="B950" s="142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89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 ht="15.75" customHeight="1">
      <c r="A951" s="142"/>
      <c r="B951" s="142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89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 ht="15.75" customHeight="1">
      <c r="A952" s="142"/>
      <c r="B952" s="142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89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 ht="15.75" customHeight="1">
      <c r="A953" s="142"/>
      <c r="B953" s="142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89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 ht="15.75" customHeight="1">
      <c r="A954" s="142"/>
      <c r="B954" s="142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89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 ht="15.75" customHeight="1">
      <c r="A955" s="142"/>
      <c r="B955" s="142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89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 ht="15.75" customHeight="1">
      <c r="A956" s="142"/>
      <c r="B956" s="142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89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 ht="15.75" customHeight="1">
      <c r="A957" s="142"/>
      <c r="B957" s="142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89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 ht="15.75" customHeight="1">
      <c r="A958" s="142"/>
      <c r="B958" s="142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89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 ht="15.75" customHeight="1">
      <c r="A959" s="142"/>
      <c r="B959" s="142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89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 ht="15.75" customHeight="1">
      <c r="A960" s="142"/>
      <c r="B960" s="142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89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 ht="15.75" customHeight="1">
      <c r="A961" s="142"/>
      <c r="B961" s="142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89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 ht="15.75" customHeight="1">
      <c r="A962" s="142"/>
      <c r="B962" s="142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89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 ht="15.75" customHeight="1">
      <c r="A963" s="142"/>
      <c r="B963" s="142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89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 ht="15.75" customHeight="1">
      <c r="A964" s="142"/>
      <c r="B964" s="142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89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 ht="15.75" customHeight="1">
      <c r="A965" s="142"/>
      <c r="B965" s="142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89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 ht="15.75" customHeight="1">
      <c r="A966" s="142"/>
      <c r="B966" s="142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89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 ht="15.75" customHeight="1">
      <c r="A967" s="142"/>
      <c r="B967" s="142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89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 ht="15.75" customHeight="1">
      <c r="A968" s="142"/>
      <c r="B968" s="142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89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 ht="15.75" customHeight="1">
      <c r="A969" s="142"/>
      <c r="B969" s="142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89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 ht="15.75" customHeight="1">
      <c r="A970" s="142"/>
      <c r="B970" s="142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89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 ht="15.75" customHeight="1">
      <c r="A971" s="142"/>
      <c r="B971" s="142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89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 ht="15.75" customHeight="1">
      <c r="A972" s="142"/>
      <c r="B972" s="142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89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 ht="15.75" customHeight="1">
      <c r="A973" s="142"/>
      <c r="B973" s="142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89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 ht="15.75" customHeight="1">
      <c r="A974" s="142"/>
      <c r="B974" s="142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89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 ht="15.75" customHeight="1">
      <c r="A975" s="142"/>
      <c r="B975" s="142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89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 ht="15.75" customHeight="1">
      <c r="A976" s="142"/>
      <c r="B976" s="142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89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 ht="15.75" customHeight="1">
      <c r="A977" s="142"/>
      <c r="B977" s="142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89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 ht="15.75" customHeight="1">
      <c r="A978" s="142"/>
      <c r="B978" s="142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89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 ht="15.75" customHeight="1">
      <c r="A979" s="142"/>
      <c r="B979" s="142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89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 ht="15.75" customHeight="1">
      <c r="A980" s="142"/>
      <c r="B980" s="142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89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 ht="15.75" customHeight="1">
      <c r="A981" s="142"/>
      <c r="B981" s="142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89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 ht="15.75" customHeight="1">
      <c r="A982" s="142"/>
      <c r="B982" s="142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89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 ht="15.75" customHeight="1">
      <c r="A983" s="142"/>
      <c r="B983" s="142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89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 ht="15.75" customHeight="1">
      <c r="A984" s="142"/>
      <c r="B984" s="142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89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 ht="15.75" customHeight="1">
      <c r="A985" s="142"/>
      <c r="B985" s="142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89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 ht="15.75" customHeight="1">
      <c r="A986" s="142"/>
      <c r="B986" s="142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89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 ht="15.75" customHeight="1">
      <c r="A987" s="142"/>
      <c r="B987" s="142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89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 ht="15.75" customHeight="1">
      <c r="A988" s="142"/>
      <c r="B988" s="142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89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 ht="15.75" customHeight="1">
      <c r="A989" s="142"/>
      <c r="B989" s="142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89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 ht="15.75" customHeight="1">
      <c r="A990" s="142"/>
      <c r="B990" s="142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89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 ht="15.75" customHeight="1">
      <c r="A991" s="142"/>
      <c r="B991" s="142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89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 ht="15.75" customHeight="1">
      <c r="A992" s="142"/>
      <c r="B992" s="142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89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 ht="15.75" customHeight="1">
      <c r="A993" s="142"/>
      <c r="B993" s="142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89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 ht="15.75" customHeight="1">
      <c r="A994" s="142"/>
      <c r="B994" s="142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89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 ht="15.75" customHeight="1">
      <c r="A995" s="142"/>
      <c r="B995" s="142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89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 ht="15.75" customHeight="1">
      <c r="A996" s="142"/>
      <c r="B996" s="142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89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 ht="15.75" customHeight="1">
      <c r="A997" s="142"/>
      <c r="B997" s="142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89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 ht="15.75" customHeight="1">
      <c r="A998" s="142"/>
      <c r="B998" s="142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89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 ht="15.75" customHeight="1">
      <c r="A999" s="142"/>
      <c r="B999" s="142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89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 ht="15.75" customHeight="1">
      <c r="A1000" s="142"/>
      <c r="B1000" s="142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89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.86"/>
    <col customWidth="1" min="2" max="2" width="5.86"/>
    <col customWidth="1" min="3" max="3" width="14.57"/>
    <col customWidth="1" min="4" max="4" width="17.57"/>
    <col customWidth="1" min="5" max="5" width="16.86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1" width="8.29"/>
    <col customWidth="1" min="12" max="12" width="9.43"/>
    <col customWidth="1" min="13" max="13" width="11.86"/>
    <col customWidth="1" min="14" max="14" width="32.14"/>
    <col customWidth="1" min="15" max="15" width="6.71"/>
    <col customWidth="1" min="16" max="16" width="7.71"/>
    <col customWidth="1" min="17" max="17" width="8.0"/>
    <col customWidth="1" min="18" max="28" width="8.71"/>
  </cols>
  <sheetData>
    <row r="1" ht="30.75" customHeight="1">
      <c r="A1" s="132" t="s">
        <v>0</v>
      </c>
      <c r="B1" s="132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1" t="s">
        <v>17</v>
      </c>
      <c r="S1" s="52" t="s">
        <v>18</v>
      </c>
      <c r="T1" s="52" t="s">
        <v>19</v>
      </c>
      <c r="U1" s="52" t="s">
        <v>20</v>
      </c>
      <c r="V1" s="53" t="s">
        <v>21</v>
      </c>
      <c r="W1" s="53" t="s">
        <v>22</v>
      </c>
      <c r="X1" s="54"/>
      <c r="Y1" s="54"/>
      <c r="Z1" s="54"/>
      <c r="AA1" s="54"/>
      <c r="AB1" s="54"/>
    </row>
    <row r="2" ht="14.25" customHeight="1">
      <c r="A2" s="133">
        <v>1.0</v>
      </c>
      <c r="B2" s="133" t="s">
        <v>23</v>
      </c>
      <c r="C2" s="56" t="s">
        <v>24</v>
      </c>
      <c r="D2" s="134">
        <v>8.0</v>
      </c>
      <c r="E2" s="134">
        <v>8.0</v>
      </c>
      <c r="F2" s="135"/>
      <c r="G2" s="134">
        <v>80.0</v>
      </c>
      <c r="H2" s="135"/>
      <c r="I2" s="56">
        <f t="shared" ref="I2:I31" si="1">max(0,K2-G2)</f>
        <v>0</v>
      </c>
      <c r="J2" s="135"/>
      <c r="K2" s="135"/>
      <c r="L2" s="56">
        <f t="shared" ref="L2:L31" si="2">J2+H2</f>
        <v>0</v>
      </c>
      <c r="M2" s="56">
        <f t="shared" ref="M2:M31" si="3">G2+H2+I2+J2</f>
        <v>80</v>
      </c>
      <c r="N2" s="136"/>
      <c r="O2" s="56">
        <v>11.31</v>
      </c>
      <c r="P2" s="56">
        <v>13.482</v>
      </c>
      <c r="Q2" s="56">
        <f t="shared" ref="Q2:Q31" si="4">(O2*D2)+(P2*E2)</f>
        <v>198.336</v>
      </c>
      <c r="R2" s="59">
        <v>365612.0</v>
      </c>
      <c r="S2" s="59">
        <v>365.0</v>
      </c>
      <c r="T2" s="60"/>
      <c r="U2" s="60"/>
      <c r="V2" s="62">
        <f t="shared" ref="V2:V31" si="5">S2-R2</f>
        <v>-365247</v>
      </c>
      <c r="W2" s="62">
        <f t="shared" ref="W2:W31" si="6">U2-T2</f>
        <v>0</v>
      </c>
      <c r="X2" s="63"/>
      <c r="Y2" s="63"/>
      <c r="Z2" s="63"/>
      <c r="AA2" s="63"/>
      <c r="AB2" s="63"/>
    </row>
    <row r="3" ht="14.25" customHeight="1">
      <c r="A3" s="133">
        <v>2.0</v>
      </c>
      <c r="B3" s="133" t="s">
        <v>23</v>
      </c>
      <c r="C3" s="56" t="s">
        <v>25</v>
      </c>
      <c r="D3" s="134">
        <v>8.0</v>
      </c>
      <c r="E3" s="134">
        <v>8.0</v>
      </c>
      <c r="F3" s="135"/>
      <c r="G3" s="134">
        <v>91.0</v>
      </c>
      <c r="H3" s="135"/>
      <c r="I3" s="56">
        <f t="shared" si="1"/>
        <v>0</v>
      </c>
      <c r="J3" s="135"/>
      <c r="K3" s="135"/>
      <c r="L3" s="56">
        <f t="shared" si="2"/>
        <v>0</v>
      </c>
      <c r="M3" s="56">
        <f t="shared" si="3"/>
        <v>91</v>
      </c>
      <c r="N3" s="136"/>
      <c r="O3" s="56">
        <v>11.31</v>
      </c>
      <c r="P3" s="56">
        <v>13.482</v>
      </c>
      <c r="Q3" s="56">
        <f t="shared" si="4"/>
        <v>198.336</v>
      </c>
      <c r="R3" s="59">
        <v>359757.0</v>
      </c>
      <c r="S3" s="59">
        <v>359.0</v>
      </c>
      <c r="T3" s="60"/>
      <c r="U3" s="60"/>
      <c r="V3" s="62">
        <f t="shared" si="5"/>
        <v>-359398</v>
      </c>
      <c r="W3" s="62">
        <f t="shared" si="6"/>
        <v>0</v>
      </c>
      <c r="X3" s="63"/>
      <c r="Y3" s="63"/>
      <c r="Z3" s="63"/>
      <c r="AA3" s="63"/>
      <c r="AB3" s="63"/>
    </row>
    <row r="4" ht="14.25" customHeight="1">
      <c r="A4" s="133">
        <v>3.0</v>
      </c>
      <c r="B4" s="133" t="s">
        <v>23</v>
      </c>
      <c r="C4" s="56" t="s">
        <v>26</v>
      </c>
      <c r="D4" s="134">
        <v>8.0</v>
      </c>
      <c r="E4" s="134">
        <v>8.0</v>
      </c>
      <c r="F4" s="135"/>
      <c r="G4" s="134">
        <v>104.0</v>
      </c>
      <c r="H4" s="135"/>
      <c r="I4" s="56">
        <f t="shared" si="1"/>
        <v>87</v>
      </c>
      <c r="J4" s="135"/>
      <c r="K4" s="134">
        <v>191.0</v>
      </c>
      <c r="L4" s="56">
        <f t="shared" si="2"/>
        <v>0</v>
      </c>
      <c r="M4" s="56">
        <f t="shared" si="3"/>
        <v>191</v>
      </c>
      <c r="N4" s="136"/>
      <c r="O4" s="56">
        <v>11.31</v>
      </c>
      <c r="P4" s="56">
        <v>13.482</v>
      </c>
      <c r="Q4" s="56">
        <f t="shared" si="4"/>
        <v>198.336</v>
      </c>
      <c r="R4" s="59">
        <v>364551.0</v>
      </c>
      <c r="S4" s="59">
        <v>364.0</v>
      </c>
      <c r="T4" s="64"/>
      <c r="U4" s="60"/>
      <c r="V4" s="62">
        <f t="shared" si="5"/>
        <v>-364187</v>
      </c>
      <c r="W4" s="62">
        <f t="shared" si="6"/>
        <v>0</v>
      </c>
      <c r="X4" s="63"/>
      <c r="Y4" s="63"/>
      <c r="Z4" s="63"/>
      <c r="AA4" s="63"/>
      <c r="AB4" s="63"/>
    </row>
    <row r="5" ht="14.25" customHeight="1">
      <c r="A5" s="133">
        <v>4.0</v>
      </c>
      <c r="B5" s="133" t="s">
        <v>23</v>
      </c>
      <c r="C5" s="56" t="s">
        <v>27</v>
      </c>
      <c r="D5" s="134">
        <v>8.0</v>
      </c>
      <c r="E5" s="134">
        <v>8.0</v>
      </c>
      <c r="F5" s="135"/>
      <c r="G5" s="134">
        <v>87.0</v>
      </c>
      <c r="H5" s="135"/>
      <c r="I5" s="56">
        <f t="shared" si="1"/>
        <v>90</v>
      </c>
      <c r="J5" s="135"/>
      <c r="K5" s="134">
        <v>177.0</v>
      </c>
      <c r="L5" s="56">
        <f t="shared" si="2"/>
        <v>0</v>
      </c>
      <c r="M5" s="56">
        <f t="shared" si="3"/>
        <v>177</v>
      </c>
      <c r="N5" s="136"/>
      <c r="O5" s="56">
        <v>11.31</v>
      </c>
      <c r="P5" s="56">
        <v>13.482</v>
      </c>
      <c r="Q5" s="56">
        <f t="shared" si="4"/>
        <v>198.336</v>
      </c>
      <c r="R5" s="59">
        <v>364264.0</v>
      </c>
      <c r="S5" s="59">
        <v>364.0</v>
      </c>
      <c r="T5" s="64"/>
      <c r="U5" s="60"/>
      <c r="V5" s="62">
        <f t="shared" si="5"/>
        <v>-363900</v>
      </c>
      <c r="W5" s="62">
        <f t="shared" si="6"/>
        <v>0</v>
      </c>
      <c r="X5" s="63"/>
      <c r="Y5" s="63"/>
      <c r="Z5" s="63"/>
      <c r="AA5" s="63"/>
      <c r="AB5" s="63"/>
    </row>
    <row r="6" ht="14.25" customHeight="1">
      <c r="A6" s="133">
        <v>5.0</v>
      </c>
      <c r="B6" s="133" t="s">
        <v>23</v>
      </c>
      <c r="C6" s="56" t="s">
        <v>28</v>
      </c>
      <c r="D6" s="134">
        <v>8.0</v>
      </c>
      <c r="E6" s="134">
        <v>8.0</v>
      </c>
      <c r="F6" s="135"/>
      <c r="G6" s="134">
        <v>83.0</v>
      </c>
      <c r="H6" s="135"/>
      <c r="I6" s="56">
        <f t="shared" si="1"/>
        <v>0</v>
      </c>
      <c r="J6" s="135"/>
      <c r="K6" s="135"/>
      <c r="L6" s="56">
        <f t="shared" si="2"/>
        <v>0</v>
      </c>
      <c r="M6" s="56">
        <f t="shared" si="3"/>
        <v>83</v>
      </c>
      <c r="N6" s="136"/>
      <c r="O6" s="56">
        <v>11.31</v>
      </c>
      <c r="P6" s="56">
        <v>13.482</v>
      </c>
      <c r="Q6" s="56">
        <f t="shared" si="4"/>
        <v>198.336</v>
      </c>
      <c r="R6" s="59">
        <v>360814.0</v>
      </c>
      <c r="S6" s="59">
        <v>360.0</v>
      </c>
      <c r="T6" s="64"/>
      <c r="U6" s="60"/>
      <c r="V6" s="62">
        <f t="shared" si="5"/>
        <v>-360454</v>
      </c>
      <c r="W6" s="62">
        <f t="shared" si="6"/>
        <v>0</v>
      </c>
      <c r="X6" s="63"/>
      <c r="Y6" s="63"/>
      <c r="Z6" s="63"/>
      <c r="AA6" s="63"/>
      <c r="AB6" s="63"/>
    </row>
    <row r="7" ht="14.25" customHeight="1">
      <c r="A7" s="133">
        <v>6.0</v>
      </c>
      <c r="B7" s="133" t="s">
        <v>23</v>
      </c>
      <c r="C7" s="56" t="s">
        <v>29</v>
      </c>
      <c r="D7" s="134">
        <v>8.0</v>
      </c>
      <c r="E7" s="134">
        <v>8.0</v>
      </c>
      <c r="F7" s="135"/>
      <c r="G7" s="134">
        <v>50.0</v>
      </c>
      <c r="H7" s="135"/>
      <c r="I7" s="56">
        <f t="shared" si="1"/>
        <v>61</v>
      </c>
      <c r="J7" s="135"/>
      <c r="K7" s="134">
        <v>111.0</v>
      </c>
      <c r="L7" s="56">
        <f t="shared" si="2"/>
        <v>0</v>
      </c>
      <c r="M7" s="56">
        <f t="shared" si="3"/>
        <v>111</v>
      </c>
      <c r="N7" s="136"/>
      <c r="O7" s="56">
        <v>11.31</v>
      </c>
      <c r="P7" s="56">
        <v>13.482</v>
      </c>
      <c r="Q7" s="56">
        <f t="shared" si="4"/>
        <v>198.336</v>
      </c>
      <c r="R7" s="59">
        <v>368185.0</v>
      </c>
      <c r="S7" s="59">
        <v>368.0</v>
      </c>
      <c r="T7" s="64"/>
      <c r="U7" s="60"/>
      <c r="V7" s="62">
        <f t="shared" si="5"/>
        <v>-367817</v>
      </c>
      <c r="W7" s="62">
        <f t="shared" si="6"/>
        <v>0</v>
      </c>
      <c r="X7" s="63"/>
      <c r="Y7" s="63"/>
      <c r="Z7" s="63"/>
      <c r="AA7" s="63"/>
      <c r="AB7" s="63"/>
    </row>
    <row r="8" ht="14.25" customHeight="1">
      <c r="A8" s="133">
        <v>7.0</v>
      </c>
      <c r="B8" s="133" t="s">
        <v>23</v>
      </c>
      <c r="C8" s="56" t="s">
        <v>30</v>
      </c>
      <c r="D8" s="134">
        <v>8.0</v>
      </c>
      <c r="E8" s="134">
        <v>8.0</v>
      </c>
      <c r="F8" s="135"/>
      <c r="G8" s="134">
        <v>64.0</v>
      </c>
      <c r="H8" s="135"/>
      <c r="I8" s="56">
        <f t="shared" si="1"/>
        <v>0</v>
      </c>
      <c r="J8" s="135"/>
      <c r="K8" s="135"/>
      <c r="L8" s="56">
        <f t="shared" si="2"/>
        <v>0</v>
      </c>
      <c r="M8" s="56">
        <f t="shared" si="3"/>
        <v>64</v>
      </c>
      <c r="N8" s="136"/>
      <c r="O8" s="56">
        <v>11.31</v>
      </c>
      <c r="P8" s="56">
        <v>13.482</v>
      </c>
      <c r="Q8" s="56">
        <f t="shared" si="4"/>
        <v>198.336</v>
      </c>
      <c r="R8" s="59">
        <v>379352.0</v>
      </c>
      <c r="S8" s="59">
        <v>379.0</v>
      </c>
      <c r="T8" s="64"/>
      <c r="U8" s="60"/>
      <c r="V8" s="62">
        <f t="shared" si="5"/>
        <v>-378973</v>
      </c>
      <c r="W8" s="62">
        <f t="shared" si="6"/>
        <v>0</v>
      </c>
      <c r="X8" s="63"/>
      <c r="Y8" s="63"/>
      <c r="Z8" s="63"/>
      <c r="AA8" s="63"/>
      <c r="AB8" s="63"/>
    </row>
    <row r="9" ht="14.25" customHeight="1">
      <c r="A9" s="133">
        <v>8.0</v>
      </c>
      <c r="B9" s="133" t="s">
        <v>23</v>
      </c>
      <c r="C9" s="56" t="s">
        <v>31</v>
      </c>
      <c r="D9" s="134">
        <v>8.0</v>
      </c>
      <c r="E9" s="134">
        <v>8.0</v>
      </c>
      <c r="F9" s="135"/>
      <c r="G9" s="134">
        <v>48.0</v>
      </c>
      <c r="H9" s="135"/>
      <c r="I9" s="56">
        <f t="shared" si="1"/>
        <v>0</v>
      </c>
      <c r="J9" s="135"/>
      <c r="K9" s="135"/>
      <c r="L9" s="56">
        <f t="shared" si="2"/>
        <v>0</v>
      </c>
      <c r="M9" s="56">
        <f t="shared" si="3"/>
        <v>48</v>
      </c>
      <c r="N9" s="136"/>
      <c r="O9" s="56">
        <v>11.31</v>
      </c>
      <c r="P9" s="56">
        <v>13.482</v>
      </c>
      <c r="Q9" s="56">
        <f t="shared" si="4"/>
        <v>198.336</v>
      </c>
      <c r="R9" s="59">
        <v>370650.0</v>
      </c>
      <c r="S9" s="59">
        <v>370.0</v>
      </c>
      <c r="T9" s="64"/>
      <c r="U9" s="60"/>
      <c r="V9" s="62">
        <f t="shared" si="5"/>
        <v>-370280</v>
      </c>
      <c r="W9" s="62">
        <f t="shared" si="6"/>
        <v>0</v>
      </c>
      <c r="X9" s="63"/>
      <c r="Y9" s="63"/>
      <c r="Z9" s="63"/>
      <c r="AA9" s="63"/>
      <c r="AB9" s="63"/>
    </row>
    <row r="10" ht="14.25" customHeight="1">
      <c r="A10" s="133">
        <v>9.0</v>
      </c>
      <c r="B10" s="133" t="s">
        <v>23</v>
      </c>
      <c r="C10" s="56" t="s">
        <v>32</v>
      </c>
      <c r="D10" s="134">
        <v>8.0</v>
      </c>
      <c r="E10" s="134">
        <v>8.0</v>
      </c>
      <c r="F10" s="135"/>
      <c r="G10" s="134">
        <v>84.0</v>
      </c>
      <c r="H10" s="135"/>
      <c r="I10" s="56">
        <f t="shared" si="1"/>
        <v>86</v>
      </c>
      <c r="J10" s="135"/>
      <c r="K10" s="134">
        <v>170.0</v>
      </c>
      <c r="L10" s="56">
        <f t="shared" si="2"/>
        <v>0</v>
      </c>
      <c r="M10" s="56">
        <f t="shared" si="3"/>
        <v>170</v>
      </c>
      <c r="N10" s="136"/>
      <c r="O10" s="56">
        <v>11.31</v>
      </c>
      <c r="P10" s="56">
        <v>13.482</v>
      </c>
      <c r="Q10" s="56">
        <f t="shared" si="4"/>
        <v>198.336</v>
      </c>
      <c r="R10" s="59">
        <v>370147.0</v>
      </c>
      <c r="S10" s="59">
        <v>370.0</v>
      </c>
      <c r="T10" s="64"/>
      <c r="U10" s="60"/>
      <c r="V10" s="62">
        <f t="shared" si="5"/>
        <v>-369777</v>
      </c>
      <c r="W10" s="62">
        <f t="shared" si="6"/>
        <v>0</v>
      </c>
      <c r="X10" s="63"/>
      <c r="Y10" s="63"/>
      <c r="Z10" s="63"/>
      <c r="AA10" s="63"/>
      <c r="AB10" s="63"/>
    </row>
    <row r="11" ht="14.25" customHeight="1">
      <c r="A11" s="133">
        <v>10.0</v>
      </c>
      <c r="B11" s="133" t="s">
        <v>23</v>
      </c>
      <c r="C11" s="143" t="s">
        <v>33</v>
      </c>
      <c r="D11" s="144">
        <v>6.0</v>
      </c>
      <c r="E11" s="144">
        <v>6.0</v>
      </c>
      <c r="F11" s="145"/>
      <c r="G11" s="144">
        <v>66.0</v>
      </c>
      <c r="H11" s="145"/>
      <c r="I11" s="143">
        <f t="shared" si="1"/>
        <v>0</v>
      </c>
      <c r="J11" s="145"/>
      <c r="K11" s="145"/>
      <c r="L11" s="143">
        <f t="shared" si="2"/>
        <v>0</v>
      </c>
      <c r="M11" s="143">
        <f t="shared" si="3"/>
        <v>66</v>
      </c>
      <c r="N11" s="146" t="s">
        <v>87</v>
      </c>
      <c r="O11" s="143">
        <v>11.31</v>
      </c>
      <c r="P11" s="143">
        <v>13.482</v>
      </c>
      <c r="Q11" s="143">
        <f t="shared" si="4"/>
        <v>148.752</v>
      </c>
      <c r="R11" s="147">
        <v>362500.0</v>
      </c>
      <c r="S11" s="147">
        <v>362.0</v>
      </c>
      <c r="T11" s="148"/>
      <c r="U11" s="149"/>
      <c r="V11" s="150">
        <f t="shared" si="5"/>
        <v>-362138</v>
      </c>
      <c r="W11" s="150">
        <f t="shared" si="6"/>
        <v>0</v>
      </c>
      <c r="X11" s="63"/>
      <c r="Y11" s="63"/>
      <c r="Z11" s="63"/>
      <c r="AA11" s="63"/>
      <c r="AB11" s="63"/>
    </row>
    <row r="12" ht="14.25" customHeight="1">
      <c r="A12" s="133">
        <v>11.0</v>
      </c>
      <c r="B12" s="133" t="s">
        <v>23</v>
      </c>
      <c r="C12" s="56" t="s">
        <v>34</v>
      </c>
      <c r="D12" s="134">
        <v>8.0</v>
      </c>
      <c r="E12" s="134">
        <v>8.0</v>
      </c>
      <c r="F12" s="135"/>
      <c r="G12" s="134">
        <v>78.0</v>
      </c>
      <c r="H12" s="135"/>
      <c r="I12" s="56">
        <f t="shared" si="1"/>
        <v>65</v>
      </c>
      <c r="J12" s="135"/>
      <c r="K12" s="134">
        <v>143.0</v>
      </c>
      <c r="L12" s="56">
        <f t="shared" si="2"/>
        <v>0</v>
      </c>
      <c r="M12" s="56">
        <f t="shared" si="3"/>
        <v>143</v>
      </c>
      <c r="N12" s="136"/>
      <c r="O12" s="56">
        <v>11.31</v>
      </c>
      <c r="P12" s="56">
        <v>13.482</v>
      </c>
      <c r="Q12" s="56">
        <f t="shared" si="4"/>
        <v>198.336</v>
      </c>
      <c r="R12" s="59">
        <v>68562.0</v>
      </c>
      <c r="S12" s="59">
        <v>68.0</v>
      </c>
      <c r="T12" s="64"/>
      <c r="U12" s="60"/>
      <c r="V12" s="62">
        <f t="shared" si="5"/>
        <v>-68494</v>
      </c>
      <c r="W12" s="62">
        <f t="shared" si="6"/>
        <v>0</v>
      </c>
      <c r="X12" s="63"/>
      <c r="Y12" s="63"/>
      <c r="Z12" s="63"/>
      <c r="AA12" s="63"/>
      <c r="AB12" s="63"/>
    </row>
    <row r="13" ht="14.25" customHeight="1">
      <c r="A13" s="133">
        <v>12.0</v>
      </c>
      <c r="B13" s="133" t="s">
        <v>23</v>
      </c>
      <c r="C13" s="56" t="s">
        <v>35</v>
      </c>
      <c r="D13" s="134">
        <v>7.0</v>
      </c>
      <c r="E13" s="134">
        <v>8.0</v>
      </c>
      <c r="F13" s="135"/>
      <c r="G13" s="134">
        <v>69.0</v>
      </c>
      <c r="H13" s="135"/>
      <c r="I13" s="56">
        <f t="shared" si="1"/>
        <v>93</v>
      </c>
      <c r="J13" s="135"/>
      <c r="K13" s="134">
        <v>162.0</v>
      </c>
      <c r="L13" s="56">
        <f t="shared" si="2"/>
        <v>0</v>
      </c>
      <c r="M13" s="56">
        <f t="shared" si="3"/>
        <v>162</v>
      </c>
      <c r="N13" s="136"/>
      <c r="O13" s="56">
        <v>11.31</v>
      </c>
      <c r="P13" s="56">
        <v>13.482</v>
      </c>
      <c r="Q13" s="56">
        <f t="shared" si="4"/>
        <v>187.026</v>
      </c>
      <c r="R13" s="59">
        <v>369087.0</v>
      </c>
      <c r="S13" s="59">
        <v>369.0</v>
      </c>
      <c r="T13" s="64"/>
      <c r="U13" s="60"/>
      <c r="V13" s="62">
        <f t="shared" si="5"/>
        <v>-368718</v>
      </c>
      <c r="W13" s="62">
        <f t="shared" si="6"/>
        <v>0</v>
      </c>
      <c r="X13" s="63"/>
      <c r="Y13" s="63"/>
      <c r="Z13" s="63"/>
      <c r="AA13" s="63"/>
      <c r="AB13" s="63"/>
    </row>
    <row r="14" ht="14.25" customHeight="1">
      <c r="A14" s="133">
        <v>13.0</v>
      </c>
      <c r="B14" s="133" t="s">
        <v>23</v>
      </c>
      <c r="C14" s="77" t="s">
        <v>36</v>
      </c>
      <c r="D14" s="151">
        <v>6.0</v>
      </c>
      <c r="E14" s="151">
        <v>7.0</v>
      </c>
      <c r="F14" s="151">
        <v>1.0</v>
      </c>
      <c r="G14" s="151">
        <v>70.0</v>
      </c>
      <c r="H14" s="152"/>
      <c r="I14" s="77">
        <f t="shared" si="1"/>
        <v>0</v>
      </c>
      <c r="J14" s="152"/>
      <c r="K14" s="152"/>
      <c r="L14" s="77">
        <f t="shared" si="2"/>
        <v>0</v>
      </c>
      <c r="M14" s="77">
        <f t="shared" si="3"/>
        <v>70</v>
      </c>
      <c r="N14" s="153" t="s">
        <v>88</v>
      </c>
      <c r="O14" s="77">
        <v>11.31</v>
      </c>
      <c r="P14" s="77">
        <v>13.482</v>
      </c>
      <c r="Q14" s="77">
        <f t="shared" si="4"/>
        <v>162.234</v>
      </c>
      <c r="R14" s="154">
        <v>369723.0</v>
      </c>
      <c r="S14" s="154">
        <v>369.0</v>
      </c>
      <c r="T14" s="155"/>
      <c r="U14" s="156"/>
      <c r="V14" s="157">
        <f t="shared" si="5"/>
        <v>-369354</v>
      </c>
      <c r="W14" s="157">
        <f t="shared" si="6"/>
        <v>0</v>
      </c>
      <c r="X14" s="63"/>
      <c r="Y14" s="63"/>
      <c r="Z14" s="63"/>
      <c r="AA14" s="63"/>
      <c r="AB14" s="63"/>
    </row>
    <row r="15" ht="14.25" customHeight="1">
      <c r="A15" s="133">
        <v>14.0</v>
      </c>
      <c r="B15" s="133" t="s">
        <v>23</v>
      </c>
      <c r="C15" s="56" t="s">
        <v>37</v>
      </c>
      <c r="D15" s="134">
        <v>7.0</v>
      </c>
      <c r="E15" s="134">
        <v>8.0</v>
      </c>
      <c r="F15" s="135"/>
      <c r="G15" s="134">
        <v>47.0</v>
      </c>
      <c r="H15" s="135"/>
      <c r="I15" s="56">
        <f t="shared" si="1"/>
        <v>111</v>
      </c>
      <c r="J15" s="135"/>
      <c r="K15" s="134">
        <v>158.0</v>
      </c>
      <c r="L15" s="56">
        <f t="shared" si="2"/>
        <v>0</v>
      </c>
      <c r="M15" s="56">
        <f t="shared" si="3"/>
        <v>158</v>
      </c>
      <c r="N15" s="136"/>
      <c r="O15" s="56">
        <v>11.31</v>
      </c>
      <c r="P15" s="56">
        <v>13.482</v>
      </c>
      <c r="Q15" s="56">
        <f t="shared" si="4"/>
        <v>187.026</v>
      </c>
      <c r="R15" s="59">
        <v>370357.0</v>
      </c>
      <c r="S15" s="59">
        <v>370.0</v>
      </c>
      <c r="T15" s="64"/>
      <c r="U15" s="60"/>
      <c r="V15" s="62">
        <f t="shared" si="5"/>
        <v>-369987</v>
      </c>
      <c r="W15" s="62">
        <f t="shared" si="6"/>
        <v>0</v>
      </c>
      <c r="X15" s="63"/>
      <c r="Y15" s="63"/>
      <c r="Z15" s="63"/>
      <c r="AA15" s="63"/>
      <c r="AB15" s="63"/>
    </row>
    <row r="16" ht="14.25" customHeight="1">
      <c r="A16" s="133">
        <v>15.0</v>
      </c>
      <c r="B16" s="133" t="s">
        <v>23</v>
      </c>
      <c r="C16" s="56" t="s">
        <v>38</v>
      </c>
      <c r="D16" s="134">
        <v>7.0</v>
      </c>
      <c r="E16" s="134">
        <v>8.0</v>
      </c>
      <c r="F16" s="135"/>
      <c r="G16" s="134">
        <v>47.0</v>
      </c>
      <c r="H16" s="135"/>
      <c r="I16" s="56">
        <f t="shared" si="1"/>
        <v>70</v>
      </c>
      <c r="J16" s="135"/>
      <c r="K16" s="134">
        <v>117.0</v>
      </c>
      <c r="L16" s="56">
        <f t="shared" si="2"/>
        <v>0</v>
      </c>
      <c r="M16" s="56">
        <f t="shared" si="3"/>
        <v>117</v>
      </c>
      <c r="N16" s="136"/>
      <c r="O16" s="56">
        <v>11.31</v>
      </c>
      <c r="P16" s="56">
        <v>13.482</v>
      </c>
      <c r="Q16" s="56">
        <f t="shared" si="4"/>
        <v>187.026</v>
      </c>
      <c r="R16" s="59">
        <v>361577.0</v>
      </c>
      <c r="S16" s="59">
        <v>361.0</v>
      </c>
      <c r="T16" s="64"/>
      <c r="U16" s="60"/>
      <c r="V16" s="62">
        <f t="shared" si="5"/>
        <v>-361216</v>
      </c>
      <c r="W16" s="62">
        <f t="shared" si="6"/>
        <v>0</v>
      </c>
      <c r="X16" s="63"/>
      <c r="Y16" s="63"/>
      <c r="Z16" s="63"/>
      <c r="AA16" s="63"/>
      <c r="AB16" s="63"/>
    </row>
    <row r="17" ht="14.25" customHeight="1">
      <c r="A17" s="133">
        <v>16.0</v>
      </c>
      <c r="B17" s="133" t="s">
        <v>23</v>
      </c>
      <c r="C17" s="56" t="s">
        <v>39</v>
      </c>
      <c r="D17" s="134">
        <v>7.0</v>
      </c>
      <c r="E17" s="134">
        <v>8.0</v>
      </c>
      <c r="F17" s="135"/>
      <c r="G17" s="134">
        <v>89.0</v>
      </c>
      <c r="H17" s="135"/>
      <c r="I17" s="56">
        <f t="shared" si="1"/>
        <v>85</v>
      </c>
      <c r="J17" s="135"/>
      <c r="K17" s="134">
        <v>174.0</v>
      </c>
      <c r="L17" s="56">
        <f t="shared" si="2"/>
        <v>0</v>
      </c>
      <c r="M17" s="56">
        <f t="shared" si="3"/>
        <v>174</v>
      </c>
      <c r="N17" s="136"/>
      <c r="O17" s="56">
        <v>11.31</v>
      </c>
      <c r="P17" s="56">
        <v>13.482</v>
      </c>
      <c r="Q17" s="56">
        <f t="shared" si="4"/>
        <v>187.026</v>
      </c>
      <c r="R17" s="59">
        <v>365897.0</v>
      </c>
      <c r="S17" s="59">
        <v>365.0</v>
      </c>
      <c r="T17" s="64"/>
      <c r="U17" s="60"/>
      <c r="V17" s="62">
        <f t="shared" si="5"/>
        <v>-365532</v>
      </c>
      <c r="W17" s="62">
        <f t="shared" si="6"/>
        <v>0</v>
      </c>
      <c r="X17" s="63"/>
      <c r="Y17" s="63"/>
      <c r="Z17" s="63"/>
      <c r="AA17" s="63"/>
      <c r="AB17" s="63"/>
    </row>
    <row r="18" ht="14.25" customHeight="1">
      <c r="A18" s="133">
        <v>17.0</v>
      </c>
      <c r="B18" s="133" t="s">
        <v>23</v>
      </c>
      <c r="C18" s="56" t="s">
        <v>40</v>
      </c>
      <c r="D18" s="134">
        <v>7.0</v>
      </c>
      <c r="E18" s="134">
        <v>8.0</v>
      </c>
      <c r="F18" s="135"/>
      <c r="G18" s="134">
        <v>46.0</v>
      </c>
      <c r="H18" s="135"/>
      <c r="I18" s="56">
        <f t="shared" si="1"/>
        <v>80</v>
      </c>
      <c r="J18" s="135"/>
      <c r="K18" s="134">
        <v>126.0</v>
      </c>
      <c r="L18" s="56">
        <f t="shared" si="2"/>
        <v>0</v>
      </c>
      <c r="M18" s="56">
        <f t="shared" si="3"/>
        <v>126</v>
      </c>
      <c r="N18" s="136"/>
      <c r="O18" s="56">
        <v>11.31</v>
      </c>
      <c r="P18" s="56">
        <v>13.482</v>
      </c>
      <c r="Q18" s="56">
        <f t="shared" si="4"/>
        <v>187.026</v>
      </c>
      <c r="R18" s="59">
        <v>301136.0</v>
      </c>
      <c r="S18" s="59">
        <v>301.0</v>
      </c>
      <c r="T18" s="64"/>
      <c r="U18" s="60"/>
      <c r="V18" s="62">
        <f t="shared" si="5"/>
        <v>-300835</v>
      </c>
      <c r="W18" s="62">
        <f t="shared" si="6"/>
        <v>0</v>
      </c>
      <c r="X18" s="63"/>
      <c r="Y18" s="63"/>
      <c r="Z18" s="63"/>
      <c r="AA18" s="63"/>
      <c r="AB18" s="63"/>
    </row>
    <row r="19" ht="14.25" customHeight="1">
      <c r="A19" s="133">
        <v>18.0</v>
      </c>
      <c r="B19" s="133" t="s">
        <v>23</v>
      </c>
      <c r="C19" s="56" t="s">
        <v>42</v>
      </c>
      <c r="D19" s="134">
        <v>7.0</v>
      </c>
      <c r="E19" s="134">
        <v>8.0</v>
      </c>
      <c r="F19" s="135"/>
      <c r="G19" s="134">
        <v>45.0</v>
      </c>
      <c r="H19" s="135"/>
      <c r="I19" s="56">
        <f t="shared" si="1"/>
        <v>63</v>
      </c>
      <c r="J19" s="135"/>
      <c r="K19" s="134">
        <v>108.0</v>
      </c>
      <c r="L19" s="56">
        <f t="shared" si="2"/>
        <v>0</v>
      </c>
      <c r="M19" s="56">
        <f t="shared" si="3"/>
        <v>108</v>
      </c>
      <c r="N19" s="136"/>
      <c r="O19" s="56">
        <v>11.31</v>
      </c>
      <c r="P19" s="56">
        <v>13.482</v>
      </c>
      <c r="Q19" s="56">
        <f t="shared" si="4"/>
        <v>187.026</v>
      </c>
      <c r="R19" s="59">
        <v>402166.0</v>
      </c>
      <c r="S19" s="59">
        <v>402.0</v>
      </c>
      <c r="T19" s="64"/>
      <c r="U19" s="60"/>
      <c r="V19" s="62">
        <f t="shared" si="5"/>
        <v>-401764</v>
      </c>
      <c r="W19" s="62">
        <f t="shared" si="6"/>
        <v>0</v>
      </c>
      <c r="X19" s="63"/>
      <c r="Y19" s="63"/>
      <c r="Z19" s="63"/>
      <c r="AA19" s="63"/>
      <c r="AB19" s="63"/>
    </row>
    <row r="20" ht="14.25" customHeight="1">
      <c r="A20" s="133">
        <v>19.0</v>
      </c>
      <c r="B20" s="133" t="s">
        <v>23</v>
      </c>
      <c r="C20" s="56" t="s">
        <v>44</v>
      </c>
      <c r="D20" s="134">
        <v>7.0</v>
      </c>
      <c r="E20" s="134">
        <v>8.0</v>
      </c>
      <c r="F20" s="135"/>
      <c r="G20" s="134">
        <v>43.0</v>
      </c>
      <c r="H20" s="135"/>
      <c r="I20" s="56">
        <f t="shared" si="1"/>
        <v>95</v>
      </c>
      <c r="J20" s="135"/>
      <c r="K20" s="134">
        <v>138.0</v>
      </c>
      <c r="L20" s="56">
        <f t="shared" si="2"/>
        <v>0</v>
      </c>
      <c r="M20" s="56">
        <f t="shared" si="3"/>
        <v>138</v>
      </c>
      <c r="N20" s="136"/>
      <c r="O20" s="56">
        <v>11.31</v>
      </c>
      <c r="P20" s="56">
        <v>13.482</v>
      </c>
      <c r="Q20" s="56">
        <f t="shared" si="4"/>
        <v>187.026</v>
      </c>
      <c r="R20" s="59">
        <v>551589.0</v>
      </c>
      <c r="S20" s="59">
        <v>551.0</v>
      </c>
      <c r="T20" s="64"/>
      <c r="U20" s="60"/>
      <c r="V20" s="62">
        <f t="shared" si="5"/>
        <v>-551038</v>
      </c>
      <c r="W20" s="62">
        <f t="shared" si="6"/>
        <v>0</v>
      </c>
      <c r="X20" s="63"/>
      <c r="Y20" s="63"/>
      <c r="Z20" s="63"/>
      <c r="AA20" s="63"/>
      <c r="AB20" s="63"/>
    </row>
    <row r="21" ht="14.25" customHeight="1">
      <c r="A21" s="133">
        <v>20.0</v>
      </c>
      <c r="B21" s="133" t="s">
        <v>23</v>
      </c>
      <c r="C21" s="56" t="s">
        <v>45</v>
      </c>
      <c r="D21" s="134">
        <v>7.0</v>
      </c>
      <c r="E21" s="134">
        <v>8.0</v>
      </c>
      <c r="F21" s="135"/>
      <c r="G21" s="134">
        <v>56.0</v>
      </c>
      <c r="H21" s="135"/>
      <c r="I21" s="56">
        <f t="shared" si="1"/>
        <v>90</v>
      </c>
      <c r="J21" s="135"/>
      <c r="K21" s="134">
        <v>146.0</v>
      </c>
      <c r="L21" s="56">
        <f t="shared" si="2"/>
        <v>0</v>
      </c>
      <c r="M21" s="56">
        <f t="shared" si="3"/>
        <v>146</v>
      </c>
      <c r="N21" s="136"/>
      <c r="O21" s="56">
        <v>11.31</v>
      </c>
      <c r="P21" s="56">
        <v>13.482</v>
      </c>
      <c r="Q21" s="56">
        <f t="shared" si="4"/>
        <v>187.026</v>
      </c>
      <c r="R21" s="59">
        <v>428644.0</v>
      </c>
      <c r="S21" s="59">
        <v>428.0</v>
      </c>
      <c r="T21" s="64"/>
      <c r="U21" s="60"/>
      <c r="V21" s="62">
        <f t="shared" si="5"/>
        <v>-428216</v>
      </c>
      <c r="W21" s="62">
        <f t="shared" si="6"/>
        <v>0</v>
      </c>
      <c r="X21" s="63"/>
      <c r="Y21" s="63"/>
      <c r="Z21" s="63"/>
      <c r="AA21" s="63"/>
      <c r="AB21" s="63"/>
    </row>
    <row r="22" ht="14.25" customHeight="1">
      <c r="A22" s="133">
        <v>21.0</v>
      </c>
      <c r="B22" s="133" t="s">
        <v>23</v>
      </c>
      <c r="C22" s="56" t="s">
        <v>46</v>
      </c>
      <c r="D22" s="134">
        <v>7.0</v>
      </c>
      <c r="E22" s="134">
        <v>8.0</v>
      </c>
      <c r="F22" s="135"/>
      <c r="G22" s="134">
        <v>44.0</v>
      </c>
      <c r="H22" s="135"/>
      <c r="I22" s="56">
        <f t="shared" si="1"/>
        <v>101</v>
      </c>
      <c r="J22" s="135"/>
      <c r="K22" s="134">
        <v>145.0</v>
      </c>
      <c r="L22" s="56">
        <f t="shared" si="2"/>
        <v>0</v>
      </c>
      <c r="M22" s="56">
        <f t="shared" si="3"/>
        <v>145</v>
      </c>
      <c r="N22" s="136"/>
      <c r="O22" s="56">
        <v>11.31</v>
      </c>
      <c r="P22" s="56">
        <v>13.482</v>
      </c>
      <c r="Q22" s="56">
        <f t="shared" si="4"/>
        <v>187.026</v>
      </c>
      <c r="R22" s="59">
        <v>490507.0</v>
      </c>
      <c r="S22" s="59">
        <v>490.0</v>
      </c>
      <c r="T22" s="64"/>
      <c r="U22" s="60"/>
      <c r="V22" s="62">
        <f t="shared" si="5"/>
        <v>-490017</v>
      </c>
      <c r="W22" s="62">
        <f t="shared" si="6"/>
        <v>0</v>
      </c>
      <c r="X22" s="63"/>
      <c r="Y22" s="63"/>
      <c r="Z22" s="63"/>
      <c r="AA22" s="63"/>
      <c r="AB22" s="63"/>
    </row>
    <row r="23" ht="14.25" customHeight="1">
      <c r="A23" s="133">
        <v>22.0</v>
      </c>
      <c r="B23" s="133" t="s">
        <v>23</v>
      </c>
      <c r="C23" s="56" t="s">
        <v>47</v>
      </c>
      <c r="D23" s="134">
        <v>9.0</v>
      </c>
      <c r="E23" s="134">
        <v>9.0</v>
      </c>
      <c r="F23" s="135"/>
      <c r="G23" s="134">
        <v>81.0</v>
      </c>
      <c r="H23" s="135"/>
      <c r="I23" s="56">
        <f t="shared" si="1"/>
        <v>0</v>
      </c>
      <c r="J23" s="135"/>
      <c r="K23" s="135"/>
      <c r="L23" s="56">
        <f t="shared" si="2"/>
        <v>0</v>
      </c>
      <c r="M23" s="56">
        <f t="shared" si="3"/>
        <v>81</v>
      </c>
      <c r="N23" s="136"/>
      <c r="O23" s="56">
        <v>11.31</v>
      </c>
      <c r="P23" s="56">
        <v>13.482</v>
      </c>
      <c r="Q23" s="56">
        <f t="shared" si="4"/>
        <v>223.128</v>
      </c>
      <c r="R23" s="59">
        <v>379951.0</v>
      </c>
      <c r="S23" s="59">
        <v>378.0</v>
      </c>
      <c r="T23" s="64"/>
      <c r="U23" s="60"/>
      <c r="V23" s="62">
        <f t="shared" si="5"/>
        <v>-379573</v>
      </c>
      <c r="W23" s="62">
        <f t="shared" si="6"/>
        <v>0</v>
      </c>
      <c r="X23" s="63"/>
      <c r="Y23" s="63"/>
      <c r="Z23" s="63"/>
      <c r="AA23" s="63"/>
      <c r="AB23" s="63"/>
    </row>
    <row r="24" ht="14.25" customHeight="1">
      <c r="A24" s="133">
        <v>23.0</v>
      </c>
      <c r="B24" s="133" t="s">
        <v>23</v>
      </c>
      <c r="C24" s="56" t="s">
        <v>49</v>
      </c>
      <c r="D24" s="134">
        <v>9.0</v>
      </c>
      <c r="E24" s="134">
        <v>9.0</v>
      </c>
      <c r="F24" s="135"/>
      <c r="G24" s="134">
        <v>45.0</v>
      </c>
      <c r="H24" s="135"/>
      <c r="I24" s="56">
        <f t="shared" si="1"/>
        <v>0</v>
      </c>
      <c r="J24" s="135"/>
      <c r="K24" s="135"/>
      <c r="L24" s="56">
        <f t="shared" si="2"/>
        <v>0</v>
      </c>
      <c r="M24" s="56">
        <f t="shared" si="3"/>
        <v>45</v>
      </c>
      <c r="N24" s="136"/>
      <c r="O24" s="56">
        <v>11.31</v>
      </c>
      <c r="P24" s="56">
        <v>13.482</v>
      </c>
      <c r="Q24" s="56">
        <f t="shared" si="4"/>
        <v>223.128</v>
      </c>
      <c r="R24" s="59">
        <v>257122.0</v>
      </c>
      <c r="S24" s="59">
        <v>257.0</v>
      </c>
      <c r="T24" s="64"/>
      <c r="U24" s="60"/>
      <c r="V24" s="62">
        <f t="shared" si="5"/>
        <v>-256865</v>
      </c>
      <c r="W24" s="62">
        <f t="shared" si="6"/>
        <v>0</v>
      </c>
      <c r="X24" s="63"/>
      <c r="Y24" s="63"/>
      <c r="Z24" s="63"/>
      <c r="AA24" s="63"/>
      <c r="AB24" s="63"/>
    </row>
    <row r="25" ht="14.25" customHeight="1">
      <c r="A25" s="133">
        <v>24.0</v>
      </c>
      <c r="B25" s="133" t="s">
        <v>23</v>
      </c>
      <c r="C25" s="56" t="s">
        <v>50</v>
      </c>
      <c r="D25" s="134">
        <v>9.0</v>
      </c>
      <c r="E25" s="134">
        <v>9.0</v>
      </c>
      <c r="F25" s="135"/>
      <c r="G25" s="134">
        <v>65.0</v>
      </c>
      <c r="H25" s="135"/>
      <c r="I25" s="56">
        <f t="shared" si="1"/>
        <v>0</v>
      </c>
      <c r="J25" s="135"/>
      <c r="K25" s="135"/>
      <c r="L25" s="56">
        <f t="shared" si="2"/>
        <v>0</v>
      </c>
      <c r="M25" s="56">
        <f t="shared" si="3"/>
        <v>65</v>
      </c>
      <c r="N25" s="136"/>
      <c r="O25" s="56">
        <v>11.31</v>
      </c>
      <c r="P25" s="56">
        <v>13.482</v>
      </c>
      <c r="Q25" s="56">
        <f t="shared" si="4"/>
        <v>223.128</v>
      </c>
      <c r="R25" s="59">
        <v>256146.0</v>
      </c>
      <c r="S25" s="59">
        <v>256.0</v>
      </c>
      <c r="T25" s="64"/>
      <c r="U25" s="60"/>
      <c r="V25" s="62">
        <f t="shared" si="5"/>
        <v>-255890</v>
      </c>
      <c r="W25" s="62">
        <f t="shared" si="6"/>
        <v>0</v>
      </c>
      <c r="X25" s="63"/>
      <c r="Y25" s="63"/>
      <c r="Z25" s="63"/>
      <c r="AA25" s="63"/>
      <c r="AB25" s="63"/>
    </row>
    <row r="26" ht="14.25" customHeight="1">
      <c r="A26" s="133">
        <v>25.0</v>
      </c>
      <c r="B26" s="133" t="s">
        <v>23</v>
      </c>
      <c r="C26" s="56" t="s">
        <v>51</v>
      </c>
      <c r="D26" s="134">
        <v>9.0</v>
      </c>
      <c r="E26" s="134">
        <v>9.0</v>
      </c>
      <c r="F26" s="135"/>
      <c r="G26" s="134">
        <v>87.0</v>
      </c>
      <c r="H26" s="135"/>
      <c r="I26" s="56">
        <f t="shared" si="1"/>
        <v>84</v>
      </c>
      <c r="J26" s="135"/>
      <c r="K26" s="134">
        <v>171.0</v>
      </c>
      <c r="L26" s="56">
        <f t="shared" si="2"/>
        <v>0</v>
      </c>
      <c r="M26" s="56">
        <f t="shared" si="3"/>
        <v>171</v>
      </c>
      <c r="N26" s="136"/>
      <c r="O26" s="56">
        <v>11.31</v>
      </c>
      <c r="P26" s="56">
        <v>13.482</v>
      </c>
      <c r="Q26" s="56">
        <f t="shared" si="4"/>
        <v>223.128</v>
      </c>
      <c r="R26" s="59">
        <v>258433.0</v>
      </c>
      <c r="S26" s="59">
        <v>258.0</v>
      </c>
      <c r="T26" s="64"/>
      <c r="U26" s="60"/>
      <c r="V26" s="62">
        <f t="shared" si="5"/>
        <v>-258175</v>
      </c>
      <c r="W26" s="62">
        <f t="shared" si="6"/>
        <v>0</v>
      </c>
      <c r="X26" s="63"/>
      <c r="Y26" s="63"/>
      <c r="Z26" s="63"/>
      <c r="AA26" s="63"/>
      <c r="AB26" s="63"/>
    </row>
    <row r="27" ht="14.25" customHeight="1">
      <c r="A27" s="133">
        <v>26.0</v>
      </c>
      <c r="B27" s="158" t="s">
        <v>23</v>
      </c>
      <c r="C27" s="65" t="s">
        <v>52</v>
      </c>
      <c r="D27" s="138"/>
      <c r="E27" s="138"/>
      <c r="F27" s="138"/>
      <c r="G27" s="138"/>
      <c r="H27" s="138"/>
      <c r="I27" s="65">
        <f t="shared" si="1"/>
        <v>0</v>
      </c>
      <c r="J27" s="138"/>
      <c r="K27" s="138"/>
      <c r="L27" s="65">
        <f t="shared" si="2"/>
        <v>0</v>
      </c>
      <c r="M27" s="65">
        <f t="shared" si="3"/>
        <v>0</v>
      </c>
      <c r="N27" s="139" t="s">
        <v>89</v>
      </c>
      <c r="O27" s="65">
        <v>11.31</v>
      </c>
      <c r="P27" s="65">
        <v>13.482</v>
      </c>
      <c r="Q27" s="65">
        <f t="shared" si="4"/>
        <v>0</v>
      </c>
      <c r="R27" s="67"/>
      <c r="S27" s="67"/>
      <c r="T27" s="67"/>
      <c r="U27" s="68"/>
      <c r="V27" s="69">
        <f t="shared" si="5"/>
        <v>0</v>
      </c>
      <c r="W27" s="69">
        <f t="shared" si="6"/>
        <v>0</v>
      </c>
      <c r="X27" s="63"/>
      <c r="Y27" s="63"/>
      <c r="Z27" s="63"/>
      <c r="AA27" s="63"/>
      <c r="AB27" s="63"/>
    </row>
    <row r="28" ht="14.25" customHeight="1">
      <c r="A28" s="133">
        <v>27.0</v>
      </c>
      <c r="B28" s="133" t="s">
        <v>23</v>
      </c>
      <c r="C28" s="56" t="s">
        <v>53</v>
      </c>
      <c r="D28" s="134">
        <v>9.0</v>
      </c>
      <c r="E28" s="134">
        <v>9.0</v>
      </c>
      <c r="F28" s="135"/>
      <c r="G28" s="134">
        <v>59.0</v>
      </c>
      <c r="H28" s="135"/>
      <c r="I28" s="56">
        <f t="shared" si="1"/>
        <v>0</v>
      </c>
      <c r="J28" s="135"/>
      <c r="K28" s="135"/>
      <c r="L28" s="56">
        <f t="shared" si="2"/>
        <v>0</v>
      </c>
      <c r="M28" s="56">
        <f t="shared" si="3"/>
        <v>59</v>
      </c>
      <c r="N28" s="136"/>
      <c r="O28" s="56">
        <v>11.31</v>
      </c>
      <c r="P28" s="56">
        <v>13.482</v>
      </c>
      <c r="Q28" s="56">
        <f t="shared" si="4"/>
        <v>223.128</v>
      </c>
      <c r="R28" s="59">
        <v>453166.0</v>
      </c>
      <c r="S28" s="59">
        <v>453.0</v>
      </c>
      <c r="T28" s="64"/>
      <c r="U28" s="60"/>
      <c r="V28" s="62">
        <f t="shared" si="5"/>
        <v>-452713</v>
      </c>
      <c r="W28" s="62">
        <f t="shared" si="6"/>
        <v>0</v>
      </c>
      <c r="X28" s="63"/>
      <c r="Y28" s="63"/>
      <c r="Z28" s="63"/>
      <c r="AA28" s="63"/>
      <c r="AB28" s="63"/>
    </row>
    <row r="29" ht="14.25" customHeight="1">
      <c r="A29" s="133">
        <v>28.0</v>
      </c>
      <c r="B29" s="133" t="s">
        <v>23</v>
      </c>
      <c r="C29" s="56" t="s">
        <v>54</v>
      </c>
      <c r="D29" s="134">
        <v>8.0</v>
      </c>
      <c r="E29" s="134">
        <v>8.0</v>
      </c>
      <c r="F29" s="135"/>
      <c r="G29" s="134">
        <v>93.0</v>
      </c>
      <c r="H29" s="135"/>
      <c r="I29" s="56">
        <f t="shared" si="1"/>
        <v>101</v>
      </c>
      <c r="J29" s="135"/>
      <c r="K29" s="134">
        <v>194.0</v>
      </c>
      <c r="L29" s="56">
        <f t="shared" si="2"/>
        <v>0</v>
      </c>
      <c r="M29" s="56">
        <f t="shared" si="3"/>
        <v>194</v>
      </c>
      <c r="N29" s="136"/>
      <c r="O29" s="56">
        <v>11.31</v>
      </c>
      <c r="P29" s="56">
        <v>13.482</v>
      </c>
      <c r="Q29" s="56">
        <f t="shared" si="4"/>
        <v>198.336</v>
      </c>
      <c r="R29" s="59">
        <v>267212.0</v>
      </c>
      <c r="S29" s="59">
        <v>267.0</v>
      </c>
      <c r="T29" s="64"/>
      <c r="U29" s="60"/>
      <c r="V29" s="62">
        <f t="shared" si="5"/>
        <v>-266945</v>
      </c>
      <c r="W29" s="62">
        <f t="shared" si="6"/>
        <v>0</v>
      </c>
      <c r="X29" s="63"/>
      <c r="Y29" s="63"/>
      <c r="Z29" s="63"/>
      <c r="AA29" s="63"/>
      <c r="AB29" s="63"/>
    </row>
    <row r="30" ht="14.25" customHeight="1">
      <c r="A30" s="133">
        <v>29.0</v>
      </c>
      <c r="B30" s="133" t="s">
        <v>23</v>
      </c>
      <c r="C30" s="56" t="s">
        <v>55</v>
      </c>
      <c r="D30" s="134">
        <v>8.0</v>
      </c>
      <c r="E30" s="134">
        <v>8.0</v>
      </c>
      <c r="F30" s="135"/>
      <c r="G30" s="134">
        <v>65.0</v>
      </c>
      <c r="H30" s="135"/>
      <c r="I30" s="56">
        <f t="shared" si="1"/>
        <v>117</v>
      </c>
      <c r="J30" s="135"/>
      <c r="K30" s="134">
        <v>182.0</v>
      </c>
      <c r="L30" s="56">
        <f t="shared" si="2"/>
        <v>0</v>
      </c>
      <c r="M30" s="56">
        <f t="shared" si="3"/>
        <v>182</v>
      </c>
      <c r="N30" s="136"/>
      <c r="O30" s="56">
        <v>11.31</v>
      </c>
      <c r="P30" s="56">
        <v>13.482</v>
      </c>
      <c r="Q30" s="56">
        <f t="shared" si="4"/>
        <v>198.336</v>
      </c>
      <c r="R30" s="59">
        <v>270054.0</v>
      </c>
      <c r="S30" s="59">
        <v>270.0</v>
      </c>
      <c r="T30" s="64"/>
      <c r="U30" s="60"/>
      <c r="V30" s="62">
        <f t="shared" si="5"/>
        <v>-269784</v>
      </c>
      <c r="W30" s="62">
        <f t="shared" si="6"/>
        <v>0</v>
      </c>
      <c r="X30" s="63"/>
      <c r="Y30" s="63"/>
      <c r="Z30" s="63"/>
      <c r="AA30" s="63"/>
      <c r="AB30" s="63"/>
    </row>
    <row r="31" ht="14.25" customHeight="1">
      <c r="A31" s="133">
        <v>30.0</v>
      </c>
      <c r="B31" s="133" t="s">
        <v>23</v>
      </c>
      <c r="C31" s="56" t="s">
        <v>56</v>
      </c>
      <c r="D31" s="134">
        <v>8.0</v>
      </c>
      <c r="E31" s="134">
        <v>8.0</v>
      </c>
      <c r="F31" s="135"/>
      <c r="G31" s="134">
        <v>72.0</v>
      </c>
      <c r="H31" s="135"/>
      <c r="I31" s="56">
        <f t="shared" si="1"/>
        <v>0</v>
      </c>
      <c r="J31" s="135"/>
      <c r="K31" s="135"/>
      <c r="L31" s="56">
        <f t="shared" si="2"/>
        <v>0</v>
      </c>
      <c r="M31" s="56">
        <f t="shared" si="3"/>
        <v>72</v>
      </c>
      <c r="N31" s="136"/>
      <c r="O31" s="56">
        <v>11.31</v>
      </c>
      <c r="P31" s="56">
        <v>13.482</v>
      </c>
      <c r="Q31" s="56">
        <f t="shared" si="4"/>
        <v>198.336</v>
      </c>
      <c r="R31" s="59">
        <v>293532.0</v>
      </c>
      <c r="S31" s="59">
        <v>293.0</v>
      </c>
      <c r="T31" s="64"/>
      <c r="U31" s="60"/>
      <c r="V31" s="62">
        <f t="shared" si="5"/>
        <v>-293239</v>
      </c>
      <c r="W31" s="62">
        <f t="shared" si="6"/>
        <v>0</v>
      </c>
      <c r="X31" s="63"/>
      <c r="Y31" s="63"/>
      <c r="Z31" s="63"/>
      <c r="AA31" s="63"/>
      <c r="AB31" s="63"/>
    </row>
    <row r="32" ht="14.25" customHeight="1">
      <c r="A32" s="141"/>
      <c r="B32" s="141"/>
      <c r="C32" s="63"/>
      <c r="D32" s="76" t="s">
        <v>57</v>
      </c>
      <c r="E32" s="77">
        <f>SUM(M:M)</f>
        <v>3437</v>
      </c>
      <c r="F32" s="63"/>
      <c r="G32" s="63"/>
      <c r="H32" s="63"/>
      <c r="I32" s="63"/>
      <c r="J32" s="63"/>
      <c r="K32" s="63"/>
      <c r="L32" s="63"/>
      <c r="M32" s="63"/>
      <c r="N32" s="78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</row>
    <row r="33" ht="14.25" customHeight="1">
      <c r="A33" s="141"/>
      <c r="B33" s="141"/>
      <c r="C33" s="63"/>
      <c r="D33" s="76" t="s">
        <v>58</v>
      </c>
      <c r="E33" s="77">
        <f>SUM(Q:Q)</f>
        <v>5688.228</v>
      </c>
      <c r="F33" s="63"/>
      <c r="G33" s="63"/>
      <c r="H33" s="63"/>
      <c r="I33" s="63"/>
      <c r="J33" s="63"/>
      <c r="K33" s="63"/>
      <c r="L33" s="63"/>
      <c r="M33" s="63"/>
      <c r="N33" s="78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</row>
    <row r="34" ht="14.25" customHeight="1">
      <c r="A34" s="141"/>
      <c r="B34" s="141"/>
      <c r="C34" s="63"/>
      <c r="D34" s="76" t="s">
        <v>59</v>
      </c>
      <c r="E34" s="77">
        <f>E32/E33</f>
        <v>0.6042303508</v>
      </c>
      <c r="F34" s="63"/>
      <c r="G34" s="63"/>
      <c r="H34" s="63"/>
      <c r="I34" s="63"/>
      <c r="J34" s="63"/>
      <c r="K34" s="63"/>
      <c r="L34" s="63"/>
      <c r="M34" s="63"/>
      <c r="N34" s="78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</row>
    <row r="35" ht="14.25" customHeight="1">
      <c r="A35" s="141"/>
      <c r="B35" s="141"/>
      <c r="C35" s="63"/>
      <c r="D35" s="79"/>
      <c r="E35" s="80"/>
      <c r="F35" s="63"/>
      <c r="G35" s="63"/>
      <c r="H35" s="63"/>
      <c r="I35" s="63"/>
      <c r="J35" s="63"/>
      <c r="K35" s="63"/>
      <c r="L35" s="63"/>
      <c r="M35" s="63"/>
      <c r="N35" s="78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</row>
    <row r="36" ht="14.25" customHeight="1">
      <c r="A36" s="141"/>
      <c r="B36" s="141"/>
      <c r="C36" s="63"/>
      <c r="D36" s="81" t="s">
        <v>60</v>
      </c>
      <c r="E36" s="82">
        <f>AVERAGEIF(Q:Q,"&gt;0",Q:Q)</f>
        <v>196.1457931</v>
      </c>
      <c r="F36" s="63"/>
      <c r="G36" s="63"/>
      <c r="H36" s="63"/>
      <c r="I36" s="63"/>
      <c r="J36" s="63"/>
      <c r="K36" s="63"/>
      <c r="L36" s="63"/>
      <c r="M36" s="63"/>
      <c r="N36" s="78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</row>
    <row r="37" ht="14.25" customHeight="1">
      <c r="A37" s="141"/>
      <c r="B37" s="141"/>
      <c r="C37" s="63"/>
      <c r="D37" s="79"/>
      <c r="E37" s="80"/>
      <c r="F37" s="63"/>
      <c r="G37" s="63"/>
      <c r="H37" s="63"/>
      <c r="I37" s="63"/>
      <c r="J37" s="63"/>
      <c r="K37" s="63"/>
      <c r="L37" s="63"/>
      <c r="M37" s="63"/>
      <c r="N37" s="78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</row>
    <row r="38" ht="14.25" customHeight="1">
      <c r="A38" s="141"/>
      <c r="B38" s="141"/>
      <c r="C38" s="63"/>
      <c r="D38" s="83" t="s">
        <v>61</v>
      </c>
      <c r="E38" s="84">
        <f>SUM(G:G)</f>
        <v>1958</v>
      </c>
      <c r="F38" s="63"/>
      <c r="G38" s="63"/>
      <c r="H38" s="63"/>
      <c r="I38" s="63"/>
      <c r="J38" s="63"/>
      <c r="K38" s="63"/>
      <c r="L38" s="63"/>
      <c r="M38" s="63"/>
      <c r="N38" s="78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</row>
    <row r="39" ht="14.25" customHeight="1">
      <c r="A39" s="141"/>
      <c r="B39" s="141"/>
      <c r="C39" s="63"/>
      <c r="D39" s="83" t="s">
        <v>62</v>
      </c>
      <c r="E39" s="84">
        <f>SUM(H:H)</f>
        <v>0</v>
      </c>
      <c r="F39" s="63"/>
      <c r="G39" s="63"/>
      <c r="H39" s="63"/>
      <c r="I39" s="63"/>
      <c r="J39" s="63"/>
      <c r="K39" s="63"/>
      <c r="L39" s="63"/>
      <c r="M39" s="63"/>
      <c r="N39" s="78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</row>
    <row r="40" ht="14.25" customHeight="1">
      <c r="A40" s="141"/>
      <c r="B40" s="141"/>
      <c r="C40" s="63"/>
      <c r="D40" s="83" t="s">
        <v>63</v>
      </c>
      <c r="E40" s="84">
        <f>E39+E38</f>
        <v>1958</v>
      </c>
      <c r="F40" s="63"/>
      <c r="G40" s="63"/>
      <c r="H40" s="63"/>
      <c r="I40" s="63"/>
      <c r="J40" s="63"/>
      <c r="K40" s="63"/>
      <c r="L40" s="63"/>
      <c r="M40" s="63"/>
      <c r="N40" s="78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</row>
    <row r="41" ht="14.25" customHeight="1">
      <c r="A41" s="141"/>
      <c r="B41" s="141"/>
      <c r="C41" s="63"/>
      <c r="D41" s="79"/>
      <c r="E41" s="80"/>
      <c r="F41" s="63"/>
      <c r="G41" s="63"/>
      <c r="H41" s="63"/>
      <c r="I41" s="63"/>
      <c r="J41" s="63"/>
      <c r="K41" s="63"/>
      <c r="L41" s="63"/>
      <c r="M41" s="63"/>
      <c r="N41" s="78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</row>
    <row r="42" ht="14.25" customHeight="1">
      <c r="A42" s="141"/>
      <c r="B42" s="141"/>
      <c r="C42" s="63"/>
      <c r="D42" s="49" t="s">
        <v>64</v>
      </c>
      <c r="E42" s="85">
        <f>SUM(I:I)</f>
        <v>1479</v>
      </c>
      <c r="F42" s="63"/>
      <c r="G42" s="63"/>
      <c r="H42" s="63"/>
      <c r="I42" s="63"/>
      <c r="J42" s="63"/>
      <c r="K42" s="63"/>
      <c r="L42" s="63"/>
      <c r="M42" s="63"/>
      <c r="N42" s="78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</row>
    <row r="43" ht="14.25" customHeight="1">
      <c r="A43" s="141"/>
      <c r="B43" s="141"/>
      <c r="C43" s="63"/>
      <c r="D43" s="49" t="s">
        <v>65</v>
      </c>
      <c r="E43" s="85">
        <f>SUM(J:J)</f>
        <v>0</v>
      </c>
      <c r="F43" s="63"/>
      <c r="G43" s="63"/>
      <c r="H43" s="63"/>
      <c r="I43" s="63"/>
      <c r="J43" s="63"/>
      <c r="K43" s="63"/>
      <c r="L43" s="63"/>
      <c r="M43" s="63"/>
      <c r="N43" s="78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</row>
    <row r="44" ht="14.25" customHeight="1">
      <c r="A44" s="141"/>
      <c r="B44" s="141"/>
      <c r="C44" s="63"/>
      <c r="D44" s="49" t="s">
        <v>66</v>
      </c>
      <c r="E44" s="85">
        <f>E43+E42</f>
        <v>1479</v>
      </c>
      <c r="F44" s="63"/>
      <c r="G44" s="63"/>
      <c r="H44" s="63"/>
      <c r="I44" s="63"/>
      <c r="J44" s="63"/>
      <c r="K44" s="63"/>
      <c r="L44" s="63"/>
      <c r="M44" s="63"/>
      <c r="N44" s="78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</row>
    <row r="45" ht="14.25" customHeight="1">
      <c r="A45" s="141"/>
      <c r="B45" s="141"/>
      <c r="C45" s="63"/>
      <c r="D45" s="79"/>
      <c r="E45" s="80"/>
      <c r="F45" s="63"/>
      <c r="G45" s="63"/>
      <c r="H45" s="63"/>
      <c r="I45" s="63"/>
      <c r="J45" s="63"/>
      <c r="K45" s="63"/>
      <c r="L45" s="63"/>
      <c r="M45" s="63"/>
      <c r="N45" s="78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</row>
    <row r="46" ht="14.25" customHeight="1">
      <c r="A46" s="141"/>
      <c r="B46" s="141"/>
      <c r="C46" s="63"/>
      <c r="D46" s="86" t="s">
        <v>10</v>
      </c>
      <c r="E46" s="87">
        <f t="shared" ref="E46:E47" si="7">E42+E38</f>
        <v>3437</v>
      </c>
      <c r="F46" s="63"/>
      <c r="G46" s="63"/>
      <c r="H46" s="63"/>
      <c r="I46" s="63"/>
      <c r="J46" s="63"/>
      <c r="K46" s="63"/>
      <c r="L46" s="63"/>
      <c r="M46" s="63"/>
      <c r="N46" s="78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</row>
    <row r="47" ht="14.25" customHeight="1">
      <c r="A47" s="141"/>
      <c r="B47" s="141"/>
      <c r="C47" s="63"/>
      <c r="D47" s="86" t="s">
        <v>11</v>
      </c>
      <c r="E47" s="87">
        <f t="shared" si="7"/>
        <v>0</v>
      </c>
      <c r="F47" s="63"/>
      <c r="G47" s="63"/>
      <c r="H47" s="63"/>
      <c r="I47" s="63"/>
      <c r="J47" s="63"/>
      <c r="K47" s="63"/>
      <c r="L47" s="63"/>
      <c r="M47" s="63"/>
      <c r="N47" s="78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</row>
    <row r="48" ht="14.25" customHeight="1">
      <c r="A48" s="141"/>
      <c r="B48" s="141"/>
      <c r="C48" s="63"/>
      <c r="D48" s="80"/>
      <c r="E48" s="80"/>
      <c r="F48" s="63"/>
      <c r="G48" s="63"/>
      <c r="H48" s="63"/>
      <c r="I48" s="63"/>
      <c r="J48" s="63"/>
      <c r="K48" s="63"/>
      <c r="L48" s="63"/>
      <c r="M48" s="63"/>
      <c r="N48" s="78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</row>
    <row r="49" ht="14.25" customHeight="1">
      <c r="A49" s="141"/>
      <c r="B49" s="141"/>
      <c r="C49" s="63"/>
      <c r="D49" s="80"/>
      <c r="E49" s="80"/>
      <c r="F49" s="63"/>
      <c r="G49" s="63"/>
      <c r="H49" s="63"/>
      <c r="I49" s="63"/>
      <c r="J49" s="63"/>
      <c r="K49" s="63"/>
      <c r="L49" s="63"/>
      <c r="M49" s="63"/>
      <c r="N49" s="78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</row>
    <row r="50" ht="14.25" customHeight="1">
      <c r="A50" s="141"/>
      <c r="B50" s="141"/>
      <c r="C50" s="63"/>
      <c r="D50" s="80"/>
      <c r="E50" s="80"/>
      <c r="F50" s="63"/>
      <c r="G50" s="63"/>
      <c r="H50" s="63"/>
      <c r="I50" s="63"/>
      <c r="J50" s="63"/>
      <c r="K50" s="63"/>
      <c r="L50" s="63"/>
      <c r="M50" s="63"/>
      <c r="N50" s="78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</row>
    <row r="51" ht="14.25" customHeight="1">
      <c r="A51" s="141"/>
      <c r="B51" s="141"/>
      <c r="C51" s="63"/>
      <c r="D51" s="80"/>
      <c r="E51" s="80"/>
      <c r="F51" s="63"/>
      <c r="G51" s="63"/>
      <c r="H51" s="63"/>
      <c r="I51" s="63"/>
      <c r="J51" s="63"/>
      <c r="K51" s="63"/>
      <c r="L51" s="63"/>
      <c r="M51" s="63"/>
      <c r="N51" s="78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</row>
    <row r="52" ht="14.25" customHeight="1">
      <c r="A52" s="141"/>
      <c r="B52" s="141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78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</row>
    <row r="53" ht="14.25" customHeight="1">
      <c r="A53" s="141"/>
      <c r="B53" s="141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78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</row>
    <row r="54" ht="14.25" customHeight="1">
      <c r="A54" s="141"/>
      <c r="B54" s="141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78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</row>
    <row r="55" ht="14.25" customHeight="1">
      <c r="A55" s="141"/>
      <c r="B55" s="141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78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</row>
    <row r="56" ht="14.25" customHeight="1">
      <c r="A56" s="141"/>
      <c r="B56" s="141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78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</row>
    <row r="57" ht="14.25" customHeight="1">
      <c r="A57" s="141"/>
      <c r="B57" s="141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78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</row>
    <row r="58" ht="14.25" customHeight="1">
      <c r="A58" s="141"/>
      <c r="B58" s="141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78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</row>
    <row r="59" ht="14.25" customHeight="1">
      <c r="A59" s="141"/>
      <c r="B59" s="141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78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</row>
    <row r="60" ht="14.25" customHeight="1">
      <c r="A60" s="141"/>
      <c r="B60" s="141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78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</row>
    <row r="61" ht="14.25" customHeight="1">
      <c r="A61" s="141"/>
      <c r="B61" s="141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78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</row>
    <row r="62" ht="14.25" customHeight="1">
      <c r="A62" s="141"/>
      <c r="B62" s="141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78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</row>
    <row r="63" ht="14.25" customHeight="1">
      <c r="A63" s="141"/>
      <c r="B63" s="141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78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</row>
    <row r="64" ht="14.25" customHeight="1">
      <c r="A64" s="141"/>
      <c r="B64" s="141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78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</row>
    <row r="65" ht="14.25" customHeight="1">
      <c r="A65" s="141"/>
      <c r="B65" s="141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78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</row>
    <row r="66" ht="14.25" customHeight="1">
      <c r="A66" s="141"/>
      <c r="B66" s="141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78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</row>
    <row r="67" ht="14.25" customHeight="1">
      <c r="A67" s="141"/>
      <c r="B67" s="141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78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</row>
    <row r="68" ht="14.25" customHeight="1">
      <c r="A68" s="141"/>
      <c r="B68" s="141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78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</row>
    <row r="69" ht="14.25" customHeight="1">
      <c r="A69" s="141"/>
      <c r="B69" s="141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78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</row>
    <row r="70" ht="14.25" customHeight="1">
      <c r="A70" s="141"/>
      <c r="B70" s="141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78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</row>
    <row r="71" ht="14.25" customHeight="1">
      <c r="A71" s="141"/>
      <c r="B71" s="141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78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</row>
    <row r="72" ht="14.25" customHeight="1">
      <c r="A72" s="141"/>
      <c r="B72" s="141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78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</row>
    <row r="73" ht="14.25" customHeight="1">
      <c r="A73" s="141"/>
      <c r="B73" s="141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78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</row>
    <row r="74" ht="14.25" customHeight="1">
      <c r="A74" s="141"/>
      <c r="B74" s="141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78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</row>
    <row r="75" ht="14.25" customHeight="1">
      <c r="A75" s="141"/>
      <c r="B75" s="141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78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</row>
    <row r="76" ht="14.25" customHeight="1">
      <c r="A76" s="141"/>
      <c r="B76" s="141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78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</row>
    <row r="77" ht="14.25" customHeight="1">
      <c r="A77" s="141"/>
      <c r="B77" s="141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78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</row>
    <row r="78" ht="14.25" customHeight="1">
      <c r="A78" s="141"/>
      <c r="B78" s="141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78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</row>
    <row r="79" ht="14.25" customHeight="1">
      <c r="A79" s="141"/>
      <c r="B79" s="141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78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</row>
    <row r="80" ht="14.25" customHeight="1">
      <c r="A80" s="141"/>
      <c r="B80" s="141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78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</row>
    <row r="81" ht="14.25" customHeight="1">
      <c r="A81" s="141"/>
      <c r="B81" s="141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78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</row>
    <row r="82" ht="14.25" customHeight="1">
      <c r="A82" s="141"/>
      <c r="B82" s="141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78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</row>
    <row r="83" ht="14.25" customHeight="1">
      <c r="A83" s="141"/>
      <c r="B83" s="141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78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</row>
    <row r="84" ht="14.25" customHeight="1">
      <c r="A84" s="141"/>
      <c r="B84" s="141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78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</row>
    <row r="85" ht="14.25" customHeight="1">
      <c r="A85" s="141"/>
      <c r="B85" s="141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78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</row>
    <row r="86" ht="14.25" customHeight="1">
      <c r="A86" s="141"/>
      <c r="B86" s="141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78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</row>
    <row r="87" ht="14.25" customHeight="1">
      <c r="A87" s="141"/>
      <c r="B87" s="141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78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</row>
    <row r="88" ht="14.25" customHeight="1">
      <c r="A88" s="141"/>
      <c r="B88" s="141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78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</row>
    <row r="89" ht="14.25" customHeight="1">
      <c r="A89" s="141"/>
      <c r="B89" s="141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78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</row>
    <row r="90" ht="14.25" customHeight="1">
      <c r="A90" s="141"/>
      <c r="B90" s="141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78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</row>
    <row r="91" ht="14.25" customHeight="1">
      <c r="A91" s="141"/>
      <c r="B91" s="141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78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</row>
    <row r="92" ht="14.25" customHeight="1">
      <c r="A92" s="141"/>
      <c r="B92" s="141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78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</row>
    <row r="93" ht="14.25" customHeight="1">
      <c r="A93" s="141"/>
      <c r="B93" s="141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78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</row>
    <row r="94" ht="14.25" customHeight="1">
      <c r="A94" s="141"/>
      <c r="B94" s="141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78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</row>
    <row r="95" ht="14.25" customHeight="1">
      <c r="A95" s="141"/>
      <c r="B95" s="141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78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</row>
    <row r="96" ht="14.25" customHeight="1">
      <c r="A96" s="141"/>
      <c r="B96" s="141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78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</row>
    <row r="97" ht="14.25" customHeight="1">
      <c r="A97" s="141"/>
      <c r="B97" s="141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78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</row>
    <row r="98" ht="14.25" customHeight="1">
      <c r="A98" s="141"/>
      <c r="B98" s="141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78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</row>
    <row r="99" ht="14.25" customHeight="1">
      <c r="A99" s="141"/>
      <c r="B99" s="141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78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</row>
    <row r="100" ht="14.25" customHeight="1">
      <c r="A100" s="141"/>
      <c r="B100" s="141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78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</row>
    <row r="101" ht="14.25" customHeight="1">
      <c r="A101" s="141"/>
      <c r="B101" s="141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78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</row>
    <row r="102" ht="14.25" customHeight="1">
      <c r="A102" s="141"/>
      <c r="B102" s="141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78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</row>
    <row r="103" ht="14.25" customHeight="1">
      <c r="A103" s="141"/>
      <c r="B103" s="141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78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</row>
    <row r="104" ht="14.25" customHeight="1">
      <c r="A104" s="141"/>
      <c r="B104" s="141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78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</row>
    <row r="105" ht="14.25" customHeight="1">
      <c r="A105" s="141"/>
      <c r="B105" s="141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78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</row>
    <row r="106" ht="14.25" customHeight="1">
      <c r="A106" s="141"/>
      <c r="B106" s="141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78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</row>
    <row r="107" ht="14.25" customHeight="1">
      <c r="A107" s="141"/>
      <c r="B107" s="141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78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</row>
    <row r="108" ht="14.25" customHeight="1">
      <c r="A108" s="141"/>
      <c r="B108" s="141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78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</row>
    <row r="109" ht="14.25" customHeight="1">
      <c r="A109" s="141"/>
      <c r="B109" s="141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78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</row>
    <row r="110" ht="14.25" customHeight="1">
      <c r="A110" s="141"/>
      <c r="B110" s="141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78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</row>
    <row r="111" ht="14.25" customHeight="1">
      <c r="A111" s="141"/>
      <c r="B111" s="141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78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</row>
    <row r="112" ht="14.25" customHeight="1">
      <c r="A112" s="141"/>
      <c r="B112" s="141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78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</row>
    <row r="113" ht="14.25" customHeight="1">
      <c r="A113" s="141"/>
      <c r="B113" s="141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78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</row>
    <row r="114" ht="14.25" customHeight="1">
      <c r="A114" s="141"/>
      <c r="B114" s="141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78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</row>
    <row r="115" ht="14.25" customHeight="1">
      <c r="A115" s="141"/>
      <c r="B115" s="141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78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</row>
    <row r="116" ht="14.25" customHeight="1">
      <c r="A116" s="141"/>
      <c r="B116" s="141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78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</row>
    <row r="117" ht="14.25" customHeight="1">
      <c r="A117" s="141"/>
      <c r="B117" s="141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78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</row>
    <row r="118" ht="14.25" customHeight="1">
      <c r="A118" s="141"/>
      <c r="B118" s="141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78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</row>
    <row r="119" ht="14.25" customHeight="1">
      <c r="A119" s="141"/>
      <c r="B119" s="141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78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</row>
    <row r="120" ht="14.25" customHeight="1">
      <c r="A120" s="141"/>
      <c r="B120" s="141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78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</row>
    <row r="121" ht="14.25" customHeight="1">
      <c r="A121" s="141"/>
      <c r="B121" s="141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78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</row>
    <row r="122" ht="14.25" customHeight="1">
      <c r="A122" s="141"/>
      <c r="B122" s="141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78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</row>
    <row r="123" ht="14.25" customHeight="1">
      <c r="A123" s="141"/>
      <c r="B123" s="141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78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</row>
    <row r="124" ht="14.25" customHeight="1">
      <c r="A124" s="141"/>
      <c r="B124" s="141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78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</row>
    <row r="125" ht="14.25" customHeight="1">
      <c r="A125" s="141"/>
      <c r="B125" s="141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78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</row>
    <row r="126" ht="14.25" customHeight="1">
      <c r="A126" s="141"/>
      <c r="B126" s="141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78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</row>
    <row r="127" ht="14.25" customHeight="1">
      <c r="A127" s="141"/>
      <c r="B127" s="141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78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</row>
    <row r="128" ht="14.25" customHeight="1">
      <c r="A128" s="141"/>
      <c r="B128" s="141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78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</row>
    <row r="129" ht="14.25" customHeight="1">
      <c r="A129" s="141"/>
      <c r="B129" s="141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78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</row>
    <row r="130" ht="14.25" customHeight="1">
      <c r="A130" s="141"/>
      <c r="B130" s="141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78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</row>
    <row r="131" ht="14.25" customHeight="1">
      <c r="A131" s="141"/>
      <c r="B131" s="141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78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</row>
    <row r="132" ht="14.25" customHeight="1">
      <c r="A132" s="141"/>
      <c r="B132" s="141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78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</row>
    <row r="133" ht="14.25" customHeight="1">
      <c r="A133" s="141"/>
      <c r="B133" s="141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78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</row>
    <row r="134" ht="14.25" customHeight="1">
      <c r="A134" s="141"/>
      <c r="B134" s="141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78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</row>
    <row r="135" ht="14.25" customHeight="1">
      <c r="A135" s="141"/>
      <c r="B135" s="141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78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</row>
    <row r="136" ht="14.25" customHeight="1">
      <c r="A136" s="141"/>
      <c r="B136" s="141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78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</row>
    <row r="137" ht="14.25" customHeight="1">
      <c r="A137" s="141"/>
      <c r="B137" s="141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78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</row>
    <row r="138" ht="14.25" customHeight="1">
      <c r="A138" s="141"/>
      <c r="B138" s="141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78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</row>
    <row r="139" ht="14.25" customHeight="1">
      <c r="A139" s="141"/>
      <c r="B139" s="141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78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</row>
    <row r="140" ht="14.25" customHeight="1">
      <c r="A140" s="141"/>
      <c r="B140" s="141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78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</row>
    <row r="141" ht="14.25" customHeight="1">
      <c r="A141" s="141"/>
      <c r="B141" s="141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78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</row>
    <row r="142" ht="14.25" customHeight="1">
      <c r="A142" s="141"/>
      <c r="B142" s="141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78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</row>
    <row r="143" ht="14.25" customHeight="1">
      <c r="A143" s="141"/>
      <c r="B143" s="141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78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</row>
    <row r="144" ht="14.25" customHeight="1">
      <c r="A144" s="141"/>
      <c r="B144" s="141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78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</row>
    <row r="145" ht="14.25" customHeight="1">
      <c r="A145" s="141"/>
      <c r="B145" s="141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78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</row>
    <row r="146" ht="14.25" customHeight="1">
      <c r="A146" s="141"/>
      <c r="B146" s="141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78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</row>
    <row r="147" ht="14.25" customHeight="1">
      <c r="A147" s="141"/>
      <c r="B147" s="141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78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</row>
    <row r="148" ht="14.25" customHeight="1">
      <c r="A148" s="141"/>
      <c r="B148" s="141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78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</row>
    <row r="149" ht="14.25" customHeight="1">
      <c r="A149" s="141"/>
      <c r="B149" s="141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78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</row>
    <row r="150" ht="14.25" customHeight="1">
      <c r="A150" s="141"/>
      <c r="B150" s="141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78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</row>
    <row r="151" ht="14.25" customHeight="1">
      <c r="A151" s="141"/>
      <c r="B151" s="141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78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</row>
    <row r="152" ht="14.25" customHeight="1">
      <c r="A152" s="141"/>
      <c r="B152" s="141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78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</row>
    <row r="153" ht="14.25" customHeight="1">
      <c r="A153" s="141"/>
      <c r="B153" s="141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78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</row>
    <row r="154" ht="14.25" customHeight="1">
      <c r="A154" s="141"/>
      <c r="B154" s="141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78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</row>
    <row r="155" ht="14.25" customHeight="1">
      <c r="A155" s="141"/>
      <c r="B155" s="141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78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</row>
    <row r="156" ht="14.25" customHeight="1">
      <c r="A156" s="141"/>
      <c r="B156" s="141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78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</row>
    <row r="157" ht="14.25" customHeight="1">
      <c r="A157" s="141"/>
      <c r="B157" s="141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78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</row>
    <row r="158" ht="14.25" customHeight="1">
      <c r="A158" s="141"/>
      <c r="B158" s="141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78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</row>
    <row r="159" ht="14.25" customHeight="1">
      <c r="A159" s="141"/>
      <c r="B159" s="141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78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</row>
    <row r="160" ht="14.25" customHeight="1">
      <c r="A160" s="141"/>
      <c r="B160" s="141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78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</row>
    <row r="161" ht="14.25" customHeight="1">
      <c r="A161" s="141"/>
      <c r="B161" s="141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78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</row>
    <row r="162" ht="14.25" customHeight="1">
      <c r="A162" s="141"/>
      <c r="B162" s="141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78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</row>
    <row r="163" ht="14.25" customHeight="1">
      <c r="A163" s="141"/>
      <c r="B163" s="141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78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</row>
    <row r="164" ht="14.25" customHeight="1">
      <c r="A164" s="141"/>
      <c r="B164" s="141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78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</row>
    <row r="165" ht="14.25" customHeight="1">
      <c r="A165" s="141"/>
      <c r="B165" s="141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78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</row>
    <row r="166" ht="14.25" customHeight="1">
      <c r="A166" s="141"/>
      <c r="B166" s="141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78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</row>
    <row r="167" ht="14.25" customHeight="1">
      <c r="A167" s="141"/>
      <c r="B167" s="141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78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</row>
    <row r="168" ht="14.25" customHeight="1">
      <c r="A168" s="141"/>
      <c r="B168" s="141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78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</row>
    <row r="169" ht="14.25" customHeight="1">
      <c r="A169" s="141"/>
      <c r="B169" s="141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78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</row>
    <row r="170" ht="14.25" customHeight="1">
      <c r="A170" s="141"/>
      <c r="B170" s="141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78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</row>
    <row r="171" ht="14.25" customHeight="1">
      <c r="A171" s="141"/>
      <c r="B171" s="141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78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</row>
    <row r="172" ht="14.25" customHeight="1">
      <c r="A172" s="141"/>
      <c r="B172" s="141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78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</row>
    <row r="173" ht="14.25" customHeight="1">
      <c r="A173" s="141"/>
      <c r="B173" s="141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78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</row>
    <row r="174" ht="14.25" customHeight="1">
      <c r="A174" s="141"/>
      <c r="B174" s="141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78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</row>
    <row r="175" ht="14.25" customHeight="1">
      <c r="A175" s="141"/>
      <c r="B175" s="141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78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</row>
    <row r="176" ht="14.25" customHeight="1">
      <c r="A176" s="141"/>
      <c r="B176" s="141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78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</row>
    <row r="177" ht="14.25" customHeight="1">
      <c r="A177" s="141"/>
      <c r="B177" s="141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78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</row>
    <row r="178" ht="14.25" customHeight="1">
      <c r="A178" s="141"/>
      <c r="B178" s="141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78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</row>
    <row r="179" ht="14.25" customHeight="1">
      <c r="A179" s="141"/>
      <c r="B179" s="141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78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</row>
    <row r="180" ht="14.25" customHeight="1">
      <c r="A180" s="141"/>
      <c r="B180" s="141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78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</row>
    <row r="181" ht="14.25" customHeight="1">
      <c r="A181" s="141"/>
      <c r="B181" s="141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78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</row>
    <row r="182" ht="14.25" customHeight="1">
      <c r="A182" s="141"/>
      <c r="B182" s="141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78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</row>
    <row r="183" ht="14.25" customHeight="1">
      <c r="A183" s="141"/>
      <c r="B183" s="141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78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</row>
    <row r="184" ht="14.25" customHeight="1">
      <c r="A184" s="141"/>
      <c r="B184" s="141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78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</row>
    <row r="185" ht="14.25" customHeight="1">
      <c r="A185" s="141"/>
      <c r="B185" s="141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78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</row>
    <row r="186" ht="14.25" customHeight="1">
      <c r="A186" s="141"/>
      <c r="B186" s="141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78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</row>
    <row r="187" ht="14.25" customHeight="1">
      <c r="A187" s="141"/>
      <c r="B187" s="141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78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</row>
    <row r="188" ht="14.25" customHeight="1">
      <c r="A188" s="141"/>
      <c r="B188" s="141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78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</row>
    <row r="189" ht="14.25" customHeight="1">
      <c r="A189" s="141"/>
      <c r="B189" s="141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78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</row>
    <row r="190" ht="14.25" customHeight="1">
      <c r="A190" s="141"/>
      <c r="B190" s="141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78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</row>
    <row r="191" ht="14.25" customHeight="1">
      <c r="A191" s="141"/>
      <c r="B191" s="141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78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</row>
    <row r="192" ht="14.25" customHeight="1">
      <c r="A192" s="141"/>
      <c r="B192" s="141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78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</row>
    <row r="193" ht="14.25" customHeight="1">
      <c r="A193" s="141"/>
      <c r="B193" s="141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78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</row>
    <row r="194" ht="14.25" customHeight="1">
      <c r="A194" s="141"/>
      <c r="B194" s="141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78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</row>
    <row r="195" ht="14.25" customHeight="1">
      <c r="A195" s="141"/>
      <c r="B195" s="141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78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</row>
    <row r="196" ht="14.25" customHeight="1">
      <c r="A196" s="141"/>
      <c r="B196" s="141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78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</row>
    <row r="197" ht="14.25" customHeight="1">
      <c r="A197" s="141"/>
      <c r="B197" s="141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78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</row>
    <row r="198" ht="14.25" customHeight="1">
      <c r="A198" s="141"/>
      <c r="B198" s="141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78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</row>
    <row r="199" ht="14.25" customHeight="1">
      <c r="A199" s="141"/>
      <c r="B199" s="141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78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</row>
    <row r="200" ht="14.25" customHeight="1">
      <c r="A200" s="141"/>
      <c r="B200" s="141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78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</row>
    <row r="201" ht="14.25" customHeight="1">
      <c r="A201" s="141"/>
      <c r="B201" s="141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78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</row>
    <row r="202" ht="14.25" customHeight="1">
      <c r="A202" s="141"/>
      <c r="B202" s="141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78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</row>
    <row r="203" ht="14.25" customHeight="1">
      <c r="A203" s="141"/>
      <c r="B203" s="141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78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</row>
    <row r="204" ht="14.25" customHeight="1">
      <c r="A204" s="141"/>
      <c r="B204" s="141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78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</row>
    <row r="205" ht="14.25" customHeight="1">
      <c r="A205" s="141"/>
      <c r="B205" s="141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78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</row>
    <row r="206" ht="14.25" customHeight="1">
      <c r="A206" s="141"/>
      <c r="B206" s="141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78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</row>
    <row r="207" ht="14.25" customHeight="1">
      <c r="A207" s="141"/>
      <c r="B207" s="141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78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</row>
    <row r="208" ht="14.25" customHeight="1">
      <c r="A208" s="141"/>
      <c r="B208" s="141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78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</row>
    <row r="209" ht="14.25" customHeight="1">
      <c r="A209" s="141"/>
      <c r="B209" s="141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78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</row>
    <row r="210" ht="14.25" customHeight="1">
      <c r="A210" s="141"/>
      <c r="B210" s="141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78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</row>
    <row r="211" ht="14.25" customHeight="1">
      <c r="A211" s="141"/>
      <c r="B211" s="141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78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</row>
    <row r="212" ht="14.25" customHeight="1">
      <c r="A212" s="141"/>
      <c r="B212" s="141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78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</row>
    <row r="213" ht="14.25" customHeight="1">
      <c r="A213" s="141"/>
      <c r="B213" s="141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78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</row>
    <row r="214" ht="14.25" customHeight="1">
      <c r="A214" s="141"/>
      <c r="B214" s="141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78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</row>
    <row r="215" ht="14.25" customHeight="1">
      <c r="A215" s="141"/>
      <c r="B215" s="141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78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</row>
    <row r="216" ht="14.25" customHeight="1">
      <c r="A216" s="141"/>
      <c r="B216" s="141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78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</row>
    <row r="217" ht="14.25" customHeight="1">
      <c r="A217" s="141"/>
      <c r="B217" s="141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78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</row>
    <row r="218" ht="14.25" customHeight="1">
      <c r="A218" s="141"/>
      <c r="B218" s="141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78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</row>
    <row r="219" ht="14.25" customHeight="1">
      <c r="A219" s="141"/>
      <c r="B219" s="141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78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</row>
    <row r="220" ht="14.25" customHeight="1">
      <c r="A220" s="141"/>
      <c r="B220" s="141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78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</row>
    <row r="221" ht="14.25" customHeight="1">
      <c r="A221" s="141"/>
      <c r="B221" s="141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78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</row>
    <row r="222" ht="14.25" customHeight="1">
      <c r="A222" s="141"/>
      <c r="B222" s="141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78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</row>
    <row r="223" ht="14.25" customHeight="1">
      <c r="A223" s="141"/>
      <c r="B223" s="141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78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</row>
    <row r="224" ht="14.25" customHeight="1">
      <c r="A224" s="141"/>
      <c r="B224" s="141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78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</row>
    <row r="225" ht="14.25" customHeight="1">
      <c r="A225" s="141"/>
      <c r="B225" s="141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78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</row>
    <row r="226" ht="14.25" customHeight="1">
      <c r="A226" s="141"/>
      <c r="B226" s="141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78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</row>
    <row r="227" ht="14.25" customHeight="1">
      <c r="A227" s="141"/>
      <c r="B227" s="141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78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</row>
    <row r="228" ht="14.25" customHeight="1">
      <c r="A228" s="141"/>
      <c r="B228" s="141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78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</row>
    <row r="229" ht="14.25" customHeight="1">
      <c r="A229" s="141"/>
      <c r="B229" s="141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78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</row>
    <row r="230" ht="14.25" customHeight="1">
      <c r="A230" s="141"/>
      <c r="B230" s="141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78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</row>
    <row r="231" ht="14.25" customHeight="1">
      <c r="A231" s="141"/>
      <c r="B231" s="141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78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</row>
    <row r="232" ht="14.25" customHeight="1">
      <c r="A232" s="141"/>
      <c r="B232" s="141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78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</row>
    <row r="233" ht="14.25" customHeight="1">
      <c r="A233" s="141"/>
      <c r="B233" s="141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78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</row>
    <row r="234" ht="14.25" customHeight="1">
      <c r="A234" s="141"/>
      <c r="B234" s="141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78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</row>
    <row r="235" ht="14.25" customHeight="1">
      <c r="A235" s="141"/>
      <c r="B235" s="141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78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</row>
    <row r="236" ht="14.25" customHeight="1">
      <c r="A236" s="141"/>
      <c r="B236" s="141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78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</row>
    <row r="237" ht="14.25" customHeight="1">
      <c r="A237" s="141"/>
      <c r="B237" s="141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78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</row>
    <row r="238" ht="14.25" customHeight="1">
      <c r="A238" s="141"/>
      <c r="B238" s="141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78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</row>
    <row r="239" ht="14.25" customHeight="1">
      <c r="A239" s="141"/>
      <c r="B239" s="141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78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</row>
    <row r="240" ht="14.25" customHeight="1">
      <c r="A240" s="141"/>
      <c r="B240" s="141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78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</row>
    <row r="241" ht="14.25" customHeight="1">
      <c r="A241" s="141"/>
      <c r="B241" s="141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78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</row>
    <row r="242" ht="14.25" customHeight="1">
      <c r="A242" s="141"/>
      <c r="B242" s="141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78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</row>
    <row r="243" ht="14.25" customHeight="1">
      <c r="A243" s="141"/>
      <c r="B243" s="141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78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</row>
    <row r="244" ht="14.25" customHeight="1">
      <c r="A244" s="141"/>
      <c r="B244" s="141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78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</row>
    <row r="245" ht="14.25" customHeight="1">
      <c r="A245" s="141"/>
      <c r="B245" s="141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78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</row>
    <row r="246" ht="14.25" customHeight="1">
      <c r="A246" s="141"/>
      <c r="B246" s="141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78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</row>
    <row r="247" ht="14.25" customHeight="1">
      <c r="A247" s="141"/>
      <c r="B247" s="141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78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</row>
    <row r="248" ht="15.75" customHeight="1">
      <c r="A248" s="142"/>
      <c r="B248" s="142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89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ht="15.75" customHeight="1">
      <c r="A249" s="142"/>
      <c r="B249" s="142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89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ht="15.75" customHeight="1">
      <c r="A250" s="142"/>
      <c r="B250" s="142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89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ht="15.75" customHeight="1">
      <c r="A251" s="142"/>
      <c r="B251" s="142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89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ht="15.75" customHeight="1">
      <c r="A252" s="142"/>
      <c r="B252" s="142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89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ht="15.75" customHeight="1">
      <c r="A253" s="142"/>
      <c r="B253" s="142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89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ht="15.75" customHeight="1">
      <c r="A254" s="142"/>
      <c r="B254" s="142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89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ht="15.75" customHeight="1">
      <c r="A255" s="142"/>
      <c r="B255" s="142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89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ht="15.75" customHeight="1">
      <c r="A256" s="142"/>
      <c r="B256" s="142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89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ht="15.75" customHeight="1">
      <c r="A257" s="142"/>
      <c r="B257" s="142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89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ht="15.75" customHeight="1">
      <c r="A258" s="142"/>
      <c r="B258" s="142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89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ht="15.75" customHeight="1">
      <c r="A259" s="142"/>
      <c r="B259" s="142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89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ht="15.75" customHeight="1">
      <c r="A260" s="142"/>
      <c r="B260" s="142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89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ht="15.75" customHeight="1">
      <c r="A261" s="142"/>
      <c r="B261" s="142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89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ht="15.75" customHeight="1">
      <c r="A262" s="142"/>
      <c r="B262" s="142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89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ht="15.75" customHeight="1">
      <c r="A263" s="142"/>
      <c r="B263" s="142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89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ht="15.75" customHeight="1">
      <c r="A264" s="142"/>
      <c r="B264" s="142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89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ht="15.75" customHeight="1">
      <c r="A265" s="142"/>
      <c r="B265" s="142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89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ht="15.75" customHeight="1">
      <c r="A266" s="142"/>
      <c r="B266" s="142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89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ht="15.75" customHeight="1">
      <c r="A267" s="142"/>
      <c r="B267" s="142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89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ht="15.75" customHeight="1">
      <c r="A268" s="142"/>
      <c r="B268" s="142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89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ht="15.75" customHeight="1">
      <c r="A269" s="142"/>
      <c r="B269" s="142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89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ht="15.75" customHeight="1">
      <c r="A270" s="142"/>
      <c r="B270" s="142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89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ht="15.75" customHeight="1">
      <c r="A271" s="142"/>
      <c r="B271" s="142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89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ht="15.75" customHeight="1">
      <c r="A272" s="142"/>
      <c r="B272" s="142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89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ht="15.75" customHeight="1">
      <c r="A273" s="142"/>
      <c r="B273" s="142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89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ht="15.75" customHeight="1">
      <c r="A274" s="142"/>
      <c r="B274" s="142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89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ht="15.75" customHeight="1">
      <c r="A275" s="142"/>
      <c r="B275" s="142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89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ht="15.75" customHeight="1">
      <c r="A276" s="142"/>
      <c r="B276" s="142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89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ht="15.75" customHeight="1">
      <c r="A277" s="142"/>
      <c r="B277" s="142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89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ht="15.75" customHeight="1">
      <c r="A278" s="142"/>
      <c r="B278" s="142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89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ht="15.75" customHeight="1">
      <c r="A279" s="142"/>
      <c r="B279" s="142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89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ht="15.75" customHeight="1">
      <c r="A280" s="142"/>
      <c r="B280" s="142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89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ht="15.75" customHeight="1">
      <c r="A281" s="142"/>
      <c r="B281" s="142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89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ht="15.75" customHeight="1">
      <c r="A282" s="142"/>
      <c r="B282" s="142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89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ht="15.75" customHeight="1">
      <c r="A283" s="142"/>
      <c r="B283" s="142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89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ht="15.75" customHeight="1">
      <c r="A284" s="142"/>
      <c r="B284" s="142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89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ht="15.75" customHeight="1">
      <c r="A285" s="142"/>
      <c r="B285" s="142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89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ht="15.75" customHeight="1">
      <c r="A286" s="142"/>
      <c r="B286" s="142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89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ht="15.75" customHeight="1">
      <c r="A287" s="142"/>
      <c r="B287" s="142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89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ht="15.75" customHeight="1">
      <c r="A288" s="142"/>
      <c r="B288" s="142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89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ht="15.75" customHeight="1">
      <c r="A289" s="142"/>
      <c r="B289" s="142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89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ht="15.75" customHeight="1">
      <c r="A290" s="142"/>
      <c r="B290" s="142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89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ht="15.75" customHeight="1">
      <c r="A291" s="142"/>
      <c r="B291" s="142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89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ht="15.75" customHeight="1">
      <c r="A292" s="142"/>
      <c r="B292" s="142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89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ht="15.75" customHeight="1">
      <c r="A293" s="142"/>
      <c r="B293" s="142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89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ht="15.75" customHeight="1">
      <c r="A294" s="142"/>
      <c r="B294" s="142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89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ht="15.75" customHeight="1">
      <c r="A295" s="142"/>
      <c r="B295" s="142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89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ht="15.75" customHeight="1">
      <c r="A296" s="142"/>
      <c r="B296" s="142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89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ht="15.75" customHeight="1">
      <c r="A297" s="142"/>
      <c r="B297" s="142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89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ht="15.75" customHeight="1">
      <c r="A298" s="142"/>
      <c r="B298" s="142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89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ht="15.75" customHeight="1">
      <c r="A299" s="142"/>
      <c r="B299" s="142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89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ht="15.75" customHeight="1">
      <c r="A300" s="142"/>
      <c r="B300" s="142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89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ht="15.75" customHeight="1">
      <c r="A301" s="142"/>
      <c r="B301" s="142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89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ht="15.75" customHeight="1">
      <c r="A302" s="142"/>
      <c r="B302" s="142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89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ht="15.75" customHeight="1">
      <c r="A303" s="142"/>
      <c r="B303" s="142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89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ht="15.75" customHeight="1">
      <c r="A304" s="142"/>
      <c r="B304" s="142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89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ht="15.75" customHeight="1">
      <c r="A305" s="142"/>
      <c r="B305" s="142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89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ht="15.75" customHeight="1">
      <c r="A306" s="142"/>
      <c r="B306" s="142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89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ht="15.75" customHeight="1">
      <c r="A307" s="142"/>
      <c r="B307" s="142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89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ht="15.75" customHeight="1">
      <c r="A308" s="142"/>
      <c r="B308" s="142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89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ht="15.75" customHeight="1">
      <c r="A309" s="142"/>
      <c r="B309" s="142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89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ht="15.75" customHeight="1">
      <c r="A310" s="142"/>
      <c r="B310" s="142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89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ht="15.75" customHeight="1">
      <c r="A311" s="142"/>
      <c r="B311" s="142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89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ht="15.75" customHeight="1">
      <c r="A312" s="142"/>
      <c r="B312" s="142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89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ht="15.75" customHeight="1">
      <c r="A313" s="142"/>
      <c r="B313" s="142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89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ht="15.75" customHeight="1">
      <c r="A314" s="142"/>
      <c r="B314" s="142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89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ht="15.75" customHeight="1">
      <c r="A315" s="142"/>
      <c r="B315" s="142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89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ht="15.75" customHeight="1">
      <c r="A316" s="142"/>
      <c r="B316" s="142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89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ht="15.75" customHeight="1">
      <c r="A317" s="142"/>
      <c r="B317" s="142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89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ht="15.75" customHeight="1">
      <c r="A318" s="142"/>
      <c r="B318" s="142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89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ht="15.75" customHeight="1">
      <c r="A319" s="142"/>
      <c r="B319" s="142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89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ht="15.75" customHeight="1">
      <c r="A320" s="142"/>
      <c r="B320" s="142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89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ht="15.75" customHeight="1">
      <c r="A321" s="142"/>
      <c r="B321" s="142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89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ht="15.75" customHeight="1">
      <c r="A322" s="142"/>
      <c r="B322" s="142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89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ht="15.75" customHeight="1">
      <c r="A323" s="142"/>
      <c r="B323" s="142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89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ht="15.75" customHeight="1">
      <c r="A324" s="142"/>
      <c r="B324" s="142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89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ht="15.75" customHeight="1">
      <c r="A325" s="142"/>
      <c r="B325" s="142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89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ht="15.75" customHeight="1">
      <c r="A326" s="142"/>
      <c r="B326" s="142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89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ht="15.75" customHeight="1">
      <c r="A327" s="142"/>
      <c r="B327" s="142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89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ht="15.75" customHeight="1">
      <c r="A328" s="142"/>
      <c r="B328" s="142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89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ht="15.75" customHeight="1">
      <c r="A329" s="142"/>
      <c r="B329" s="142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89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ht="15.75" customHeight="1">
      <c r="A330" s="142"/>
      <c r="B330" s="142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89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ht="15.75" customHeight="1">
      <c r="A331" s="142"/>
      <c r="B331" s="142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89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ht="15.75" customHeight="1">
      <c r="A332" s="142"/>
      <c r="B332" s="142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89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ht="15.75" customHeight="1">
      <c r="A333" s="142"/>
      <c r="B333" s="142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89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ht="15.75" customHeight="1">
      <c r="A334" s="142"/>
      <c r="B334" s="142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89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ht="15.75" customHeight="1">
      <c r="A335" s="142"/>
      <c r="B335" s="142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89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ht="15.75" customHeight="1">
      <c r="A336" s="142"/>
      <c r="B336" s="142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89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ht="15.75" customHeight="1">
      <c r="A337" s="142"/>
      <c r="B337" s="142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89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ht="15.75" customHeight="1">
      <c r="A338" s="142"/>
      <c r="B338" s="142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89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ht="15.75" customHeight="1">
      <c r="A339" s="142"/>
      <c r="B339" s="142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89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ht="15.75" customHeight="1">
      <c r="A340" s="142"/>
      <c r="B340" s="142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89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ht="15.75" customHeight="1">
      <c r="A341" s="142"/>
      <c r="B341" s="142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89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ht="15.75" customHeight="1">
      <c r="A342" s="142"/>
      <c r="B342" s="142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89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ht="15.75" customHeight="1">
      <c r="A343" s="142"/>
      <c r="B343" s="142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89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ht="15.75" customHeight="1">
      <c r="A344" s="142"/>
      <c r="B344" s="142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89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ht="15.75" customHeight="1">
      <c r="A345" s="142"/>
      <c r="B345" s="142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89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ht="15.75" customHeight="1">
      <c r="A346" s="142"/>
      <c r="B346" s="142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89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ht="15.75" customHeight="1">
      <c r="A347" s="142"/>
      <c r="B347" s="142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89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ht="15.75" customHeight="1">
      <c r="A348" s="142"/>
      <c r="B348" s="142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89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ht="15.75" customHeight="1">
      <c r="A349" s="142"/>
      <c r="B349" s="142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89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ht="15.75" customHeight="1">
      <c r="A350" s="142"/>
      <c r="B350" s="142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89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ht="15.75" customHeight="1">
      <c r="A351" s="142"/>
      <c r="B351" s="142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89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ht="15.75" customHeight="1">
      <c r="A352" s="142"/>
      <c r="B352" s="142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89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ht="15.75" customHeight="1">
      <c r="A353" s="142"/>
      <c r="B353" s="142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89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ht="15.75" customHeight="1">
      <c r="A354" s="142"/>
      <c r="B354" s="142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89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ht="15.75" customHeight="1">
      <c r="A355" s="142"/>
      <c r="B355" s="142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89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ht="15.75" customHeight="1">
      <c r="A356" s="142"/>
      <c r="B356" s="142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89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ht="15.75" customHeight="1">
      <c r="A357" s="142"/>
      <c r="B357" s="142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89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ht="15.75" customHeight="1">
      <c r="A358" s="142"/>
      <c r="B358" s="142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89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ht="15.75" customHeight="1">
      <c r="A359" s="142"/>
      <c r="B359" s="142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89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ht="15.75" customHeight="1">
      <c r="A360" s="142"/>
      <c r="B360" s="142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89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ht="15.75" customHeight="1">
      <c r="A361" s="142"/>
      <c r="B361" s="142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89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ht="15.75" customHeight="1">
      <c r="A362" s="142"/>
      <c r="B362" s="142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89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ht="15.75" customHeight="1">
      <c r="A363" s="142"/>
      <c r="B363" s="142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89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ht="15.75" customHeight="1">
      <c r="A364" s="142"/>
      <c r="B364" s="142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89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ht="15.75" customHeight="1">
      <c r="A365" s="142"/>
      <c r="B365" s="142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89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ht="15.75" customHeight="1">
      <c r="A366" s="142"/>
      <c r="B366" s="142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89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ht="15.75" customHeight="1">
      <c r="A367" s="142"/>
      <c r="B367" s="142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89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ht="15.75" customHeight="1">
      <c r="A368" s="142"/>
      <c r="B368" s="142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89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ht="15.75" customHeight="1">
      <c r="A369" s="142"/>
      <c r="B369" s="142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89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ht="15.75" customHeight="1">
      <c r="A370" s="142"/>
      <c r="B370" s="142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89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ht="15.75" customHeight="1">
      <c r="A371" s="142"/>
      <c r="B371" s="142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89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ht="15.75" customHeight="1">
      <c r="A372" s="142"/>
      <c r="B372" s="142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89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ht="15.75" customHeight="1">
      <c r="A373" s="142"/>
      <c r="B373" s="142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89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ht="15.75" customHeight="1">
      <c r="A374" s="142"/>
      <c r="B374" s="142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89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ht="15.75" customHeight="1">
      <c r="A375" s="142"/>
      <c r="B375" s="142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89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ht="15.75" customHeight="1">
      <c r="A376" s="142"/>
      <c r="B376" s="142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89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ht="15.75" customHeight="1">
      <c r="A377" s="142"/>
      <c r="B377" s="142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89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ht="15.75" customHeight="1">
      <c r="A378" s="142"/>
      <c r="B378" s="142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89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ht="15.75" customHeight="1">
      <c r="A379" s="142"/>
      <c r="B379" s="142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89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ht="15.75" customHeight="1">
      <c r="A380" s="142"/>
      <c r="B380" s="142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89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ht="15.75" customHeight="1">
      <c r="A381" s="142"/>
      <c r="B381" s="142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89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ht="15.75" customHeight="1">
      <c r="A382" s="142"/>
      <c r="B382" s="142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89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ht="15.75" customHeight="1">
      <c r="A383" s="142"/>
      <c r="B383" s="142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89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ht="15.75" customHeight="1">
      <c r="A384" s="142"/>
      <c r="B384" s="142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89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ht="15.75" customHeight="1">
      <c r="A385" s="142"/>
      <c r="B385" s="142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89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ht="15.75" customHeight="1">
      <c r="A386" s="142"/>
      <c r="B386" s="142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89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ht="15.75" customHeight="1">
      <c r="A387" s="142"/>
      <c r="B387" s="142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89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ht="15.75" customHeight="1">
      <c r="A388" s="142"/>
      <c r="B388" s="142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89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ht="15.75" customHeight="1">
      <c r="A389" s="142"/>
      <c r="B389" s="142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89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ht="15.75" customHeight="1">
      <c r="A390" s="142"/>
      <c r="B390" s="142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89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ht="15.75" customHeight="1">
      <c r="A391" s="142"/>
      <c r="B391" s="142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89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ht="15.75" customHeight="1">
      <c r="A392" s="142"/>
      <c r="B392" s="142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89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ht="15.75" customHeight="1">
      <c r="A393" s="142"/>
      <c r="B393" s="142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89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ht="15.75" customHeight="1">
      <c r="A394" s="142"/>
      <c r="B394" s="142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89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ht="15.75" customHeight="1">
      <c r="A395" s="142"/>
      <c r="B395" s="142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89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ht="15.75" customHeight="1">
      <c r="A396" s="142"/>
      <c r="B396" s="142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89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ht="15.75" customHeight="1">
      <c r="A397" s="142"/>
      <c r="B397" s="142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89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ht="15.75" customHeight="1">
      <c r="A398" s="142"/>
      <c r="B398" s="142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89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ht="15.75" customHeight="1">
      <c r="A399" s="142"/>
      <c r="B399" s="142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89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ht="15.75" customHeight="1">
      <c r="A400" s="142"/>
      <c r="B400" s="142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89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ht="15.75" customHeight="1">
      <c r="A401" s="142"/>
      <c r="B401" s="142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89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ht="15.75" customHeight="1">
      <c r="A402" s="142"/>
      <c r="B402" s="142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89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ht="15.75" customHeight="1">
      <c r="A403" s="142"/>
      <c r="B403" s="142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89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ht="15.75" customHeight="1">
      <c r="A404" s="142"/>
      <c r="B404" s="142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89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ht="15.75" customHeight="1">
      <c r="A405" s="142"/>
      <c r="B405" s="142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89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ht="15.75" customHeight="1">
      <c r="A406" s="142"/>
      <c r="B406" s="142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89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ht="15.75" customHeight="1">
      <c r="A407" s="142"/>
      <c r="B407" s="142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89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ht="15.75" customHeight="1">
      <c r="A408" s="142"/>
      <c r="B408" s="142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89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ht="15.75" customHeight="1">
      <c r="A409" s="142"/>
      <c r="B409" s="142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89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ht="15.75" customHeight="1">
      <c r="A410" s="142"/>
      <c r="B410" s="142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89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ht="15.75" customHeight="1">
      <c r="A411" s="142"/>
      <c r="B411" s="142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89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ht="15.75" customHeight="1">
      <c r="A412" s="142"/>
      <c r="B412" s="142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89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ht="15.75" customHeight="1">
      <c r="A413" s="142"/>
      <c r="B413" s="142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89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ht="15.75" customHeight="1">
      <c r="A414" s="142"/>
      <c r="B414" s="142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89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ht="15.75" customHeight="1">
      <c r="A415" s="142"/>
      <c r="B415" s="142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89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ht="15.75" customHeight="1">
      <c r="A416" s="142"/>
      <c r="B416" s="142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89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ht="15.75" customHeight="1">
      <c r="A417" s="142"/>
      <c r="B417" s="142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89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ht="15.75" customHeight="1">
      <c r="A418" s="142"/>
      <c r="B418" s="142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89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ht="15.75" customHeight="1">
      <c r="A419" s="142"/>
      <c r="B419" s="142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89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ht="15.75" customHeight="1">
      <c r="A420" s="142"/>
      <c r="B420" s="142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89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ht="15.75" customHeight="1">
      <c r="A421" s="142"/>
      <c r="B421" s="142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89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ht="15.75" customHeight="1">
      <c r="A422" s="142"/>
      <c r="B422" s="142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89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ht="15.75" customHeight="1">
      <c r="A423" s="142"/>
      <c r="B423" s="142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89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ht="15.75" customHeight="1">
      <c r="A424" s="142"/>
      <c r="B424" s="142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89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ht="15.75" customHeight="1">
      <c r="A425" s="142"/>
      <c r="B425" s="142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89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ht="15.75" customHeight="1">
      <c r="A426" s="142"/>
      <c r="B426" s="142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89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ht="15.75" customHeight="1">
      <c r="A427" s="142"/>
      <c r="B427" s="142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89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ht="15.75" customHeight="1">
      <c r="A428" s="142"/>
      <c r="B428" s="142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89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ht="15.75" customHeight="1">
      <c r="A429" s="142"/>
      <c r="B429" s="142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89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ht="15.75" customHeight="1">
      <c r="A430" s="142"/>
      <c r="B430" s="142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89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ht="15.75" customHeight="1">
      <c r="A431" s="142"/>
      <c r="B431" s="142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89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ht="15.75" customHeight="1">
      <c r="A432" s="142"/>
      <c r="B432" s="142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89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ht="15.75" customHeight="1">
      <c r="A433" s="142"/>
      <c r="B433" s="142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89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ht="15.75" customHeight="1">
      <c r="A434" s="142"/>
      <c r="B434" s="142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89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ht="15.75" customHeight="1">
      <c r="A435" s="142"/>
      <c r="B435" s="142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89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ht="15.75" customHeight="1">
      <c r="A436" s="142"/>
      <c r="B436" s="142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89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ht="15.75" customHeight="1">
      <c r="A437" s="142"/>
      <c r="B437" s="142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89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ht="15.75" customHeight="1">
      <c r="A438" s="142"/>
      <c r="B438" s="142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89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ht="15.75" customHeight="1">
      <c r="A439" s="142"/>
      <c r="B439" s="142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89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ht="15.75" customHeight="1">
      <c r="A440" s="142"/>
      <c r="B440" s="142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89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ht="15.75" customHeight="1">
      <c r="A441" s="142"/>
      <c r="B441" s="142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89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ht="15.75" customHeight="1">
      <c r="A442" s="142"/>
      <c r="B442" s="142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89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ht="15.75" customHeight="1">
      <c r="A443" s="142"/>
      <c r="B443" s="142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89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ht="15.75" customHeight="1">
      <c r="A444" s="142"/>
      <c r="B444" s="142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89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ht="15.75" customHeight="1">
      <c r="A445" s="142"/>
      <c r="B445" s="142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89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ht="15.75" customHeight="1">
      <c r="A446" s="142"/>
      <c r="B446" s="142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89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ht="15.75" customHeight="1">
      <c r="A447" s="142"/>
      <c r="B447" s="142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89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ht="15.75" customHeight="1">
      <c r="A448" s="142"/>
      <c r="B448" s="142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89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ht="15.75" customHeight="1">
      <c r="A449" s="142"/>
      <c r="B449" s="142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89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ht="15.75" customHeight="1">
      <c r="A450" s="142"/>
      <c r="B450" s="142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89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ht="15.75" customHeight="1">
      <c r="A451" s="142"/>
      <c r="B451" s="142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89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ht="15.75" customHeight="1">
      <c r="A452" s="142"/>
      <c r="B452" s="142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89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ht="15.75" customHeight="1">
      <c r="A453" s="142"/>
      <c r="B453" s="142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89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ht="15.75" customHeight="1">
      <c r="A454" s="142"/>
      <c r="B454" s="142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89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ht="15.75" customHeight="1">
      <c r="A455" s="142"/>
      <c r="B455" s="142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89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ht="15.75" customHeight="1">
      <c r="A456" s="142"/>
      <c r="B456" s="142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89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ht="15.75" customHeight="1">
      <c r="A457" s="142"/>
      <c r="B457" s="142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89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ht="15.75" customHeight="1">
      <c r="A458" s="142"/>
      <c r="B458" s="142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89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ht="15.75" customHeight="1">
      <c r="A459" s="142"/>
      <c r="B459" s="142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89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ht="15.75" customHeight="1">
      <c r="A460" s="142"/>
      <c r="B460" s="142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89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ht="15.75" customHeight="1">
      <c r="A461" s="142"/>
      <c r="B461" s="142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89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ht="15.75" customHeight="1">
      <c r="A462" s="142"/>
      <c r="B462" s="142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89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ht="15.75" customHeight="1">
      <c r="A463" s="142"/>
      <c r="B463" s="142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89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ht="15.75" customHeight="1">
      <c r="A464" s="142"/>
      <c r="B464" s="142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89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ht="15.75" customHeight="1">
      <c r="A465" s="142"/>
      <c r="B465" s="142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89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ht="15.75" customHeight="1">
      <c r="A466" s="142"/>
      <c r="B466" s="142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89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ht="15.75" customHeight="1">
      <c r="A467" s="142"/>
      <c r="B467" s="142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89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ht="15.75" customHeight="1">
      <c r="A468" s="142"/>
      <c r="B468" s="142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89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ht="15.75" customHeight="1">
      <c r="A469" s="142"/>
      <c r="B469" s="142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89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ht="15.75" customHeight="1">
      <c r="A470" s="142"/>
      <c r="B470" s="142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89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ht="15.75" customHeight="1">
      <c r="A471" s="142"/>
      <c r="B471" s="142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89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ht="15.75" customHeight="1">
      <c r="A472" s="142"/>
      <c r="B472" s="142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89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ht="15.75" customHeight="1">
      <c r="A473" s="142"/>
      <c r="B473" s="142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89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ht="15.75" customHeight="1">
      <c r="A474" s="142"/>
      <c r="B474" s="142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89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ht="15.75" customHeight="1">
      <c r="A475" s="142"/>
      <c r="B475" s="142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89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ht="15.75" customHeight="1">
      <c r="A476" s="142"/>
      <c r="B476" s="142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89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ht="15.75" customHeight="1">
      <c r="A477" s="142"/>
      <c r="B477" s="142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89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ht="15.75" customHeight="1">
      <c r="A478" s="142"/>
      <c r="B478" s="142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89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ht="15.75" customHeight="1">
      <c r="A479" s="142"/>
      <c r="B479" s="142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89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ht="15.75" customHeight="1">
      <c r="A480" s="142"/>
      <c r="B480" s="142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89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ht="15.75" customHeight="1">
      <c r="A481" s="142"/>
      <c r="B481" s="142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89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ht="15.75" customHeight="1">
      <c r="A482" s="142"/>
      <c r="B482" s="142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89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ht="15.75" customHeight="1">
      <c r="A483" s="142"/>
      <c r="B483" s="142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89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ht="15.75" customHeight="1">
      <c r="A484" s="142"/>
      <c r="B484" s="142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89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ht="15.75" customHeight="1">
      <c r="A485" s="142"/>
      <c r="B485" s="142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89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ht="15.75" customHeight="1">
      <c r="A486" s="142"/>
      <c r="B486" s="142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89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ht="15.75" customHeight="1">
      <c r="A487" s="142"/>
      <c r="B487" s="142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89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ht="15.75" customHeight="1">
      <c r="A488" s="142"/>
      <c r="B488" s="142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89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ht="15.75" customHeight="1">
      <c r="A489" s="142"/>
      <c r="B489" s="142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89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ht="15.75" customHeight="1">
      <c r="A490" s="142"/>
      <c r="B490" s="142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89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ht="15.75" customHeight="1">
      <c r="A491" s="142"/>
      <c r="B491" s="142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89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ht="15.75" customHeight="1">
      <c r="A492" s="142"/>
      <c r="B492" s="142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89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ht="15.75" customHeight="1">
      <c r="A493" s="142"/>
      <c r="B493" s="142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89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ht="15.75" customHeight="1">
      <c r="A494" s="142"/>
      <c r="B494" s="142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89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ht="15.75" customHeight="1">
      <c r="A495" s="142"/>
      <c r="B495" s="142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89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ht="15.75" customHeight="1">
      <c r="A496" s="142"/>
      <c r="B496" s="142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89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ht="15.75" customHeight="1">
      <c r="A497" s="142"/>
      <c r="B497" s="142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89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ht="15.75" customHeight="1">
      <c r="A498" s="142"/>
      <c r="B498" s="142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89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ht="15.75" customHeight="1">
      <c r="A499" s="142"/>
      <c r="B499" s="142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89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ht="15.75" customHeight="1">
      <c r="A500" s="142"/>
      <c r="B500" s="142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89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ht="15.75" customHeight="1">
      <c r="A501" s="142"/>
      <c r="B501" s="142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89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ht="15.75" customHeight="1">
      <c r="A502" s="142"/>
      <c r="B502" s="142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89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ht="15.75" customHeight="1">
      <c r="A503" s="142"/>
      <c r="B503" s="142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89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ht="15.75" customHeight="1">
      <c r="A504" s="142"/>
      <c r="B504" s="142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89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ht="15.75" customHeight="1">
      <c r="A505" s="142"/>
      <c r="B505" s="142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89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ht="15.75" customHeight="1">
      <c r="A506" s="142"/>
      <c r="B506" s="142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89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ht="15.75" customHeight="1">
      <c r="A507" s="142"/>
      <c r="B507" s="142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89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ht="15.75" customHeight="1">
      <c r="A508" s="142"/>
      <c r="B508" s="142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89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ht="15.75" customHeight="1">
      <c r="A509" s="142"/>
      <c r="B509" s="142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89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ht="15.75" customHeight="1">
      <c r="A510" s="142"/>
      <c r="B510" s="142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89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ht="15.75" customHeight="1">
      <c r="A511" s="142"/>
      <c r="B511" s="142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89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ht="15.75" customHeight="1">
      <c r="A512" s="142"/>
      <c r="B512" s="142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89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ht="15.75" customHeight="1">
      <c r="A513" s="142"/>
      <c r="B513" s="142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89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ht="15.75" customHeight="1">
      <c r="A514" s="142"/>
      <c r="B514" s="142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89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ht="15.75" customHeight="1">
      <c r="A515" s="142"/>
      <c r="B515" s="142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89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ht="15.75" customHeight="1">
      <c r="A516" s="142"/>
      <c r="B516" s="142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89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ht="15.75" customHeight="1">
      <c r="A517" s="142"/>
      <c r="B517" s="142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89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ht="15.75" customHeight="1">
      <c r="A518" s="142"/>
      <c r="B518" s="142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89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ht="15.75" customHeight="1">
      <c r="A519" s="142"/>
      <c r="B519" s="142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89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ht="15.75" customHeight="1">
      <c r="A520" s="142"/>
      <c r="B520" s="142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89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ht="15.75" customHeight="1">
      <c r="A521" s="142"/>
      <c r="B521" s="142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89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ht="15.75" customHeight="1">
      <c r="A522" s="142"/>
      <c r="B522" s="142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89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ht="15.75" customHeight="1">
      <c r="A523" s="142"/>
      <c r="B523" s="142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89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ht="15.75" customHeight="1">
      <c r="A524" s="142"/>
      <c r="B524" s="142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89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ht="15.75" customHeight="1">
      <c r="A525" s="142"/>
      <c r="B525" s="142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89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ht="15.75" customHeight="1">
      <c r="A526" s="142"/>
      <c r="B526" s="142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89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ht="15.75" customHeight="1">
      <c r="A527" s="142"/>
      <c r="B527" s="142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89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ht="15.75" customHeight="1">
      <c r="A528" s="142"/>
      <c r="B528" s="142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89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ht="15.75" customHeight="1">
      <c r="A529" s="142"/>
      <c r="B529" s="142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89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ht="15.75" customHeight="1">
      <c r="A530" s="142"/>
      <c r="B530" s="142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89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ht="15.75" customHeight="1">
      <c r="A531" s="142"/>
      <c r="B531" s="142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89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ht="15.75" customHeight="1">
      <c r="A532" s="142"/>
      <c r="B532" s="142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89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ht="15.75" customHeight="1">
      <c r="A533" s="142"/>
      <c r="B533" s="142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89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ht="15.75" customHeight="1">
      <c r="A534" s="142"/>
      <c r="B534" s="142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89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ht="15.75" customHeight="1">
      <c r="A535" s="142"/>
      <c r="B535" s="142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89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ht="15.75" customHeight="1">
      <c r="A536" s="142"/>
      <c r="B536" s="142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89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ht="15.75" customHeight="1">
      <c r="A537" s="142"/>
      <c r="B537" s="142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89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ht="15.75" customHeight="1">
      <c r="A538" s="142"/>
      <c r="B538" s="142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89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ht="15.75" customHeight="1">
      <c r="A539" s="142"/>
      <c r="B539" s="142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89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ht="15.75" customHeight="1">
      <c r="A540" s="142"/>
      <c r="B540" s="142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89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ht="15.75" customHeight="1">
      <c r="A541" s="142"/>
      <c r="B541" s="142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89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ht="15.75" customHeight="1">
      <c r="A542" s="142"/>
      <c r="B542" s="142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89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ht="15.75" customHeight="1">
      <c r="A543" s="142"/>
      <c r="B543" s="142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89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ht="15.75" customHeight="1">
      <c r="A544" s="142"/>
      <c r="B544" s="142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89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ht="15.75" customHeight="1">
      <c r="A545" s="142"/>
      <c r="B545" s="142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89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ht="15.75" customHeight="1">
      <c r="A546" s="142"/>
      <c r="B546" s="142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89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ht="15.75" customHeight="1">
      <c r="A547" s="142"/>
      <c r="B547" s="142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89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ht="15.75" customHeight="1">
      <c r="A548" s="142"/>
      <c r="B548" s="142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89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ht="15.75" customHeight="1">
      <c r="A549" s="142"/>
      <c r="B549" s="142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89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ht="15.75" customHeight="1">
      <c r="A550" s="142"/>
      <c r="B550" s="142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89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ht="15.75" customHeight="1">
      <c r="A551" s="142"/>
      <c r="B551" s="142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89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ht="15.75" customHeight="1">
      <c r="A552" s="142"/>
      <c r="B552" s="142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89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ht="15.75" customHeight="1">
      <c r="A553" s="142"/>
      <c r="B553" s="142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89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ht="15.75" customHeight="1">
      <c r="A554" s="142"/>
      <c r="B554" s="142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89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ht="15.75" customHeight="1">
      <c r="A555" s="142"/>
      <c r="B555" s="142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89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ht="15.75" customHeight="1">
      <c r="A556" s="142"/>
      <c r="B556" s="142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89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ht="15.75" customHeight="1">
      <c r="A557" s="142"/>
      <c r="B557" s="142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89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ht="15.75" customHeight="1">
      <c r="A558" s="142"/>
      <c r="B558" s="142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89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ht="15.75" customHeight="1">
      <c r="A559" s="142"/>
      <c r="B559" s="142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89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ht="15.75" customHeight="1">
      <c r="A560" s="142"/>
      <c r="B560" s="142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89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ht="15.75" customHeight="1">
      <c r="A561" s="142"/>
      <c r="B561" s="142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89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ht="15.75" customHeight="1">
      <c r="A562" s="142"/>
      <c r="B562" s="142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89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ht="15.75" customHeight="1">
      <c r="A563" s="142"/>
      <c r="B563" s="142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89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ht="15.75" customHeight="1">
      <c r="A564" s="142"/>
      <c r="B564" s="142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89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ht="15.75" customHeight="1">
      <c r="A565" s="142"/>
      <c r="B565" s="142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89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ht="15.75" customHeight="1">
      <c r="A566" s="142"/>
      <c r="B566" s="142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89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ht="15.75" customHeight="1">
      <c r="A567" s="142"/>
      <c r="B567" s="142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89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ht="15.75" customHeight="1">
      <c r="A568" s="142"/>
      <c r="B568" s="142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89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ht="15.75" customHeight="1">
      <c r="A569" s="142"/>
      <c r="B569" s="142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89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ht="15.75" customHeight="1">
      <c r="A570" s="142"/>
      <c r="B570" s="142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89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ht="15.75" customHeight="1">
      <c r="A571" s="142"/>
      <c r="B571" s="142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89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ht="15.75" customHeight="1">
      <c r="A572" s="142"/>
      <c r="B572" s="142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89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ht="15.75" customHeight="1">
      <c r="A573" s="142"/>
      <c r="B573" s="142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89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ht="15.75" customHeight="1">
      <c r="A574" s="142"/>
      <c r="B574" s="142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89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ht="15.75" customHeight="1">
      <c r="A575" s="142"/>
      <c r="B575" s="142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89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ht="15.75" customHeight="1">
      <c r="A576" s="142"/>
      <c r="B576" s="142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89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ht="15.75" customHeight="1">
      <c r="A577" s="142"/>
      <c r="B577" s="142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89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ht="15.75" customHeight="1">
      <c r="A578" s="142"/>
      <c r="B578" s="142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89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ht="15.75" customHeight="1">
      <c r="A579" s="142"/>
      <c r="B579" s="142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89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ht="15.75" customHeight="1">
      <c r="A580" s="142"/>
      <c r="B580" s="142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89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ht="15.75" customHeight="1">
      <c r="A581" s="142"/>
      <c r="B581" s="142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89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ht="15.75" customHeight="1">
      <c r="A582" s="142"/>
      <c r="B582" s="142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89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ht="15.75" customHeight="1">
      <c r="A583" s="142"/>
      <c r="B583" s="142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89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ht="15.75" customHeight="1">
      <c r="A584" s="142"/>
      <c r="B584" s="142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89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ht="15.75" customHeight="1">
      <c r="A585" s="142"/>
      <c r="B585" s="142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89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ht="15.75" customHeight="1">
      <c r="A586" s="142"/>
      <c r="B586" s="142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89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ht="15.75" customHeight="1">
      <c r="A587" s="142"/>
      <c r="B587" s="142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89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ht="15.75" customHeight="1">
      <c r="A588" s="142"/>
      <c r="B588" s="142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89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ht="15.75" customHeight="1">
      <c r="A589" s="142"/>
      <c r="B589" s="142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89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ht="15.75" customHeight="1">
      <c r="A590" s="142"/>
      <c r="B590" s="142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89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ht="15.75" customHeight="1">
      <c r="A591" s="142"/>
      <c r="B591" s="142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89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ht="15.75" customHeight="1">
      <c r="A592" s="142"/>
      <c r="B592" s="142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89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ht="15.75" customHeight="1">
      <c r="A593" s="142"/>
      <c r="B593" s="142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89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ht="15.75" customHeight="1">
      <c r="A594" s="142"/>
      <c r="B594" s="142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89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ht="15.75" customHeight="1">
      <c r="A595" s="142"/>
      <c r="B595" s="142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89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ht="15.75" customHeight="1">
      <c r="A596" s="142"/>
      <c r="B596" s="142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89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ht="15.75" customHeight="1">
      <c r="A597" s="142"/>
      <c r="B597" s="142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89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ht="15.75" customHeight="1">
      <c r="A598" s="142"/>
      <c r="B598" s="142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89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ht="15.75" customHeight="1">
      <c r="A599" s="142"/>
      <c r="B599" s="142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89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ht="15.75" customHeight="1">
      <c r="A600" s="142"/>
      <c r="B600" s="142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89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ht="15.75" customHeight="1">
      <c r="A601" s="142"/>
      <c r="B601" s="142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89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ht="15.75" customHeight="1">
      <c r="A602" s="142"/>
      <c r="B602" s="142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89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ht="15.75" customHeight="1">
      <c r="A603" s="142"/>
      <c r="B603" s="142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89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ht="15.75" customHeight="1">
      <c r="A604" s="142"/>
      <c r="B604" s="142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89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ht="15.75" customHeight="1">
      <c r="A605" s="142"/>
      <c r="B605" s="142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89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ht="15.75" customHeight="1">
      <c r="A606" s="142"/>
      <c r="B606" s="142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89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ht="15.75" customHeight="1">
      <c r="A607" s="142"/>
      <c r="B607" s="142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89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ht="15.75" customHeight="1">
      <c r="A608" s="142"/>
      <c r="B608" s="142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89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ht="15.75" customHeight="1">
      <c r="A609" s="142"/>
      <c r="B609" s="142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89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ht="15.75" customHeight="1">
      <c r="A610" s="142"/>
      <c r="B610" s="142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89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ht="15.75" customHeight="1">
      <c r="A611" s="142"/>
      <c r="B611" s="142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89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ht="15.75" customHeight="1">
      <c r="A612" s="142"/>
      <c r="B612" s="142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89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ht="15.75" customHeight="1">
      <c r="A613" s="142"/>
      <c r="B613" s="142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89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ht="15.75" customHeight="1">
      <c r="A614" s="142"/>
      <c r="B614" s="142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89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ht="15.75" customHeight="1">
      <c r="A615" s="142"/>
      <c r="B615" s="142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89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ht="15.75" customHeight="1">
      <c r="A616" s="142"/>
      <c r="B616" s="142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89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ht="15.75" customHeight="1">
      <c r="A617" s="142"/>
      <c r="B617" s="142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89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ht="15.75" customHeight="1">
      <c r="A618" s="142"/>
      <c r="B618" s="142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89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ht="15.75" customHeight="1">
      <c r="A619" s="142"/>
      <c r="B619" s="142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89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ht="15.75" customHeight="1">
      <c r="A620" s="142"/>
      <c r="B620" s="142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89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ht="15.75" customHeight="1">
      <c r="A621" s="142"/>
      <c r="B621" s="142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89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ht="15.75" customHeight="1">
      <c r="A622" s="142"/>
      <c r="B622" s="142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89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ht="15.75" customHeight="1">
      <c r="A623" s="142"/>
      <c r="B623" s="142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89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ht="15.75" customHeight="1">
      <c r="A624" s="142"/>
      <c r="B624" s="142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89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ht="15.75" customHeight="1">
      <c r="A625" s="142"/>
      <c r="B625" s="142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89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ht="15.75" customHeight="1">
      <c r="A626" s="142"/>
      <c r="B626" s="142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89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ht="15.75" customHeight="1">
      <c r="A627" s="142"/>
      <c r="B627" s="142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89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ht="15.75" customHeight="1">
      <c r="A628" s="142"/>
      <c r="B628" s="142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89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ht="15.75" customHeight="1">
      <c r="A629" s="142"/>
      <c r="B629" s="142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89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ht="15.75" customHeight="1">
      <c r="A630" s="142"/>
      <c r="B630" s="142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89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ht="15.75" customHeight="1">
      <c r="A631" s="142"/>
      <c r="B631" s="142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89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ht="15.75" customHeight="1">
      <c r="A632" s="142"/>
      <c r="B632" s="142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89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ht="15.75" customHeight="1">
      <c r="A633" s="142"/>
      <c r="B633" s="142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89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ht="15.75" customHeight="1">
      <c r="A634" s="142"/>
      <c r="B634" s="142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89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ht="15.75" customHeight="1">
      <c r="A635" s="142"/>
      <c r="B635" s="142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89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ht="15.75" customHeight="1">
      <c r="A636" s="142"/>
      <c r="B636" s="142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89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ht="15.75" customHeight="1">
      <c r="A637" s="142"/>
      <c r="B637" s="142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89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ht="15.75" customHeight="1">
      <c r="A638" s="142"/>
      <c r="B638" s="142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89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ht="15.75" customHeight="1">
      <c r="A639" s="142"/>
      <c r="B639" s="142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89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ht="15.75" customHeight="1">
      <c r="A640" s="142"/>
      <c r="B640" s="142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89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ht="15.75" customHeight="1">
      <c r="A641" s="142"/>
      <c r="B641" s="142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89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ht="15.75" customHeight="1">
      <c r="A642" s="142"/>
      <c r="B642" s="142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89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ht="15.75" customHeight="1">
      <c r="A643" s="142"/>
      <c r="B643" s="142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89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ht="15.75" customHeight="1">
      <c r="A644" s="142"/>
      <c r="B644" s="142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89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ht="15.75" customHeight="1">
      <c r="A645" s="142"/>
      <c r="B645" s="142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89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ht="15.75" customHeight="1">
      <c r="A646" s="142"/>
      <c r="B646" s="142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89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ht="15.75" customHeight="1">
      <c r="A647" s="142"/>
      <c r="B647" s="142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89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ht="15.75" customHeight="1">
      <c r="A648" s="142"/>
      <c r="B648" s="142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89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ht="15.75" customHeight="1">
      <c r="A649" s="142"/>
      <c r="B649" s="142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89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ht="15.75" customHeight="1">
      <c r="A650" s="142"/>
      <c r="B650" s="142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89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ht="15.75" customHeight="1">
      <c r="A651" s="142"/>
      <c r="B651" s="142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89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ht="15.75" customHeight="1">
      <c r="A652" s="142"/>
      <c r="B652" s="142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89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ht="15.75" customHeight="1">
      <c r="A653" s="142"/>
      <c r="B653" s="142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89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ht="15.75" customHeight="1">
      <c r="A654" s="142"/>
      <c r="B654" s="142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89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ht="15.75" customHeight="1">
      <c r="A655" s="142"/>
      <c r="B655" s="142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89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ht="15.75" customHeight="1">
      <c r="A656" s="142"/>
      <c r="B656" s="142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89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ht="15.75" customHeight="1">
      <c r="A657" s="142"/>
      <c r="B657" s="142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89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ht="15.75" customHeight="1">
      <c r="A658" s="142"/>
      <c r="B658" s="142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89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ht="15.75" customHeight="1">
      <c r="A659" s="142"/>
      <c r="B659" s="142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89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ht="15.75" customHeight="1">
      <c r="A660" s="142"/>
      <c r="B660" s="142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89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ht="15.75" customHeight="1">
      <c r="A661" s="142"/>
      <c r="B661" s="142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89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ht="15.75" customHeight="1">
      <c r="A662" s="142"/>
      <c r="B662" s="142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89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ht="15.75" customHeight="1">
      <c r="A663" s="142"/>
      <c r="B663" s="142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89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ht="15.75" customHeight="1">
      <c r="A664" s="142"/>
      <c r="B664" s="142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89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ht="15.75" customHeight="1">
      <c r="A665" s="142"/>
      <c r="B665" s="142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89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ht="15.75" customHeight="1">
      <c r="A666" s="142"/>
      <c r="B666" s="142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89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ht="15.75" customHeight="1">
      <c r="A667" s="142"/>
      <c r="B667" s="142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89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ht="15.75" customHeight="1">
      <c r="A668" s="142"/>
      <c r="B668" s="142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89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ht="15.75" customHeight="1">
      <c r="A669" s="142"/>
      <c r="B669" s="142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89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ht="15.75" customHeight="1">
      <c r="A670" s="142"/>
      <c r="B670" s="142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89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ht="15.75" customHeight="1">
      <c r="A671" s="142"/>
      <c r="B671" s="142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89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ht="15.75" customHeight="1">
      <c r="A672" s="142"/>
      <c r="B672" s="142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89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ht="15.75" customHeight="1">
      <c r="A673" s="142"/>
      <c r="B673" s="142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89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ht="15.75" customHeight="1">
      <c r="A674" s="142"/>
      <c r="B674" s="142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89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ht="15.75" customHeight="1">
      <c r="A675" s="142"/>
      <c r="B675" s="142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89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ht="15.75" customHeight="1">
      <c r="A676" s="142"/>
      <c r="B676" s="142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89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ht="15.75" customHeight="1">
      <c r="A677" s="142"/>
      <c r="B677" s="142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89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ht="15.75" customHeight="1">
      <c r="A678" s="142"/>
      <c r="B678" s="142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89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ht="15.75" customHeight="1">
      <c r="A679" s="142"/>
      <c r="B679" s="142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89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ht="15.75" customHeight="1">
      <c r="A680" s="142"/>
      <c r="B680" s="142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89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ht="15.75" customHeight="1">
      <c r="A681" s="142"/>
      <c r="B681" s="142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89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ht="15.75" customHeight="1">
      <c r="A682" s="142"/>
      <c r="B682" s="142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89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ht="15.75" customHeight="1">
      <c r="A683" s="142"/>
      <c r="B683" s="142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89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ht="15.75" customHeight="1">
      <c r="A684" s="142"/>
      <c r="B684" s="142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89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ht="15.75" customHeight="1">
      <c r="A685" s="142"/>
      <c r="B685" s="142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89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ht="15.75" customHeight="1">
      <c r="A686" s="142"/>
      <c r="B686" s="142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89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ht="15.75" customHeight="1">
      <c r="A687" s="142"/>
      <c r="B687" s="142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89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ht="15.75" customHeight="1">
      <c r="A688" s="142"/>
      <c r="B688" s="142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89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ht="15.75" customHeight="1">
      <c r="A689" s="142"/>
      <c r="B689" s="142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89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ht="15.75" customHeight="1">
      <c r="A690" s="142"/>
      <c r="B690" s="142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89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ht="15.75" customHeight="1">
      <c r="A691" s="142"/>
      <c r="B691" s="142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89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ht="15.75" customHeight="1">
      <c r="A692" s="142"/>
      <c r="B692" s="142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89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ht="15.75" customHeight="1">
      <c r="A693" s="142"/>
      <c r="B693" s="142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89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ht="15.75" customHeight="1">
      <c r="A694" s="142"/>
      <c r="B694" s="142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89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ht="15.75" customHeight="1">
      <c r="A695" s="142"/>
      <c r="B695" s="142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89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ht="15.75" customHeight="1">
      <c r="A696" s="142"/>
      <c r="B696" s="142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89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ht="15.75" customHeight="1">
      <c r="A697" s="142"/>
      <c r="B697" s="142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89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ht="15.75" customHeight="1">
      <c r="A698" s="142"/>
      <c r="B698" s="142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89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ht="15.75" customHeight="1">
      <c r="A699" s="142"/>
      <c r="B699" s="142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89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ht="15.75" customHeight="1">
      <c r="A700" s="142"/>
      <c r="B700" s="142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89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ht="15.75" customHeight="1">
      <c r="A701" s="142"/>
      <c r="B701" s="142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89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ht="15.75" customHeight="1">
      <c r="A702" s="142"/>
      <c r="B702" s="142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89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ht="15.75" customHeight="1">
      <c r="A703" s="142"/>
      <c r="B703" s="142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89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ht="15.75" customHeight="1">
      <c r="A704" s="142"/>
      <c r="B704" s="142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89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ht="15.75" customHeight="1">
      <c r="A705" s="142"/>
      <c r="B705" s="142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89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ht="15.75" customHeight="1">
      <c r="A706" s="142"/>
      <c r="B706" s="142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89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ht="15.75" customHeight="1">
      <c r="A707" s="142"/>
      <c r="B707" s="142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89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ht="15.75" customHeight="1">
      <c r="A708" s="142"/>
      <c r="B708" s="142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89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ht="15.75" customHeight="1">
      <c r="A709" s="142"/>
      <c r="B709" s="142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89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ht="15.75" customHeight="1">
      <c r="A710" s="142"/>
      <c r="B710" s="142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89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ht="15.75" customHeight="1">
      <c r="A711" s="142"/>
      <c r="B711" s="142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89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ht="15.75" customHeight="1">
      <c r="A712" s="142"/>
      <c r="B712" s="142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89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ht="15.75" customHeight="1">
      <c r="A713" s="142"/>
      <c r="B713" s="142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89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ht="15.75" customHeight="1">
      <c r="A714" s="142"/>
      <c r="B714" s="142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89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ht="15.75" customHeight="1">
      <c r="A715" s="142"/>
      <c r="B715" s="142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89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ht="15.75" customHeight="1">
      <c r="A716" s="142"/>
      <c r="B716" s="142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89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ht="15.75" customHeight="1">
      <c r="A717" s="142"/>
      <c r="B717" s="142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89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ht="15.75" customHeight="1">
      <c r="A718" s="142"/>
      <c r="B718" s="142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89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ht="15.75" customHeight="1">
      <c r="A719" s="142"/>
      <c r="B719" s="142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89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ht="15.75" customHeight="1">
      <c r="A720" s="142"/>
      <c r="B720" s="142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89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 ht="15.75" customHeight="1">
      <c r="A721" s="142"/>
      <c r="B721" s="142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89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 ht="15.75" customHeight="1">
      <c r="A722" s="142"/>
      <c r="B722" s="142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89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 ht="15.75" customHeight="1">
      <c r="A723" s="142"/>
      <c r="B723" s="142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89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 ht="15.75" customHeight="1">
      <c r="A724" s="142"/>
      <c r="B724" s="142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89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 ht="15.75" customHeight="1">
      <c r="A725" s="142"/>
      <c r="B725" s="142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89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 ht="15.75" customHeight="1">
      <c r="A726" s="142"/>
      <c r="B726" s="142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89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 ht="15.75" customHeight="1">
      <c r="A727" s="142"/>
      <c r="B727" s="142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89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 ht="15.75" customHeight="1">
      <c r="A728" s="142"/>
      <c r="B728" s="142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89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 ht="15.75" customHeight="1">
      <c r="A729" s="142"/>
      <c r="B729" s="142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89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 ht="15.75" customHeight="1">
      <c r="A730" s="142"/>
      <c r="B730" s="142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89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 ht="15.75" customHeight="1">
      <c r="A731" s="142"/>
      <c r="B731" s="142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89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 ht="15.75" customHeight="1">
      <c r="A732" s="142"/>
      <c r="B732" s="142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89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 ht="15.75" customHeight="1">
      <c r="A733" s="142"/>
      <c r="B733" s="142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89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 ht="15.75" customHeight="1">
      <c r="A734" s="142"/>
      <c r="B734" s="142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89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 ht="15.75" customHeight="1">
      <c r="A735" s="142"/>
      <c r="B735" s="142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89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 ht="15.75" customHeight="1">
      <c r="A736" s="142"/>
      <c r="B736" s="142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89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 ht="15.75" customHeight="1">
      <c r="A737" s="142"/>
      <c r="B737" s="142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89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 ht="15.75" customHeight="1">
      <c r="A738" s="142"/>
      <c r="B738" s="142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89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 ht="15.75" customHeight="1">
      <c r="A739" s="142"/>
      <c r="B739" s="142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89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 ht="15.75" customHeight="1">
      <c r="A740" s="142"/>
      <c r="B740" s="142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89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 ht="15.75" customHeight="1">
      <c r="A741" s="142"/>
      <c r="B741" s="142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89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 ht="15.75" customHeight="1">
      <c r="A742" s="142"/>
      <c r="B742" s="142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89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 ht="15.75" customHeight="1">
      <c r="A743" s="142"/>
      <c r="B743" s="142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89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 ht="15.75" customHeight="1">
      <c r="A744" s="142"/>
      <c r="B744" s="142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89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 ht="15.75" customHeight="1">
      <c r="A745" s="142"/>
      <c r="B745" s="142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89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 ht="15.75" customHeight="1">
      <c r="A746" s="142"/>
      <c r="B746" s="142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89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 ht="15.75" customHeight="1">
      <c r="A747" s="142"/>
      <c r="B747" s="142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89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 ht="15.75" customHeight="1">
      <c r="A748" s="142"/>
      <c r="B748" s="142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89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 ht="15.75" customHeight="1">
      <c r="A749" s="142"/>
      <c r="B749" s="142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89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 ht="15.75" customHeight="1">
      <c r="A750" s="142"/>
      <c r="B750" s="142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89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 ht="15.75" customHeight="1">
      <c r="A751" s="142"/>
      <c r="B751" s="142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89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 ht="15.75" customHeight="1">
      <c r="A752" s="142"/>
      <c r="B752" s="142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89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 ht="15.75" customHeight="1">
      <c r="A753" s="142"/>
      <c r="B753" s="142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89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 ht="15.75" customHeight="1">
      <c r="A754" s="142"/>
      <c r="B754" s="142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89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 ht="15.75" customHeight="1">
      <c r="A755" s="142"/>
      <c r="B755" s="142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89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 ht="15.75" customHeight="1">
      <c r="A756" s="142"/>
      <c r="B756" s="142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89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 ht="15.75" customHeight="1">
      <c r="A757" s="142"/>
      <c r="B757" s="142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89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 ht="15.75" customHeight="1">
      <c r="A758" s="142"/>
      <c r="B758" s="142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89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 ht="15.75" customHeight="1">
      <c r="A759" s="142"/>
      <c r="B759" s="142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89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 ht="15.75" customHeight="1">
      <c r="A760" s="142"/>
      <c r="B760" s="142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89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 ht="15.75" customHeight="1">
      <c r="A761" s="142"/>
      <c r="B761" s="142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89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 ht="15.75" customHeight="1">
      <c r="A762" s="142"/>
      <c r="B762" s="142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89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 ht="15.75" customHeight="1">
      <c r="A763" s="142"/>
      <c r="B763" s="142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89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 ht="15.75" customHeight="1">
      <c r="A764" s="142"/>
      <c r="B764" s="142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89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 ht="15.75" customHeight="1">
      <c r="A765" s="142"/>
      <c r="B765" s="142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89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 ht="15.75" customHeight="1">
      <c r="A766" s="142"/>
      <c r="B766" s="142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89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 ht="15.75" customHeight="1">
      <c r="A767" s="142"/>
      <c r="B767" s="142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89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 ht="15.75" customHeight="1">
      <c r="A768" s="142"/>
      <c r="B768" s="142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89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 ht="15.75" customHeight="1">
      <c r="A769" s="142"/>
      <c r="B769" s="142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89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 ht="15.75" customHeight="1">
      <c r="A770" s="142"/>
      <c r="B770" s="142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89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 ht="15.75" customHeight="1">
      <c r="A771" s="142"/>
      <c r="B771" s="142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89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 ht="15.75" customHeight="1">
      <c r="A772" s="142"/>
      <c r="B772" s="142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89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 ht="15.75" customHeight="1">
      <c r="A773" s="142"/>
      <c r="B773" s="142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89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 ht="15.75" customHeight="1">
      <c r="A774" s="142"/>
      <c r="B774" s="142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89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 ht="15.75" customHeight="1">
      <c r="A775" s="142"/>
      <c r="B775" s="142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89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 ht="15.75" customHeight="1">
      <c r="A776" s="142"/>
      <c r="B776" s="142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89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 ht="15.75" customHeight="1">
      <c r="A777" s="142"/>
      <c r="B777" s="142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89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 ht="15.75" customHeight="1">
      <c r="A778" s="142"/>
      <c r="B778" s="142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89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 ht="15.75" customHeight="1">
      <c r="A779" s="142"/>
      <c r="B779" s="142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89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 ht="15.75" customHeight="1">
      <c r="A780" s="142"/>
      <c r="B780" s="142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89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 ht="15.75" customHeight="1">
      <c r="A781" s="142"/>
      <c r="B781" s="142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89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 ht="15.75" customHeight="1">
      <c r="A782" s="142"/>
      <c r="B782" s="142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89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 ht="15.75" customHeight="1">
      <c r="A783" s="142"/>
      <c r="B783" s="142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89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 ht="15.75" customHeight="1">
      <c r="A784" s="142"/>
      <c r="B784" s="142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89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 ht="15.75" customHeight="1">
      <c r="A785" s="142"/>
      <c r="B785" s="142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89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 ht="15.75" customHeight="1">
      <c r="A786" s="142"/>
      <c r="B786" s="142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89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 ht="15.75" customHeight="1">
      <c r="A787" s="142"/>
      <c r="B787" s="142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89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 ht="15.75" customHeight="1">
      <c r="A788" s="142"/>
      <c r="B788" s="142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89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 ht="15.75" customHeight="1">
      <c r="A789" s="142"/>
      <c r="B789" s="142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89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 ht="15.75" customHeight="1">
      <c r="A790" s="142"/>
      <c r="B790" s="142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89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 ht="15.75" customHeight="1">
      <c r="A791" s="142"/>
      <c r="B791" s="142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89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 ht="15.75" customHeight="1">
      <c r="A792" s="142"/>
      <c r="B792" s="142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89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 ht="15.75" customHeight="1">
      <c r="A793" s="142"/>
      <c r="B793" s="142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89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 ht="15.75" customHeight="1">
      <c r="A794" s="142"/>
      <c r="B794" s="142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89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 ht="15.75" customHeight="1">
      <c r="A795" s="142"/>
      <c r="B795" s="142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89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 ht="15.75" customHeight="1">
      <c r="A796" s="142"/>
      <c r="B796" s="142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89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 ht="15.75" customHeight="1">
      <c r="A797" s="142"/>
      <c r="B797" s="142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89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 ht="15.75" customHeight="1">
      <c r="A798" s="142"/>
      <c r="B798" s="142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89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 ht="15.75" customHeight="1">
      <c r="A799" s="142"/>
      <c r="B799" s="142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89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 ht="15.75" customHeight="1">
      <c r="A800" s="142"/>
      <c r="B800" s="142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89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 ht="15.75" customHeight="1">
      <c r="A801" s="142"/>
      <c r="B801" s="142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89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 ht="15.75" customHeight="1">
      <c r="A802" s="142"/>
      <c r="B802" s="142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89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 ht="15.75" customHeight="1">
      <c r="A803" s="142"/>
      <c r="B803" s="142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89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 ht="15.75" customHeight="1">
      <c r="A804" s="142"/>
      <c r="B804" s="142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89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 ht="15.75" customHeight="1">
      <c r="A805" s="142"/>
      <c r="B805" s="142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89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 ht="15.75" customHeight="1">
      <c r="A806" s="142"/>
      <c r="B806" s="142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89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 ht="15.75" customHeight="1">
      <c r="A807" s="142"/>
      <c r="B807" s="142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89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 ht="15.75" customHeight="1">
      <c r="A808" s="142"/>
      <c r="B808" s="142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89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 ht="15.75" customHeight="1">
      <c r="A809" s="142"/>
      <c r="B809" s="142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89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ht="15.75" customHeight="1">
      <c r="A810" s="142"/>
      <c r="B810" s="142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89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 ht="15.75" customHeight="1">
      <c r="A811" s="142"/>
      <c r="B811" s="142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89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 ht="15.75" customHeight="1">
      <c r="A812" s="142"/>
      <c r="B812" s="142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89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 ht="15.75" customHeight="1">
      <c r="A813" s="142"/>
      <c r="B813" s="142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89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 ht="15.75" customHeight="1">
      <c r="A814" s="142"/>
      <c r="B814" s="142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89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 ht="15.75" customHeight="1">
      <c r="A815" s="142"/>
      <c r="B815" s="142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89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 ht="15.75" customHeight="1">
      <c r="A816" s="142"/>
      <c r="B816" s="142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89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 ht="15.75" customHeight="1">
      <c r="A817" s="142"/>
      <c r="B817" s="142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89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 ht="15.75" customHeight="1">
      <c r="A818" s="142"/>
      <c r="B818" s="142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89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 ht="15.75" customHeight="1">
      <c r="A819" s="142"/>
      <c r="B819" s="142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89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 ht="15.75" customHeight="1">
      <c r="A820" s="142"/>
      <c r="B820" s="142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89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 ht="15.75" customHeight="1">
      <c r="A821" s="142"/>
      <c r="B821" s="142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89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 ht="15.75" customHeight="1">
      <c r="A822" s="142"/>
      <c r="B822" s="142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89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 ht="15.75" customHeight="1">
      <c r="A823" s="142"/>
      <c r="B823" s="142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89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 ht="15.75" customHeight="1">
      <c r="A824" s="142"/>
      <c r="B824" s="142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89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 ht="15.75" customHeight="1">
      <c r="A825" s="142"/>
      <c r="B825" s="142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89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 ht="15.75" customHeight="1">
      <c r="A826" s="142"/>
      <c r="B826" s="142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89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 ht="15.75" customHeight="1">
      <c r="A827" s="142"/>
      <c r="B827" s="142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89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 ht="15.75" customHeight="1">
      <c r="A828" s="142"/>
      <c r="B828" s="142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89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 ht="15.75" customHeight="1">
      <c r="A829" s="142"/>
      <c r="B829" s="142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89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 ht="15.75" customHeight="1">
      <c r="A830" s="142"/>
      <c r="B830" s="142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89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 ht="15.75" customHeight="1">
      <c r="A831" s="142"/>
      <c r="B831" s="142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89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 ht="15.75" customHeight="1">
      <c r="A832" s="142"/>
      <c r="B832" s="142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89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 ht="15.75" customHeight="1">
      <c r="A833" s="142"/>
      <c r="B833" s="142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89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 ht="15.75" customHeight="1">
      <c r="A834" s="142"/>
      <c r="B834" s="142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89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 ht="15.75" customHeight="1">
      <c r="A835" s="142"/>
      <c r="B835" s="142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89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 ht="15.75" customHeight="1">
      <c r="A836" s="142"/>
      <c r="B836" s="142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89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 ht="15.75" customHeight="1">
      <c r="A837" s="142"/>
      <c r="B837" s="142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89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 ht="15.75" customHeight="1">
      <c r="A838" s="142"/>
      <c r="B838" s="142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89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ht="15.75" customHeight="1">
      <c r="A839" s="142"/>
      <c r="B839" s="142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89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 ht="15.75" customHeight="1">
      <c r="A840" s="142"/>
      <c r="B840" s="142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89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 ht="15.75" customHeight="1">
      <c r="A841" s="142"/>
      <c r="B841" s="142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89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 ht="15.75" customHeight="1">
      <c r="A842" s="142"/>
      <c r="B842" s="142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89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ht="15.75" customHeight="1">
      <c r="A843" s="142"/>
      <c r="B843" s="142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89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 ht="15.75" customHeight="1">
      <c r="A844" s="142"/>
      <c r="B844" s="142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89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 ht="15.75" customHeight="1">
      <c r="A845" s="142"/>
      <c r="B845" s="142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89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 ht="15.75" customHeight="1">
      <c r="A846" s="142"/>
      <c r="B846" s="142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89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 ht="15.75" customHeight="1">
      <c r="A847" s="142"/>
      <c r="B847" s="142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89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 ht="15.75" customHeight="1">
      <c r="A848" s="142"/>
      <c r="B848" s="142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89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 ht="15.75" customHeight="1">
      <c r="A849" s="142"/>
      <c r="B849" s="142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89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 ht="15.75" customHeight="1">
      <c r="A850" s="142"/>
      <c r="B850" s="142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89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 ht="15.75" customHeight="1">
      <c r="A851" s="142"/>
      <c r="B851" s="142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89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 ht="15.75" customHeight="1">
      <c r="A852" s="142"/>
      <c r="B852" s="142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89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 ht="15.75" customHeight="1">
      <c r="A853" s="142"/>
      <c r="B853" s="142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89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 ht="15.75" customHeight="1">
      <c r="A854" s="142"/>
      <c r="B854" s="142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89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 ht="15.75" customHeight="1">
      <c r="A855" s="142"/>
      <c r="B855" s="142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89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 ht="15.75" customHeight="1">
      <c r="A856" s="142"/>
      <c r="B856" s="142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89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 ht="15.75" customHeight="1">
      <c r="A857" s="142"/>
      <c r="B857" s="142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89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ht="15.75" customHeight="1">
      <c r="A858" s="142"/>
      <c r="B858" s="142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89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 ht="15.75" customHeight="1">
      <c r="A859" s="142"/>
      <c r="B859" s="142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89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 ht="15.75" customHeight="1">
      <c r="A860" s="142"/>
      <c r="B860" s="142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89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 ht="15.75" customHeight="1">
      <c r="A861" s="142"/>
      <c r="B861" s="142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89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 ht="15.75" customHeight="1">
      <c r="A862" s="142"/>
      <c r="B862" s="142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89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 ht="15.75" customHeight="1">
      <c r="A863" s="142"/>
      <c r="B863" s="142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89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 ht="15.75" customHeight="1">
      <c r="A864" s="142"/>
      <c r="B864" s="142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89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 ht="15.75" customHeight="1">
      <c r="A865" s="142"/>
      <c r="B865" s="142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89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 ht="15.75" customHeight="1">
      <c r="A866" s="142"/>
      <c r="B866" s="142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89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 ht="15.75" customHeight="1">
      <c r="A867" s="142"/>
      <c r="B867" s="142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89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 ht="15.75" customHeight="1">
      <c r="A868" s="142"/>
      <c r="B868" s="142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89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 ht="15.75" customHeight="1">
      <c r="A869" s="142"/>
      <c r="B869" s="142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89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ht="15.75" customHeight="1">
      <c r="A870" s="142"/>
      <c r="B870" s="142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89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 ht="15.75" customHeight="1">
      <c r="A871" s="142"/>
      <c r="B871" s="142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89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ht="15.75" customHeight="1">
      <c r="A872" s="142"/>
      <c r="B872" s="142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89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 ht="15.75" customHeight="1">
      <c r="A873" s="142"/>
      <c r="B873" s="142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89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 ht="15.75" customHeight="1">
      <c r="A874" s="142"/>
      <c r="B874" s="142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89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 ht="15.75" customHeight="1">
      <c r="A875" s="142"/>
      <c r="B875" s="142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89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 ht="15.75" customHeight="1">
      <c r="A876" s="142"/>
      <c r="B876" s="142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89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 ht="15.75" customHeight="1">
      <c r="A877" s="142"/>
      <c r="B877" s="142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89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 ht="15.75" customHeight="1">
      <c r="A878" s="142"/>
      <c r="B878" s="142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89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 ht="15.75" customHeight="1">
      <c r="A879" s="142"/>
      <c r="B879" s="142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89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 ht="15.75" customHeight="1">
      <c r="A880" s="142"/>
      <c r="B880" s="142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89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 ht="15.75" customHeight="1">
      <c r="A881" s="142"/>
      <c r="B881" s="142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89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 ht="15.75" customHeight="1">
      <c r="A882" s="142"/>
      <c r="B882" s="142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89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 ht="15.75" customHeight="1">
      <c r="A883" s="142"/>
      <c r="B883" s="142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89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 ht="15.75" customHeight="1">
      <c r="A884" s="142"/>
      <c r="B884" s="142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89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 ht="15.75" customHeight="1">
      <c r="A885" s="142"/>
      <c r="B885" s="142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89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 ht="15.75" customHeight="1">
      <c r="A886" s="142"/>
      <c r="B886" s="142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89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 ht="15.75" customHeight="1">
      <c r="A887" s="142"/>
      <c r="B887" s="142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89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 ht="15.75" customHeight="1">
      <c r="A888" s="142"/>
      <c r="B888" s="142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89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 ht="15.75" customHeight="1">
      <c r="A889" s="142"/>
      <c r="B889" s="142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89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 ht="15.75" customHeight="1">
      <c r="A890" s="142"/>
      <c r="B890" s="142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89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 ht="15.75" customHeight="1">
      <c r="A891" s="142"/>
      <c r="B891" s="142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89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 ht="15.75" customHeight="1">
      <c r="A892" s="142"/>
      <c r="B892" s="142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89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 ht="15.75" customHeight="1">
      <c r="A893" s="142"/>
      <c r="B893" s="142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89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 ht="15.75" customHeight="1">
      <c r="A894" s="142"/>
      <c r="B894" s="142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89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 ht="15.75" customHeight="1">
      <c r="A895" s="142"/>
      <c r="B895" s="142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89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 ht="15.75" customHeight="1">
      <c r="A896" s="142"/>
      <c r="B896" s="142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89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 ht="15.75" customHeight="1">
      <c r="A897" s="142"/>
      <c r="B897" s="142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89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 ht="15.75" customHeight="1">
      <c r="A898" s="142"/>
      <c r="B898" s="142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89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 ht="15.75" customHeight="1">
      <c r="A899" s="142"/>
      <c r="B899" s="142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89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 ht="15.75" customHeight="1">
      <c r="A900" s="142"/>
      <c r="B900" s="142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89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 ht="15.75" customHeight="1">
      <c r="A901" s="142"/>
      <c r="B901" s="142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89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 ht="15.75" customHeight="1">
      <c r="A902" s="142"/>
      <c r="B902" s="142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89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 ht="15.75" customHeight="1">
      <c r="A903" s="142"/>
      <c r="B903" s="142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89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 ht="15.75" customHeight="1">
      <c r="A904" s="142"/>
      <c r="B904" s="142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89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 ht="15.75" customHeight="1">
      <c r="A905" s="142"/>
      <c r="B905" s="142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89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 ht="15.75" customHeight="1">
      <c r="A906" s="142"/>
      <c r="B906" s="142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89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 ht="15.75" customHeight="1">
      <c r="A907" s="142"/>
      <c r="B907" s="142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89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 ht="15.75" customHeight="1">
      <c r="A908" s="142"/>
      <c r="B908" s="142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89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 ht="15.75" customHeight="1">
      <c r="A909" s="142"/>
      <c r="B909" s="142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89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 ht="15.75" customHeight="1">
      <c r="A910" s="142"/>
      <c r="B910" s="142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89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 ht="15.75" customHeight="1">
      <c r="A911" s="142"/>
      <c r="B911" s="142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89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 ht="15.75" customHeight="1">
      <c r="A912" s="142"/>
      <c r="B912" s="142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89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 ht="15.75" customHeight="1">
      <c r="A913" s="142"/>
      <c r="B913" s="142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89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 ht="15.75" customHeight="1">
      <c r="A914" s="142"/>
      <c r="B914" s="142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89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 ht="15.75" customHeight="1">
      <c r="A915" s="142"/>
      <c r="B915" s="142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89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 ht="15.75" customHeight="1">
      <c r="A916" s="142"/>
      <c r="B916" s="142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89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 ht="15.75" customHeight="1">
      <c r="A917" s="142"/>
      <c r="B917" s="142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89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 ht="15.75" customHeight="1">
      <c r="A918" s="142"/>
      <c r="B918" s="142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89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 ht="15.75" customHeight="1">
      <c r="A919" s="142"/>
      <c r="B919" s="142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89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 ht="15.75" customHeight="1">
      <c r="A920" s="142"/>
      <c r="B920" s="142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89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 ht="15.75" customHeight="1">
      <c r="A921" s="142"/>
      <c r="B921" s="142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89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 ht="15.75" customHeight="1">
      <c r="A922" s="142"/>
      <c r="B922" s="142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89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 ht="15.75" customHeight="1">
      <c r="A923" s="142"/>
      <c r="B923" s="142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89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 ht="15.75" customHeight="1">
      <c r="A924" s="142"/>
      <c r="B924" s="142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89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 ht="15.75" customHeight="1">
      <c r="A925" s="142"/>
      <c r="B925" s="142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89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 ht="15.75" customHeight="1">
      <c r="A926" s="142"/>
      <c r="B926" s="142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89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 ht="15.75" customHeight="1">
      <c r="A927" s="142"/>
      <c r="B927" s="142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89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 ht="15.75" customHeight="1">
      <c r="A928" s="142"/>
      <c r="B928" s="142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89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 ht="15.75" customHeight="1">
      <c r="A929" s="142"/>
      <c r="B929" s="142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89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 ht="15.75" customHeight="1">
      <c r="A930" s="142"/>
      <c r="B930" s="142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89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 ht="15.75" customHeight="1">
      <c r="A931" s="142"/>
      <c r="B931" s="142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89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 ht="15.75" customHeight="1">
      <c r="A932" s="142"/>
      <c r="B932" s="142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89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 ht="15.75" customHeight="1">
      <c r="A933" s="142"/>
      <c r="B933" s="142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89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 ht="15.75" customHeight="1">
      <c r="A934" s="142"/>
      <c r="B934" s="142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89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 ht="15.75" customHeight="1">
      <c r="A935" s="142"/>
      <c r="B935" s="142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89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 ht="15.75" customHeight="1">
      <c r="A936" s="142"/>
      <c r="B936" s="142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89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 ht="15.75" customHeight="1">
      <c r="A937" s="142"/>
      <c r="B937" s="142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89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 ht="15.75" customHeight="1">
      <c r="A938" s="142"/>
      <c r="B938" s="142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89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 ht="15.75" customHeight="1">
      <c r="A939" s="142"/>
      <c r="B939" s="142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89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 ht="15.75" customHeight="1">
      <c r="A940" s="142"/>
      <c r="B940" s="142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89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 ht="15.75" customHeight="1">
      <c r="A941" s="142"/>
      <c r="B941" s="142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89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 ht="15.75" customHeight="1">
      <c r="A942" s="142"/>
      <c r="B942" s="142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89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 ht="15.75" customHeight="1">
      <c r="A943" s="142"/>
      <c r="B943" s="142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89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 ht="15.75" customHeight="1">
      <c r="A944" s="142"/>
      <c r="B944" s="142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89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 ht="15.75" customHeight="1">
      <c r="A945" s="142"/>
      <c r="B945" s="142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89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 ht="15.75" customHeight="1">
      <c r="A946" s="142"/>
      <c r="B946" s="142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89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 ht="15.75" customHeight="1">
      <c r="A947" s="142"/>
      <c r="B947" s="142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89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 ht="15.75" customHeight="1">
      <c r="A948" s="142"/>
      <c r="B948" s="142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89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 ht="15.75" customHeight="1">
      <c r="A949" s="142"/>
      <c r="B949" s="142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89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 ht="15.75" customHeight="1">
      <c r="A950" s="142"/>
      <c r="B950" s="142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89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 ht="15.75" customHeight="1">
      <c r="A951" s="142"/>
      <c r="B951" s="142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89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 ht="15.75" customHeight="1">
      <c r="A952" s="142"/>
      <c r="B952" s="142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89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 ht="15.75" customHeight="1">
      <c r="A953" s="142"/>
      <c r="B953" s="142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89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 ht="15.75" customHeight="1">
      <c r="A954" s="142"/>
      <c r="B954" s="142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89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 ht="15.75" customHeight="1">
      <c r="A955" s="142"/>
      <c r="B955" s="142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89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 ht="15.75" customHeight="1">
      <c r="A956" s="142"/>
      <c r="B956" s="142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89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 ht="15.75" customHeight="1">
      <c r="A957" s="142"/>
      <c r="B957" s="142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89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 ht="15.75" customHeight="1">
      <c r="A958" s="142"/>
      <c r="B958" s="142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89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 ht="15.75" customHeight="1">
      <c r="A959" s="142"/>
      <c r="B959" s="142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89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 ht="15.75" customHeight="1">
      <c r="A960" s="142"/>
      <c r="B960" s="142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89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 ht="15.75" customHeight="1">
      <c r="A961" s="142"/>
      <c r="B961" s="142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89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 ht="15.75" customHeight="1">
      <c r="A962" s="142"/>
      <c r="B962" s="142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89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 ht="15.75" customHeight="1">
      <c r="A963" s="142"/>
      <c r="B963" s="142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89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 ht="15.75" customHeight="1">
      <c r="A964" s="142"/>
      <c r="B964" s="142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89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 ht="15.75" customHeight="1">
      <c r="A965" s="142"/>
      <c r="B965" s="142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89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 ht="15.75" customHeight="1">
      <c r="A966" s="142"/>
      <c r="B966" s="142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89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 ht="15.75" customHeight="1">
      <c r="A967" s="142"/>
      <c r="B967" s="142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89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 ht="15.75" customHeight="1">
      <c r="A968" s="142"/>
      <c r="B968" s="142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89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 ht="15.75" customHeight="1">
      <c r="A969" s="142"/>
      <c r="B969" s="142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89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 ht="15.75" customHeight="1">
      <c r="A970" s="142"/>
      <c r="B970" s="142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89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 ht="15.75" customHeight="1">
      <c r="A971" s="142"/>
      <c r="B971" s="142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89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 ht="15.75" customHeight="1">
      <c r="A972" s="142"/>
      <c r="B972" s="142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89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 ht="15.75" customHeight="1">
      <c r="A973" s="142"/>
      <c r="B973" s="142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89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 ht="15.75" customHeight="1">
      <c r="A974" s="142"/>
      <c r="B974" s="142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89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 ht="15.75" customHeight="1">
      <c r="A975" s="142"/>
      <c r="B975" s="142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89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 ht="15.75" customHeight="1">
      <c r="A976" s="142"/>
      <c r="B976" s="142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89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 ht="15.75" customHeight="1">
      <c r="A977" s="142"/>
      <c r="B977" s="142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89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 ht="15.75" customHeight="1">
      <c r="A978" s="142"/>
      <c r="B978" s="142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89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 ht="15.75" customHeight="1">
      <c r="A979" s="142"/>
      <c r="B979" s="142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89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 ht="15.75" customHeight="1">
      <c r="A980" s="142"/>
      <c r="B980" s="142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89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 ht="15.75" customHeight="1">
      <c r="A981" s="142"/>
      <c r="B981" s="142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89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 ht="15.75" customHeight="1">
      <c r="A982" s="142"/>
      <c r="B982" s="142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89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 ht="15.75" customHeight="1">
      <c r="A983" s="142"/>
      <c r="B983" s="142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89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 ht="15.75" customHeight="1">
      <c r="A984" s="142"/>
      <c r="B984" s="142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89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 ht="15.75" customHeight="1">
      <c r="A985" s="142"/>
      <c r="B985" s="142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89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 ht="15.75" customHeight="1">
      <c r="A986" s="142"/>
      <c r="B986" s="142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89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 ht="15.75" customHeight="1">
      <c r="A987" s="142"/>
      <c r="B987" s="142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89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 ht="15.75" customHeight="1">
      <c r="A988" s="142"/>
      <c r="B988" s="142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89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 ht="15.75" customHeight="1">
      <c r="A989" s="142"/>
      <c r="B989" s="142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89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 ht="15.75" customHeight="1">
      <c r="A990" s="142"/>
      <c r="B990" s="142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89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 ht="15.75" customHeight="1">
      <c r="A991" s="142"/>
      <c r="B991" s="142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89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 ht="15.75" customHeight="1">
      <c r="A992" s="142"/>
      <c r="B992" s="142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89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 ht="15.75" customHeight="1">
      <c r="A993" s="142"/>
      <c r="B993" s="142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89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 ht="15.75" customHeight="1">
      <c r="A994" s="142"/>
      <c r="B994" s="142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89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 ht="15.75" customHeight="1">
      <c r="A995" s="142"/>
      <c r="B995" s="142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89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 ht="15.75" customHeight="1">
      <c r="A996" s="142"/>
      <c r="B996" s="142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89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 ht="15.75" customHeight="1">
      <c r="A997" s="142"/>
      <c r="B997" s="142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89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 ht="15.75" customHeight="1">
      <c r="A998" s="142"/>
      <c r="B998" s="142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89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 ht="15.75" customHeight="1">
      <c r="A999" s="142"/>
      <c r="B999" s="142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89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 ht="15.75" customHeight="1">
      <c r="A1000" s="142"/>
      <c r="B1000" s="142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89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.86"/>
    <col customWidth="1" min="2" max="2" width="5.86"/>
    <col customWidth="1" min="3" max="3" width="14.57"/>
    <col customWidth="1" min="4" max="4" width="17.57"/>
    <col customWidth="1" min="5" max="5" width="16.86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1" width="8.29"/>
    <col customWidth="1" min="12" max="12" width="9.43"/>
    <col customWidth="1" min="13" max="13" width="11.86"/>
    <col customWidth="1" min="14" max="14" width="24.0"/>
    <col customWidth="1" min="15" max="15" width="6.71"/>
    <col customWidth="1" min="16" max="16" width="7.71"/>
    <col customWidth="1" min="17" max="17" width="8.0"/>
    <col customWidth="1" min="18" max="28" width="8.71"/>
  </cols>
  <sheetData>
    <row r="1" ht="30.75" customHeight="1">
      <c r="A1" s="132" t="s">
        <v>0</v>
      </c>
      <c r="B1" s="132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1" t="s">
        <v>17</v>
      </c>
      <c r="S1" s="52" t="s">
        <v>18</v>
      </c>
      <c r="T1" s="52" t="s">
        <v>19</v>
      </c>
      <c r="U1" s="52" t="s">
        <v>20</v>
      </c>
      <c r="V1" s="53" t="s">
        <v>21</v>
      </c>
      <c r="W1" s="53" t="s">
        <v>22</v>
      </c>
      <c r="X1" s="54"/>
      <c r="Y1" s="54"/>
      <c r="Z1" s="54"/>
      <c r="AA1" s="54"/>
      <c r="AB1" s="54"/>
    </row>
    <row r="2" ht="14.25" customHeight="1">
      <c r="A2" s="133">
        <v>1.0</v>
      </c>
      <c r="B2" s="133" t="s">
        <v>23</v>
      </c>
      <c r="C2" s="56" t="s">
        <v>24</v>
      </c>
      <c r="D2" s="135"/>
      <c r="E2" s="135"/>
      <c r="F2" s="135"/>
      <c r="G2" s="135"/>
      <c r="H2" s="135"/>
      <c r="I2" s="56">
        <f t="shared" ref="I2:I31" si="1">max(0,K2-G2)</f>
        <v>0</v>
      </c>
      <c r="J2" s="135"/>
      <c r="K2" s="135"/>
      <c r="L2" s="56">
        <f t="shared" ref="L2:L31" si="2">J2+H2</f>
        <v>0</v>
      </c>
      <c r="M2" s="56">
        <f t="shared" ref="M2:M31" si="3">G2+H2+I2+J2</f>
        <v>0</v>
      </c>
      <c r="N2" s="136"/>
      <c r="O2" s="56">
        <v>11.31</v>
      </c>
      <c r="P2" s="56">
        <v>13.482</v>
      </c>
      <c r="Q2" s="56">
        <f t="shared" ref="Q2:Q31" si="4">(O2*D2)+(P2*E2)</f>
        <v>0</v>
      </c>
      <c r="R2" s="64"/>
      <c r="S2" s="60"/>
      <c r="T2" s="60"/>
      <c r="U2" s="60"/>
      <c r="V2" s="62">
        <f t="shared" ref="V2:V31" si="5">S2-R2</f>
        <v>0</v>
      </c>
      <c r="W2" s="62">
        <f t="shared" ref="W2:W31" si="6">U2-T2</f>
        <v>0</v>
      </c>
      <c r="X2" s="63"/>
      <c r="Y2" s="63"/>
      <c r="Z2" s="63"/>
      <c r="AA2" s="63"/>
      <c r="AB2" s="63"/>
    </row>
    <row r="3" ht="14.25" customHeight="1">
      <c r="A3" s="133">
        <v>2.0</v>
      </c>
      <c r="B3" s="133" t="s">
        <v>23</v>
      </c>
      <c r="C3" s="56" t="s">
        <v>25</v>
      </c>
      <c r="D3" s="135"/>
      <c r="E3" s="135"/>
      <c r="F3" s="135"/>
      <c r="G3" s="135"/>
      <c r="H3" s="135"/>
      <c r="I3" s="56">
        <f t="shared" si="1"/>
        <v>0</v>
      </c>
      <c r="J3" s="135"/>
      <c r="K3" s="135"/>
      <c r="L3" s="56">
        <f t="shared" si="2"/>
        <v>0</v>
      </c>
      <c r="M3" s="56">
        <f t="shared" si="3"/>
        <v>0</v>
      </c>
      <c r="N3" s="136"/>
      <c r="O3" s="56">
        <v>11.31</v>
      </c>
      <c r="P3" s="56">
        <v>13.482</v>
      </c>
      <c r="Q3" s="56">
        <f t="shared" si="4"/>
        <v>0</v>
      </c>
      <c r="R3" s="64"/>
      <c r="S3" s="60"/>
      <c r="T3" s="60"/>
      <c r="U3" s="60"/>
      <c r="V3" s="62">
        <f t="shared" si="5"/>
        <v>0</v>
      </c>
      <c r="W3" s="62">
        <f t="shared" si="6"/>
        <v>0</v>
      </c>
      <c r="X3" s="63"/>
      <c r="Y3" s="63"/>
      <c r="Z3" s="63"/>
      <c r="AA3" s="63"/>
      <c r="AB3" s="63"/>
    </row>
    <row r="4" ht="14.25" customHeight="1">
      <c r="A4" s="133">
        <v>3.0</v>
      </c>
      <c r="B4" s="133" t="s">
        <v>23</v>
      </c>
      <c r="C4" s="56" t="s">
        <v>26</v>
      </c>
      <c r="D4" s="135"/>
      <c r="E4" s="135"/>
      <c r="F4" s="135"/>
      <c r="G4" s="135"/>
      <c r="H4" s="135"/>
      <c r="I4" s="56">
        <f t="shared" si="1"/>
        <v>0</v>
      </c>
      <c r="J4" s="135"/>
      <c r="K4" s="135"/>
      <c r="L4" s="56">
        <f t="shared" si="2"/>
        <v>0</v>
      </c>
      <c r="M4" s="56">
        <f t="shared" si="3"/>
        <v>0</v>
      </c>
      <c r="N4" s="136"/>
      <c r="O4" s="56">
        <v>11.31</v>
      </c>
      <c r="P4" s="56">
        <v>13.482</v>
      </c>
      <c r="Q4" s="56">
        <f t="shared" si="4"/>
        <v>0</v>
      </c>
      <c r="R4" s="64"/>
      <c r="S4" s="64"/>
      <c r="T4" s="64"/>
      <c r="U4" s="60"/>
      <c r="V4" s="62">
        <f t="shared" si="5"/>
        <v>0</v>
      </c>
      <c r="W4" s="62">
        <f t="shared" si="6"/>
        <v>0</v>
      </c>
      <c r="X4" s="63"/>
      <c r="Y4" s="63"/>
      <c r="Z4" s="63"/>
      <c r="AA4" s="63"/>
      <c r="AB4" s="63"/>
    </row>
    <row r="5" ht="14.25" customHeight="1">
      <c r="A5" s="133">
        <v>4.0</v>
      </c>
      <c r="B5" s="133" t="s">
        <v>23</v>
      </c>
      <c r="C5" s="56" t="s">
        <v>27</v>
      </c>
      <c r="D5" s="135"/>
      <c r="E5" s="135"/>
      <c r="F5" s="135"/>
      <c r="G5" s="135"/>
      <c r="H5" s="135"/>
      <c r="I5" s="56">
        <f t="shared" si="1"/>
        <v>0</v>
      </c>
      <c r="J5" s="135"/>
      <c r="K5" s="135"/>
      <c r="L5" s="56">
        <f t="shared" si="2"/>
        <v>0</v>
      </c>
      <c r="M5" s="56">
        <f t="shared" si="3"/>
        <v>0</v>
      </c>
      <c r="N5" s="136"/>
      <c r="O5" s="56">
        <v>11.31</v>
      </c>
      <c r="P5" s="56">
        <v>13.482</v>
      </c>
      <c r="Q5" s="56">
        <f t="shared" si="4"/>
        <v>0</v>
      </c>
      <c r="R5" s="64"/>
      <c r="S5" s="64"/>
      <c r="T5" s="64"/>
      <c r="U5" s="60"/>
      <c r="V5" s="62">
        <f t="shared" si="5"/>
        <v>0</v>
      </c>
      <c r="W5" s="62">
        <f t="shared" si="6"/>
        <v>0</v>
      </c>
      <c r="X5" s="63"/>
      <c r="Y5" s="63"/>
      <c r="Z5" s="63"/>
      <c r="AA5" s="63"/>
      <c r="AB5" s="63"/>
    </row>
    <row r="6" ht="14.25" customHeight="1">
      <c r="A6" s="133">
        <v>5.0</v>
      </c>
      <c r="B6" s="133" t="s">
        <v>23</v>
      </c>
      <c r="C6" s="56" t="s">
        <v>28</v>
      </c>
      <c r="D6" s="135"/>
      <c r="E6" s="135"/>
      <c r="F6" s="135"/>
      <c r="G6" s="135"/>
      <c r="H6" s="135"/>
      <c r="I6" s="56">
        <f t="shared" si="1"/>
        <v>0</v>
      </c>
      <c r="J6" s="135"/>
      <c r="K6" s="135"/>
      <c r="L6" s="56">
        <f t="shared" si="2"/>
        <v>0</v>
      </c>
      <c r="M6" s="56">
        <f t="shared" si="3"/>
        <v>0</v>
      </c>
      <c r="N6" s="136"/>
      <c r="O6" s="56">
        <v>11.31</v>
      </c>
      <c r="P6" s="56">
        <v>13.482</v>
      </c>
      <c r="Q6" s="56">
        <f t="shared" si="4"/>
        <v>0</v>
      </c>
      <c r="R6" s="64"/>
      <c r="S6" s="64"/>
      <c r="T6" s="64"/>
      <c r="U6" s="60"/>
      <c r="V6" s="62">
        <f t="shared" si="5"/>
        <v>0</v>
      </c>
      <c r="W6" s="62">
        <f t="shared" si="6"/>
        <v>0</v>
      </c>
      <c r="X6" s="63"/>
      <c r="Y6" s="63"/>
      <c r="Z6" s="63"/>
      <c r="AA6" s="63"/>
      <c r="AB6" s="63"/>
    </row>
    <row r="7" ht="14.25" customHeight="1">
      <c r="A7" s="133">
        <v>6.0</v>
      </c>
      <c r="B7" s="133" t="s">
        <v>23</v>
      </c>
      <c r="C7" s="56" t="s">
        <v>29</v>
      </c>
      <c r="D7" s="135"/>
      <c r="E7" s="135"/>
      <c r="F7" s="135"/>
      <c r="G7" s="135"/>
      <c r="H7" s="135"/>
      <c r="I7" s="56">
        <f t="shared" si="1"/>
        <v>0</v>
      </c>
      <c r="J7" s="135"/>
      <c r="K7" s="135"/>
      <c r="L7" s="56">
        <f t="shared" si="2"/>
        <v>0</v>
      </c>
      <c r="M7" s="56">
        <f t="shared" si="3"/>
        <v>0</v>
      </c>
      <c r="N7" s="136"/>
      <c r="O7" s="56">
        <v>11.31</v>
      </c>
      <c r="P7" s="56">
        <v>13.482</v>
      </c>
      <c r="Q7" s="56">
        <f t="shared" si="4"/>
        <v>0</v>
      </c>
      <c r="R7" s="64"/>
      <c r="S7" s="64"/>
      <c r="T7" s="64"/>
      <c r="U7" s="60"/>
      <c r="V7" s="62">
        <f t="shared" si="5"/>
        <v>0</v>
      </c>
      <c r="W7" s="62">
        <f t="shared" si="6"/>
        <v>0</v>
      </c>
      <c r="X7" s="63"/>
      <c r="Y7" s="63"/>
      <c r="Z7" s="63"/>
      <c r="AA7" s="63"/>
      <c r="AB7" s="63"/>
    </row>
    <row r="8" ht="14.25" customHeight="1">
      <c r="A8" s="133">
        <v>7.0</v>
      </c>
      <c r="B8" s="133" t="s">
        <v>23</v>
      </c>
      <c r="C8" s="56" t="s">
        <v>30</v>
      </c>
      <c r="D8" s="135"/>
      <c r="E8" s="135"/>
      <c r="F8" s="135"/>
      <c r="G8" s="135"/>
      <c r="H8" s="135"/>
      <c r="I8" s="56">
        <f t="shared" si="1"/>
        <v>0</v>
      </c>
      <c r="J8" s="135"/>
      <c r="K8" s="135"/>
      <c r="L8" s="56">
        <f t="shared" si="2"/>
        <v>0</v>
      </c>
      <c r="M8" s="56">
        <f t="shared" si="3"/>
        <v>0</v>
      </c>
      <c r="N8" s="136"/>
      <c r="O8" s="56">
        <v>11.31</v>
      </c>
      <c r="P8" s="56">
        <v>13.482</v>
      </c>
      <c r="Q8" s="56">
        <f t="shared" si="4"/>
        <v>0</v>
      </c>
      <c r="R8" s="64"/>
      <c r="S8" s="64"/>
      <c r="T8" s="64"/>
      <c r="U8" s="60"/>
      <c r="V8" s="62">
        <f t="shared" si="5"/>
        <v>0</v>
      </c>
      <c r="W8" s="62">
        <f t="shared" si="6"/>
        <v>0</v>
      </c>
      <c r="X8" s="63"/>
      <c r="Y8" s="63"/>
      <c r="Z8" s="63"/>
      <c r="AA8" s="63"/>
      <c r="AB8" s="63"/>
    </row>
    <row r="9" ht="14.25" customHeight="1">
      <c r="A9" s="133">
        <v>8.0</v>
      </c>
      <c r="B9" s="133" t="s">
        <v>23</v>
      </c>
      <c r="C9" s="56" t="s">
        <v>31</v>
      </c>
      <c r="D9" s="135"/>
      <c r="E9" s="135"/>
      <c r="F9" s="135"/>
      <c r="G9" s="135"/>
      <c r="H9" s="135"/>
      <c r="I9" s="56">
        <f t="shared" si="1"/>
        <v>0</v>
      </c>
      <c r="J9" s="135"/>
      <c r="K9" s="135"/>
      <c r="L9" s="56">
        <f t="shared" si="2"/>
        <v>0</v>
      </c>
      <c r="M9" s="56">
        <f t="shared" si="3"/>
        <v>0</v>
      </c>
      <c r="N9" s="136"/>
      <c r="O9" s="56">
        <v>11.31</v>
      </c>
      <c r="P9" s="56">
        <v>13.482</v>
      </c>
      <c r="Q9" s="56">
        <f t="shared" si="4"/>
        <v>0</v>
      </c>
      <c r="R9" s="64"/>
      <c r="S9" s="64"/>
      <c r="T9" s="64"/>
      <c r="U9" s="60"/>
      <c r="V9" s="62">
        <f t="shared" si="5"/>
        <v>0</v>
      </c>
      <c r="W9" s="62">
        <f t="shared" si="6"/>
        <v>0</v>
      </c>
      <c r="X9" s="63"/>
      <c r="Y9" s="63"/>
      <c r="Z9" s="63"/>
      <c r="AA9" s="63"/>
      <c r="AB9" s="63"/>
    </row>
    <row r="10" ht="14.25" customHeight="1">
      <c r="A10" s="133">
        <v>9.0</v>
      </c>
      <c r="B10" s="133" t="s">
        <v>23</v>
      </c>
      <c r="C10" s="56" t="s">
        <v>32</v>
      </c>
      <c r="D10" s="135"/>
      <c r="E10" s="135"/>
      <c r="F10" s="135"/>
      <c r="G10" s="135"/>
      <c r="H10" s="135"/>
      <c r="I10" s="56">
        <f t="shared" si="1"/>
        <v>0</v>
      </c>
      <c r="J10" s="135"/>
      <c r="K10" s="135"/>
      <c r="L10" s="56">
        <f t="shared" si="2"/>
        <v>0</v>
      </c>
      <c r="M10" s="56">
        <f t="shared" si="3"/>
        <v>0</v>
      </c>
      <c r="N10" s="136"/>
      <c r="O10" s="56">
        <v>11.31</v>
      </c>
      <c r="P10" s="56">
        <v>13.482</v>
      </c>
      <c r="Q10" s="56">
        <f t="shared" si="4"/>
        <v>0</v>
      </c>
      <c r="R10" s="64"/>
      <c r="S10" s="64"/>
      <c r="T10" s="64"/>
      <c r="U10" s="60"/>
      <c r="V10" s="62">
        <f t="shared" si="5"/>
        <v>0</v>
      </c>
      <c r="W10" s="62">
        <f t="shared" si="6"/>
        <v>0</v>
      </c>
      <c r="X10" s="63"/>
      <c r="Y10" s="63"/>
      <c r="Z10" s="63"/>
      <c r="AA10" s="63"/>
      <c r="AB10" s="63"/>
    </row>
    <row r="11" ht="14.25" customHeight="1">
      <c r="A11" s="133">
        <v>10.0</v>
      </c>
      <c r="B11" s="133" t="s">
        <v>23</v>
      </c>
      <c r="C11" s="56" t="s">
        <v>33</v>
      </c>
      <c r="D11" s="135"/>
      <c r="E11" s="135"/>
      <c r="F11" s="135"/>
      <c r="G11" s="135"/>
      <c r="H11" s="135"/>
      <c r="I11" s="56">
        <f t="shared" si="1"/>
        <v>0</v>
      </c>
      <c r="J11" s="135"/>
      <c r="K11" s="135"/>
      <c r="L11" s="56">
        <f t="shared" si="2"/>
        <v>0</v>
      </c>
      <c r="M11" s="56">
        <f t="shared" si="3"/>
        <v>0</v>
      </c>
      <c r="N11" s="136"/>
      <c r="O11" s="56">
        <v>11.31</v>
      </c>
      <c r="P11" s="56">
        <v>13.482</v>
      </c>
      <c r="Q11" s="56">
        <f t="shared" si="4"/>
        <v>0</v>
      </c>
      <c r="R11" s="64"/>
      <c r="S11" s="64"/>
      <c r="T11" s="64"/>
      <c r="U11" s="60"/>
      <c r="V11" s="62">
        <f t="shared" si="5"/>
        <v>0</v>
      </c>
      <c r="W11" s="62">
        <f t="shared" si="6"/>
        <v>0</v>
      </c>
      <c r="X11" s="63"/>
      <c r="Y11" s="63"/>
      <c r="Z11" s="63"/>
      <c r="AA11" s="63"/>
      <c r="AB11" s="63"/>
    </row>
    <row r="12" ht="14.25" customHeight="1">
      <c r="A12" s="133">
        <v>11.0</v>
      </c>
      <c r="B12" s="133" t="s">
        <v>23</v>
      </c>
      <c r="C12" s="56" t="s">
        <v>34</v>
      </c>
      <c r="D12" s="135"/>
      <c r="E12" s="135"/>
      <c r="F12" s="135"/>
      <c r="G12" s="135"/>
      <c r="H12" s="135"/>
      <c r="I12" s="56">
        <f t="shared" si="1"/>
        <v>0</v>
      </c>
      <c r="J12" s="135"/>
      <c r="K12" s="135"/>
      <c r="L12" s="56">
        <f t="shared" si="2"/>
        <v>0</v>
      </c>
      <c r="M12" s="56">
        <f t="shared" si="3"/>
        <v>0</v>
      </c>
      <c r="N12" s="136"/>
      <c r="O12" s="56">
        <v>11.31</v>
      </c>
      <c r="P12" s="56">
        <v>13.482</v>
      </c>
      <c r="Q12" s="56">
        <f t="shared" si="4"/>
        <v>0</v>
      </c>
      <c r="R12" s="64"/>
      <c r="S12" s="64"/>
      <c r="T12" s="64"/>
      <c r="U12" s="60"/>
      <c r="V12" s="62">
        <f t="shared" si="5"/>
        <v>0</v>
      </c>
      <c r="W12" s="62">
        <f t="shared" si="6"/>
        <v>0</v>
      </c>
      <c r="X12" s="63"/>
      <c r="Y12" s="63"/>
      <c r="Z12" s="63"/>
      <c r="AA12" s="63"/>
      <c r="AB12" s="63"/>
    </row>
    <row r="13" ht="14.25" customHeight="1">
      <c r="A13" s="133">
        <v>12.0</v>
      </c>
      <c r="B13" s="133" t="s">
        <v>23</v>
      </c>
      <c r="C13" s="56" t="s">
        <v>35</v>
      </c>
      <c r="D13" s="135"/>
      <c r="E13" s="135"/>
      <c r="F13" s="135"/>
      <c r="G13" s="135"/>
      <c r="H13" s="135"/>
      <c r="I13" s="56">
        <f t="shared" si="1"/>
        <v>0</v>
      </c>
      <c r="J13" s="135"/>
      <c r="K13" s="135"/>
      <c r="L13" s="56">
        <f t="shared" si="2"/>
        <v>0</v>
      </c>
      <c r="M13" s="56">
        <f t="shared" si="3"/>
        <v>0</v>
      </c>
      <c r="N13" s="136"/>
      <c r="O13" s="56">
        <v>11.31</v>
      </c>
      <c r="P13" s="56">
        <v>13.482</v>
      </c>
      <c r="Q13" s="56">
        <f t="shared" si="4"/>
        <v>0</v>
      </c>
      <c r="R13" s="64"/>
      <c r="S13" s="64"/>
      <c r="T13" s="64"/>
      <c r="U13" s="60"/>
      <c r="V13" s="62">
        <f t="shared" si="5"/>
        <v>0</v>
      </c>
      <c r="W13" s="62">
        <f t="shared" si="6"/>
        <v>0</v>
      </c>
      <c r="X13" s="63"/>
      <c r="Y13" s="63"/>
      <c r="Z13" s="63"/>
      <c r="AA13" s="63"/>
      <c r="AB13" s="63"/>
    </row>
    <row r="14" ht="14.25" customHeight="1">
      <c r="A14" s="133">
        <v>13.0</v>
      </c>
      <c r="B14" s="133" t="s">
        <v>23</v>
      </c>
      <c r="C14" s="56" t="s">
        <v>36</v>
      </c>
      <c r="D14" s="135"/>
      <c r="E14" s="135"/>
      <c r="F14" s="135"/>
      <c r="G14" s="135"/>
      <c r="H14" s="135"/>
      <c r="I14" s="56">
        <f t="shared" si="1"/>
        <v>0</v>
      </c>
      <c r="J14" s="135"/>
      <c r="K14" s="135"/>
      <c r="L14" s="56">
        <f t="shared" si="2"/>
        <v>0</v>
      </c>
      <c r="M14" s="56">
        <f t="shared" si="3"/>
        <v>0</v>
      </c>
      <c r="N14" s="136"/>
      <c r="O14" s="56">
        <v>11.31</v>
      </c>
      <c r="P14" s="56">
        <v>13.482</v>
      </c>
      <c r="Q14" s="56">
        <f t="shared" si="4"/>
        <v>0</v>
      </c>
      <c r="R14" s="64"/>
      <c r="S14" s="64"/>
      <c r="T14" s="64"/>
      <c r="U14" s="60"/>
      <c r="V14" s="62">
        <f t="shared" si="5"/>
        <v>0</v>
      </c>
      <c r="W14" s="62">
        <f t="shared" si="6"/>
        <v>0</v>
      </c>
      <c r="X14" s="63"/>
      <c r="Y14" s="63"/>
      <c r="Z14" s="63"/>
      <c r="AA14" s="63"/>
      <c r="AB14" s="63"/>
    </row>
    <row r="15" ht="14.25" customHeight="1">
      <c r="A15" s="133">
        <v>14.0</v>
      </c>
      <c r="B15" s="133" t="s">
        <v>23</v>
      </c>
      <c r="C15" s="56" t="s">
        <v>37</v>
      </c>
      <c r="D15" s="135"/>
      <c r="E15" s="135"/>
      <c r="F15" s="135"/>
      <c r="G15" s="135"/>
      <c r="H15" s="135"/>
      <c r="I15" s="56">
        <f t="shared" si="1"/>
        <v>0</v>
      </c>
      <c r="J15" s="135"/>
      <c r="K15" s="135"/>
      <c r="L15" s="56">
        <f t="shared" si="2"/>
        <v>0</v>
      </c>
      <c r="M15" s="56">
        <f t="shared" si="3"/>
        <v>0</v>
      </c>
      <c r="N15" s="136"/>
      <c r="O15" s="56">
        <v>11.31</v>
      </c>
      <c r="P15" s="56">
        <v>13.482</v>
      </c>
      <c r="Q15" s="56">
        <f t="shared" si="4"/>
        <v>0</v>
      </c>
      <c r="R15" s="64"/>
      <c r="S15" s="64"/>
      <c r="T15" s="64"/>
      <c r="U15" s="60"/>
      <c r="V15" s="62">
        <f t="shared" si="5"/>
        <v>0</v>
      </c>
      <c r="W15" s="62">
        <f t="shared" si="6"/>
        <v>0</v>
      </c>
      <c r="X15" s="63"/>
      <c r="Y15" s="63"/>
      <c r="Z15" s="63"/>
      <c r="AA15" s="63"/>
      <c r="AB15" s="63"/>
    </row>
    <row r="16" ht="14.25" customHeight="1">
      <c r="A16" s="133">
        <v>15.0</v>
      </c>
      <c r="B16" s="133" t="s">
        <v>23</v>
      </c>
      <c r="C16" s="56" t="s">
        <v>38</v>
      </c>
      <c r="D16" s="135"/>
      <c r="E16" s="135"/>
      <c r="F16" s="135"/>
      <c r="G16" s="135"/>
      <c r="H16" s="135"/>
      <c r="I16" s="56">
        <f t="shared" si="1"/>
        <v>0</v>
      </c>
      <c r="J16" s="135"/>
      <c r="K16" s="135"/>
      <c r="L16" s="56">
        <f t="shared" si="2"/>
        <v>0</v>
      </c>
      <c r="M16" s="56">
        <f t="shared" si="3"/>
        <v>0</v>
      </c>
      <c r="N16" s="136"/>
      <c r="O16" s="56">
        <v>11.31</v>
      </c>
      <c r="P16" s="56">
        <v>13.482</v>
      </c>
      <c r="Q16" s="56">
        <f t="shared" si="4"/>
        <v>0</v>
      </c>
      <c r="R16" s="64"/>
      <c r="S16" s="64"/>
      <c r="T16" s="64"/>
      <c r="U16" s="60"/>
      <c r="V16" s="62">
        <f t="shared" si="5"/>
        <v>0</v>
      </c>
      <c r="W16" s="62">
        <f t="shared" si="6"/>
        <v>0</v>
      </c>
      <c r="X16" s="63"/>
      <c r="Y16" s="63"/>
      <c r="Z16" s="63"/>
      <c r="AA16" s="63"/>
      <c r="AB16" s="63"/>
    </row>
    <row r="17" ht="14.25" customHeight="1">
      <c r="A17" s="133">
        <v>16.0</v>
      </c>
      <c r="B17" s="133" t="s">
        <v>23</v>
      </c>
      <c r="C17" s="56" t="s">
        <v>39</v>
      </c>
      <c r="D17" s="135"/>
      <c r="E17" s="135"/>
      <c r="F17" s="135"/>
      <c r="G17" s="135"/>
      <c r="H17" s="135"/>
      <c r="I17" s="56">
        <f t="shared" si="1"/>
        <v>0</v>
      </c>
      <c r="J17" s="135"/>
      <c r="K17" s="135"/>
      <c r="L17" s="56">
        <f t="shared" si="2"/>
        <v>0</v>
      </c>
      <c r="M17" s="56">
        <f t="shared" si="3"/>
        <v>0</v>
      </c>
      <c r="N17" s="136"/>
      <c r="O17" s="56">
        <v>11.31</v>
      </c>
      <c r="P17" s="56">
        <v>13.482</v>
      </c>
      <c r="Q17" s="56">
        <f t="shared" si="4"/>
        <v>0</v>
      </c>
      <c r="R17" s="64"/>
      <c r="S17" s="64"/>
      <c r="T17" s="64"/>
      <c r="U17" s="60"/>
      <c r="V17" s="62">
        <f t="shared" si="5"/>
        <v>0</v>
      </c>
      <c r="W17" s="62">
        <f t="shared" si="6"/>
        <v>0</v>
      </c>
      <c r="X17" s="63"/>
      <c r="Y17" s="63"/>
      <c r="Z17" s="63"/>
      <c r="AA17" s="63"/>
      <c r="AB17" s="63"/>
    </row>
    <row r="18" ht="14.25" customHeight="1">
      <c r="A18" s="133">
        <v>17.0</v>
      </c>
      <c r="B18" s="133" t="s">
        <v>23</v>
      </c>
      <c r="C18" s="56" t="s">
        <v>40</v>
      </c>
      <c r="D18" s="135"/>
      <c r="E18" s="135"/>
      <c r="F18" s="135"/>
      <c r="G18" s="135"/>
      <c r="H18" s="135"/>
      <c r="I18" s="56">
        <f t="shared" si="1"/>
        <v>0</v>
      </c>
      <c r="J18" s="135"/>
      <c r="K18" s="135"/>
      <c r="L18" s="56">
        <f t="shared" si="2"/>
        <v>0</v>
      </c>
      <c r="M18" s="56">
        <f t="shared" si="3"/>
        <v>0</v>
      </c>
      <c r="N18" s="136"/>
      <c r="O18" s="56">
        <v>11.31</v>
      </c>
      <c r="P18" s="56">
        <v>13.482</v>
      </c>
      <c r="Q18" s="56">
        <f t="shared" si="4"/>
        <v>0</v>
      </c>
      <c r="R18" s="64"/>
      <c r="S18" s="64"/>
      <c r="T18" s="64"/>
      <c r="U18" s="60"/>
      <c r="V18" s="62">
        <f t="shared" si="5"/>
        <v>0</v>
      </c>
      <c r="W18" s="62">
        <f t="shared" si="6"/>
        <v>0</v>
      </c>
      <c r="X18" s="63"/>
      <c r="Y18" s="63"/>
      <c r="Z18" s="63"/>
      <c r="AA18" s="63"/>
      <c r="AB18" s="63"/>
    </row>
    <row r="19" ht="14.25" customHeight="1">
      <c r="A19" s="133">
        <v>18.0</v>
      </c>
      <c r="B19" s="133" t="s">
        <v>23</v>
      </c>
      <c r="C19" s="56" t="s">
        <v>42</v>
      </c>
      <c r="D19" s="135"/>
      <c r="E19" s="135"/>
      <c r="F19" s="135"/>
      <c r="G19" s="135"/>
      <c r="H19" s="135"/>
      <c r="I19" s="56">
        <f t="shared" si="1"/>
        <v>0</v>
      </c>
      <c r="J19" s="135"/>
      <c r="K19" s="135"/>
      <c r="L19" s="56">
        <f t="shared" si="2"/>
        <v>0</v>
      </c>
      <c r="M19" s="56">
        <f t="shared" si="3"/>
        <v>0</v>
      </c>
      <c r="N19" s="136"/>
      <c r="O19" s="56">
        <v>11.31</v>
      </c>
      <c r="P19" s="56">
        <v>13.482</v>
      </c>
      <c r="Q19" s="56">
        <f t="shared" si="4"/>
        <v>0</v>
      </c>
      <c r="R19" s="64"/>
      <c r="S19" s="64"/>
      <c r="T19" s="64"/>
      <c r="U19" s="60"/>
      <c r="V19" s="62">
        <f t="shared" si="5"/>
        <v>0</v>
      </c>
      <c r="W19" s="62">
        <f t="shared" si="6"/>
        <v>0</v>
      </c>
      <c r="X19" s="63"/>
      <c r="Y19" s="63"/>
      <c r="Z19" s="63"/>
      <c r="AA19" s="63"/>
      <c r="AB19" s="63"/>
    </row>
    <row r="20" ht="14.25" customHeight="1">
      <c r="A20" s="133">
        <v>19.0</v>
      </c>
      <c r="B20" s="133" t="s">
        <v>23</v>
      </c>
      <c r="C20" s="56" t="s">
        <v>44</v>
      </c>
      <c r="D20" s="135"/>
      <c r="E20" s="135"/>
      <c r="F20" s="135"/>
      <c r="G20" s="135"/>
      <c r="H20" s="135"/>
      <c r="I20" s="56">
        <f t="shared" si="1"/>
        <v>0</v>
      </c>
      <c r="J20" s="135"/>
      <c r="K20" s="135"/>
      <c r="L20" s="56">
        <f t="shared" si="2"/>
        <v>0</v>
      </c>
      <c r="M20" s="56">
        <f t="shared" si="3"/>
        <v>0</v>
      </c>
      <c r="N20" s="136"/>
      <c r="O20" s="56">
        <v>11.31</v>
      </c>
      <c r="P20" s="56">
        <v>13.482</v>
      </c>
      <c r="Q20" s="56">
        <f t="shared" si="4"/>
        <v>0</v>
      </c>
      <c r="R20" s="64"/>
      <c r="S20" s="64"/>
      <c r="T20" s="64"/>
      <c r="U20" s="60"/>
      <c r="V20" s="62">
        <f t="shared" si="5"/>
        <v>0</v>
      </c>
      <c r="W20" s="62">
        <f t="shared" si="6"/>
        <v>0</v>
      </c>
      <c r="X20" s="63"/>
      <c r="Y20" s="63"/>
      <c r="Z20" s="63"/>
      <c r="AA20" s="63"/>
      <c r="AB20" s="63"/>
    </row>
    <row r="21" ht="14.25" customHeight="1">
      <c r="A21" s="133">
        <v>20.0</v>
      </c>
      <c r="B21" s="133" t="s">
        <v>23</v>
      </c>
      <c r="C21" s="56" t="s">
        <v>45</v>
      </c>
      <c r="D21" s="135"/>
      <c r="E21" s="135"/>
      <c r="F21" s="135"/>
      <c r="G21" s="135"/>
      <c r="H21" s="135"/>
      <c r="I21" s="56">
        <f t="shared" si="1"/>
        <v>0</v>
      </c>
      <c r="J21" s="135"/>
      <c r="K21" s="135"/>
      <c r="L21" s="56">
        <f t="shared" si="2"/>
        <v>0</v>
      </c>
      <c r="M21" s="56">
        <f t="shared" si="3"/>
        <v>0</v>
      </c>
      <c r="N21" s="136"/>
      <c r="O21" s="56">
        <v>11.31</v>
      </c>
      <c r="P21" s="56">
        <v>13.482</v>
      </c>
      <c r="Q21" s="56">
        <f t="shared" si="4"/>
        <v>0</v>
      </c>
      <c r="R21" s="64"/>
      <c r="S21" s="64"/>
      <c r="T21" s="64"/>
      <c r="U21" s="60"/>
      <c r="V21" s="62">
        <f t="shared" si="5"/>
        <v>0</v>
      </c>
      <c r="W21" s="62">
        <f t="shared" si="6"/>
        <v>0</v>
      </c>
      <c r="X21" s="63"/>
      <c r="Y21" s="63"/>
      <c r="Z21" s="63"/>
      <c r="AA21" s="63"/>
      <c r="AB21" s="63"/>
    </row>
    <row r="22" ht="14.25" customHeight="1">
      <c r="A22" s="133">
        <v>21.0</v>
      </c>
      <c r="B22" s="133" t="s">
        <v>23</v>
      </c>
      <c r="C22" s="56" t="s">
        <v>46</v>
      </c>
      <c r="D22" s="135"/>
      <c r="E22" s="135"/>
      <c r="F22" s="135"/>
      <c r="G22" s="135"/>
      <c r="H22" s="135"/>
      <c r="I22" s="56">
        <f t="shared" si="1"/>
        <v>0</v>
      </c>
      <c r="J22" s="135"/>
      <c r="K22" s="135"/>
      <c r="L22" s="56">
        <f t="shared" si="2"/>
        <v>0</v>
      </c>
      <c r="M22" s="56">
        <f t="shared" si="3"/>
        <v>0</v>
      </c>
      <c r="N22" s="136"/>
      <c r="O22" s="56">
        <v>11.31</v>
      </c>
      <c r="P22" s="56">
        <v>13.482</v>
      </c>
      <c r="Q22" s="56">
        <f t="shared" si="4"/>
        <v>0</v>
      </c>
      <c r="R22" s="64"/>
      <c r="S22" s="64"/>
      <c r="T22" s="64"/>
      <c r="U22" s="60"/>
      <c r="V22" s="62">
        <f t="shared" si="5"/>
        <v>0</v>
      </c>
      <c r="W22" s="62">
        <f t="shared" si="6"/>
        <v>0</v>
      </c>
      <c r="X22" s="63"/>
      <c r="Y22" s="63"/>
      <c r="Z22" s="63"/>
      <c r="AA22" s="63"/>
      <c r="AB22" s="63"/>
    </row>
    <row r="23" ht="14.25" customHeight="1">
      <c r="A23" s="133">
        <v>22.0</v>
      </c>
      <c r="B23" s="133" t="s">
        <v>23</v>
      </c>
      <c r="C23" s="56" t="s">
        <v>47</v>
      </c>
      <c r="D23" s="135"/>
      <c r="E23" s="135"/>
      <c r="F23" s="135"/>
      <c r="G23" s="135"/>
      <c r="H23" s="135"/>
      <c r="I23" s="56">
        <f t="shared" si="1"/>
        <v>0</v>
      </c>
      <c r="J23" s="135"/>
      <c r="K23" s="135"/>
      <c r="L23" s="56">
        <f t="shared" si="2"/>
        <v>0</v>
      </c>
      <c r="M23" s="56">
        <f t="shared" si="3"/>
        <v>0</v>
      </c>
      <c r="N23" s="136"/>
      <c r="O23" s="56">
        <v>11.31</v>
      </c>
      <c r="P23" s="56">
        <v>13.482</v>
      </c>
      <c r="Q23" s="56">
        <f t="shared" si="4"/>
        <v>0</v>
      </c>
      <c r="R23" s="64"/>
      <c r="S23" s="64"/>
      <c r="T23" s="64"/>
      <c r="U23" s="60"/>
      <c r="V23" s="62">
        <f t="shared" si="5"/>
        <v>0</v>
      </c>
      <c r="W23" s="62">
        <f t="shared" si="6"/>
        <v>0</v>
      </c>
      <c r="X23" s="63"/>
      <c r="Y23" s="63"/>
      <c r="Z23" s="63"/>
      <c r="AA23" s="63"/>
      <c r="AB23" s="63"/>
    </row>
    <row r="24" ht="14.25" customHeight="1">
      <c r="A24" s="133">
        <v>23.0</v>
      </c>
      <c r="B24" s="133" t="s">
        <v>23</v>
      </c>
      <c r="C24" s="56" t="s">
        <v>49</v>
      </c>
      <c r="D24" s="135"/>
      <c r="E24" s="135"/>
      <c r="F24" s="135"/>
      <c r="G24" s="135"/>
      <c r="H24" s="135"/>
      <c r="I24" s="56">
        <f t="shared" si="1"/>
        <v>0</v>
      </c>
      <c r="J24" s="135"/>
      <c r="K24" s="135"/>
      <c r="L24" s="56">
        <f t="shared" si="2"/>
        <v>0</v>
      </c>
      <c r="M24" s="56">
        <f t="shared" si="3"/>
        <v>0</v>
      </c>
      <c r="N24" s="136"/>
      <c r="O24" s="56">
        <v>11.31</v>
      </c>
      <c r="P24" s="56">
        <v>13.482</v>
      </c>
      <c r="Q24" s="56">
        <f t="shared" si="4"/>
        <v>0</v>
      </c>
      <c r="R24" s="64"/>
      <c r="S24" s="64"/>
      <c r="T24" s="64"/>
      <c r="U24" s="60"/>
      <c r="V24" s="62">
        <f t="shared" si="5"/>
        <v>0</v>
      </c>
      <c r="W24" s="62">
        <f t="shared" si="6"/>
        <v>0</v>
      </c>
      <c r="X24" s="63"/>
      <c r="Y24" s="63"/>
      <c r="Z24" s="63"/>
      <c r="AA24" s="63"/>
      <c r="AB24" s="63"/>
    </row>
    <row r="25" ht="14.25" customHeight="1">
      <c r="A25" s="133">
        <v>24.0</v>
      </c>
      <c r="B25" s="133" t="s">
        <v>23</v>
      </c>
      <c r="C25" s="56" t="s">
        <v>50</v>
      </c>
      <c r="D25" s="135"/>
      <c r="E25" s="135"/>
      <c r="F25" s="135"/>
      <c r="G25" s="135"/>
      <c r="H25" s="135"/>
      <c r="I25" s="56">
        <f t="shared" si="1"/>
        <v>0</v>
      </c>
      <c r="J25" s="135"/>
      <c r="K25" s="135"/>
      <c r="L25" s="56">
        <f t="shared" si="2"/>
        <v>0</v>
      </c>
      <c r="M25" s="56">
        <f t="shared" si="3"/>
        <v>0</v>
      </c>
      <c r="N25" s="136"/>
      <c r="O25" s="56">
        <v>11.31</v>
      </c>
      <c r="P25" s="56">
        <v>13.482</v>
      </c>
      <c r="Q25" s="56">
        <f t="shared" si="4"/>
        <v>0</v>
      </c>
      <c r="R25" s="64"/>
      <c r="S25" s="64"/>
      <c r="T25" s="64"/>
      <c r="U25" s="60"/>
      <c r="V25" s="62">
        <f t="shared" si="5"/>
        <v>0</v>
      </c>
      <c r="W25" s="62">
        <f t="shared" si="6"/>
        <v>0</v>
      </c>
      <c r="X25" s="63"/>
      <c r="Y25" s="63"/>
      <c r="Z25" s="63"/>
      <c r="AA25" s="63"/>
      <c r="AB25" s="63"/>
    </row>
    <row r="26" ht="14.25" customHeight="1">
      <c r="A26" s="133">
        <v>25.0</v>
      </c>
      <c r="B26" s="133" t="s">
        <v>23</v>
      </c>
      <c r="C26" s="56" t="s">
        <v>51</v>
      </c>
      <c r="D26" s="135"/>
      <c r="E26" s="135"/>
      <c r="F26" s="135"/>
      <c r="G26" s="135"/>
      <c r="H26" s="135"/>
      <c r="I26" s="56">
        <f t="shared" si="1"/>
        <v>0</v>
      </c>
      <c r="J26" s="135"/>
      <c r="K26" s="135"/>
      <c r="L26" s="56">
        <f t="shared" si="2"/>
        <v>0</v>
      </c>
      <c r="M26" s="56">
        <f t="shared" si="3"/>
        <v>0</v>
      </c>
      <c r="N26" s="136"/>
      <c r="O26" s="56">
        <v>11.31</v>
      </c>
      <c r="P26" s="56">
        <v>13.482</v>
      </c>
      <c r="Q26" s="56">
        <f t="shared" si="4"/>
        <v>0</v>
      </c>
      <c r="R26" s="64"/>
      <c r="S26" s="64"/>
      <c r="T26" s="64"/>
      <c r="U26" s="60"/>
      <c r="V26" s="62">
        <f t="shared" si="5"/>
        <v>0</v>
      </c>
      <c r="W26" s="62">
        <f t="shared" si="6"/>
        <v>0</v>
      </c>
      <c r="X26" s="63"/>
      <c r="Y26" s="63"/>
      <c r="Z26" s="63"/>
      <c r="AA26" s="63"/>
      <c r="AB26" s="63"/>
    </row>
    <row r="27" ht="14.25" customHeight="1">
      <c r="A27" s="133">
        <v>26.0</v>
      </c>
      <c r="B27" s="133" t="s">
        <v>23</v>
      </c>
      <c r="C27" s="56" t="s">
        <v>52</v>
      </c>
      <c r="D27" s="135"/>
      <c r="E27" s="135"/>
      <c r="F27" s="135"/>
      <c r="G27" s="135"/>
      <c r="H27" s="135"/>
      <c r="I27" s="56">
        <f t="shared" si="1"/>
        <v>0</v>
      </c>
      <c r="J27" s="135"/>
      <c r="K27" s="135"/>
      <c r="L27" s="56">
        <f t="shared" si="2"/>
        <v>0</v>
      </c>
      <c r="M27" s="56">
        <f t="shared" si="3"/>
        <v>0</v>
      </c>
      <c r="N27" s="136"/>
      <c r="O27" s="56">
        <v>11.31</v>
      </c>
      <c r="P27" s="56">
        <v>13.482</v>
      </c>
      <c r="Q27" s="56">
        <f t="shared" si="4"/>
        <v>0</v>
      </c>
      <c r="R27" s="64"/>
      <c r="S27" s="64"/>
      <c r="T27" s="64"/>
      <c r="U27" s="60"/>
      <c r="V27" s="62">
        <f t="shared" si="5"/>
        <v>0</v>
      </c>
      <c r="W27" s="62">
        <f t="shared" si="6"/>
        <v>0</v>
      </c>
      <c r="X27" s="63"/>
      <c r="Y27" s="63"/>
      <c r="Z27" s="63"/>
      <c r="AA27" s="63"/>
      <c r="AB27" s="63"/>
    </row>
    <row r="28" ht="14.25" customHeight="1">
      <c r="A28" s="133">
        <v>27.0</v>
      </c>
      <c r="B28" s="133" t="s">
        <v>23</v>
      </c>
      <c r="C28" s="56" t="s">
        <v>53</v>
      </c>
      <c r="D28" s="135"/>
      <c r="E28" s="135"/>
      <c r="F28" s="135"/>
      <c r="G28" s="135"/>
      <c r="H28" s="135"/>
      <c r="I28" s="56">
        <f t="shared" si="1"/>
        <v>0</v>
      </c>
      <c r="J28" s="135"/>
      <c r="K28" s="135"/>
      <c r="L28" s="56">
        <f t="shared" si="2"/>
        <v>0</v>
      </c>
      <c r="M28" s="56">
        <f t="shared" si="3"/>
        <v>0</v>
      </c>
      <c r="N28" s="136"/>
      <c r="O28" s="56">
        <v>11.31</v>
      </c>
      <c r="P28" s="56">
        <v>13.482</v>
      </c>
      <c r="Q28" s="56">
        <f t="shared" si="4"/>
        <v>0</v>
      </c>
      <c r="R28" s="64"/>
      <c r="S28" s="64"/>
      <c r="T28" s="64"/>
      <c r="U28" s="60"/>
      <c r="V28" s="62">
        <f t="shared" si="5"/>
        <v>0</v>
      </c>
      <c r="W28" s="62">
        <f t="shared" si="6"/>
        <v>0</v>
      </c>
      <c r="X28" s="63"/>
      <c r="Y28" s="63"/>
      <c r="Z28" s="63"/>
      <c r="AA28" s="63"/>
      <c r="AB28" s="63"/>
    </row>
    <row r="29" ht="14.25" customHeight="1">
      <c r="A29" s="133">
        <v>28.0</v>
      </c>
      <c r="B29" s="133" t="s">
        <v>23</v>
      </c>
      <c r="C29" s="56" t="s">
        <v>54</v>
      </c>
      <c r="D29" s="135"/>
      <c r="E29" s="135"/>
      <c r="F29" s="135"/>
      <c r="G29" s="135"/>
      <c r="H29" s="135"/>
      <c r="I29" s="56">
        <f t="shared" si="1"/>
        <v>0</v>
      </c>
      <c r="J29" s="135"/>
      <c r="K29" s="135"/>
      <c r="L29" s="56">
        <f t="shared" si="2"/>
        <v>0</v>
      </c>
      <c r="M29" s="56">
        <f t="shared" si="3"/>
        <v>0</v>
      </c>
      <c r="N29" s="136"/>
      <c r="O29" s="56">
        <v>11.31</v>
      </c>
      <c r="P29" s="56">
        <v>13.482</v>
      </c>
      <c r="Q29" s="56">
        <f t="shared" si="4"/>
        <v>0</v>
      </c>
      <c r="R29" s="64"/>
      <c r="S29" s="64"/>
      <c r="T29" s="64"/>
      <c r="U29" s="60"/>
      <c r="V29" s="62">
        <f t="shared" si="5"/>
        <v>0</v>
      </c>
      <c r="W29" s="62">
        <f t="shared" si="6"/>
        <v>0</v>
      </c>
      <c r="X29" s="63"/>
      <c r="Y29" s="63"/>
      <c r="Z29" s="63"/>
      <c r="AA29" s="63"/>
      <c r="AB29" s="63"/>
    </row>
    <row r="30" ht="14.25" customHeight="1">
      <c r="A30" s="133">
        <v>29.0</v>
      </c>
      <c r="B30" s="133" t="s">
        <v>23</v>
      </c>
      <c r="C30" s="56" t="s">
        <v>55</v>
      </c>
      <c r="D30" s="135"/>
      <c r="E30" s="135"/>
      <c r="F30" s="135"/>
      <c r="G30" s="135"/>
      <c r="H30" s="135"/>
      <c r="I30" s="56">
        <f t="shared" si="1"/>
        <v>0</v>
      </c>
      <c r="J30" s="135"/>
      <c r="K30" s="135"/>
      <c r="L30" s="56">
        <f t="shared" si="2"/>
        <v>0</v>
      </c>
      <c r="M30" s="56">
        <f t="shared" si="3"/>
        <v>0</v>
      </c>
      <c r="N30" s="136"/>
      <c r="O30" s="56">
        <v>11.31</v>
      </c>
      <c r="P30" s="56">
        <v>13.482</v>
      </c>
      <c r="Q30" s="56">
        <f t="shared" si="4"/>
        <v>0</v>
      </c>
      <c r="R30" s="64"/>
      <c r="S30" s="64"/>
      <c r="T30" s="64"/>
      <c r="U30" s="60"/>
      <c r="V30" s="62">
        <f t="shared" si="5"/>
        <v>0</v>
      </c>
      <c r="W30" s="62">
        <f t="shared" si="6"/>
        <v>0</v>
      </c>
      <c r="X30" s="63"/>
      <c r="Y30" s="63"/>
      <c r="Z30" s="63"/>
      <c r="AA30" s="63"/>
      <c r="AB30" s="63"/>
    </row>
    <row r="31" ht="14.25" customHeight="1">
      <c r="A31" s="133">
        <v>30.0</v>
      </c>
      <c r="B31" s="133" t="s">
        <v>23</v>
      </c>
      <c r="C31" s="56" t="s">
        <v>56</v>
      </c>
      <c r="D31" s="135"/>
      <c r="E31" s="135"/>
      <c r="F31" s="135"/>
      <c r="G31" s="135"/>
      <c r="H31" s="135"/>
      <c r="I31" s="56">
        <f t="shared" si="1"/>
        <v>0</v>
      </c>
      <c r="J31" s="135"/>
      <c r="K31" s="135"/>
      <c r="L31" s="56">
        <f t="shared" si="2"/>
        <v>0</v>
      </c>
      <c r="M31" s="56">
        <f t="shared" si="3"/>
        <v>0</v>
      </c>
      <c r="N31" s="136"/>
      <c r="O31" s="56">
        <v>11.31</v>
      </c>
      <c r="P31" s="56">
        <v>13.482</v>
      </c>
      <c r="Q31" s="56">
        <f t="shared" si="4"/>
        <v>0</v>
      </c>
      <c r="R31" s="64"/>
      <c r="S31" s="64"/>
      <c r="T31" s="64"/>
      <c r="U31" s="60"/>
      <c r="V31" s="62">
        <f t="shared" si="5"/>
        <v>0</v>
      </c>
      <c r="W31" s="62">
        <f t="shared" si="6"/>
        <v>0</v>
      </c>
      <c r="X31" s="63"/>
      <c r="Y31" s="63"/>
      <c r="Z31" s="63"/>
      <c r="AA31" s="63"/>
      <c r="AB31" s="63"/>
    </row>
    <row r="32" ht="14.25" customHeight="1">
      <c r="A32" s="141"/>
      <c r="B32" s="141"/>
      <c r="C32" s="63"/>
      <c r="D32" s="76" t="s">
        <v>57</v>
      </c>
      <c r="E32" s="77">
        <f>SUM(M:M)</f>
        <v>0</v>
      </c>
      <c r="F32" s="63"/>
      <c r="G32" s="63"/>
      <c r="H32" s="63"/>
      <c r="I32" s="63"/>
      <c r="J32" s="63"/>
      <c r="K32" s="63"/>
      <c r="L32" s="63"/>
      <c r="M32" s="63"/>
      <c r="N32" s="78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</row>
    <row r="33" ht="14.25" customHeight="1">
      <c r="A33" s="141"/>
      <c r="B33" s="141"/>
      <c r="C33" s="63"/>
      <c r="D33" s="76" t="s">
        <v>58</v>
      </c>
      <c r="E33" s="77">
        <f>SUM(Q:Q)</f>
        <v>0</v>
      </c>
      <c r="F33" s="63"/>
      <c r="G33" s="63"/>
      <c r="H33" s="63"/>
      <c r="I33" s="63"/>
      <c r="J33" s="63"/>
      <c r="K33" s="63"/>
      <c r="L33" s="63"/>
      <c r="M33" s="63"/>
      <c r="N33" s="78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</row>
    <row r="34" ht="14.25" customHeight="1">
      <c r="A34" s="141"/>
      <c r="B34" s="141"/>
      <c r="C34" s="63"/>
      <c r="D34" s="76" t="s">
        <v>59</v>
      </c>
      <c r="E34" s="77" t="str">
        <f>E32/E33</f>
        <v>#DIV/0!</v>
      </c>
      <c r="F34" s="63"/>
      <c r="G34" s="63"/>
      <c r="H34" s="63"/>
      <c r="I34" s="63"/>
      <c r="J34" s="63"/>
      <c r="K34" s="63"/>
      <c r="L34" s="63"/>
      <c r="M34" s="63"/>
      <c r="N34" s="78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</row>
    <row r="35" ht="14.25" customHeight="1">
      <c r="A35" s="141"/>
      <c r="B35" s="141"/>
      <c r="C35" s="63"/>
      <c r="D35" s="79"/>
      <c r="E35" s="80"/>
      <c r="F35" s="63"/>
      <c r="G35" s="63"/>
      <c r="H35" s="63"/>
      <c r="I35" s="63"/>
      <c r="J35" s="63"/>
      <c r="K35" s="63"/>
      <c r="L35" s="63"/>
      <c r="M35" s="63"/>
      <c r="N35" s="78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</row>
    <row r="36" ht="14.25" customHeight="1">
      <c r="A36" s="141"/>
      <c r="B36" s="141"/>
      <c r="C36" s="63"/>
      <c r="D36" s="81" t="s">
        <v>60</v>
      </c>
      <c r="E36" s="82" t="str">
        <f>AVERAGEIF(Q:Q,"&gt;0",Q:Q)</f>
        <v>#DIV/0!</v>
      </c>
      <c r="F36" s="63"/>
      <c r="G36" s="63"/>
      <c r="H36" s="63"/>
      <c r="I36" s="63"/>
      <c r="J36" s="63"/>
      <c r="K36" s="63"/>
      <c r="L36" s="63"/>
      <c r="M36" s="63"/>
      <c r="N36" s="78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</row>
    <row r="37" ht="14.25" customHeight="1">
      <c r="A37" s="141"/>
      <c r="B37" s="141"/>
      <c r="C37" s="63"/>
      <c r="D37" s="79"/>
      <c r="E37" s="80"/>
      <c r="F37" s="63"/>
      <c r="G37" s="63"/>
      <c r="H37" s="63"/>
      <c r="I37" s="63"/>
      <c r="J37" s="63"/>
      <c r="K37" s="63"/>
      <c r="L37" s="63"/>
      <c r="M37" s="63"/>
      <c r="N37" s="78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</row>
    <row r="38" ht="14.25" customHeight="1">
      <c r="A38" s="141"/>
      <c r="B38" s="141"/>
      <c r="C38" s="63"/>
      <c r="D38" s="83" t="s">
        <v>61</v>
      </c>
      <c r="E38" s="84">
        <f>SUM(G:G)</f>
        <v>0</v>
      </c>
      <c r="F38" s="63"/>
      <c r="G38" s="63"/>
      <c r="H38" s="63"/>
      <c r="I38" s="63"/>
      <c r="J38" s="63"/>
      <c r="K38" s="63"/>
      <c r="L38" s="63"/>
      <c r="M38" s="63"/>
      <c r="N38" s="78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</row>
    <row r="39" ht="14.25" customHeight="1">
      <c r="A39" s="141"/>
      <c r="B39" s="141"/>
      <c r="C39" s="63"/>
      <c r="D39" s="83" t="s">
        <v>62</v>
      </c>
      <c r="E39" s="84">
        <f>SUM(H:H)</f>
        <v>0</v>
      </c>
      <c r="F39" s="63"/>
      <c r="G39" s="63"/>
      <c r="H39" s="63"/>
      <c r="I39" s="63"/>
      <c r="J39" s="63"/>
      <c r="K39" s="63"/>
      <c r="L39" s="63"/>
      <c r="M39" s="63"/>
      <c r="N39" s="78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</row>
    <row r="40" ht="14.25" customHeight="1">
      <c r="A40" s="141"/>
      <c r="B40" s="141"/>
      <c r="C40" s="63"/>
      <c r="D40" s="83" t="s">
        <v>63</v>
      </c>
      <c r="E40" s="84">
        <f>E39+E38</f>
        <v>0</v>
      </c>
      <c r="F40" s="63"/>
      <c r="G40" s="63"/>
      <c r="H40" s="63"/>
      <c r="I40" s="63"/>
      <c r="J40" s="63"/>
      <c r="K40" s="63"/>
      <c r="L40" s="63"/>
      <c r="M40" s="63"/>
      <c r="N40" s="78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</row>
    <row r="41" ht="14.25" customHeight="1">
      <c r="A41" s="141"/>
      <c r="B41" s="141"/>
      <c r="C41" s="63"/>
      <c r="D41" s="79"/>
      <c r="E41" s="80"/>
      <c r="F41" s="63"/>
      <c r="G41" s="63"/>
      <c r="H41" s="63"/>
      <c r="I41" s="63"/>
      <c r="J41" s="63"/>
      <c r="K41" s="63"/>
      <c r="L41" s="63"/>
      <c r="M41" s="63"/>
      <c r="N41" s="78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</row>
    <row r="42" ht="14.25" customHeight="1">
      <c r="A42" s="141"/>
      <c r="B42" s="141"/>
      <c r="C42" s="63"/>
      <c r="D42" s="49" t="s">
        <v>64</v>
      </c>
      <c r="E42" s="85">
        <f>SUM(I:I)</f>
        <v>0</v>
      </c>
      <c r="F42" s="63"/>
      <c r="G42" s="63"/>
      <c r="H42" s="63"/>
      <c r="I42" s="63"/>
      <c r="J42" s="63"/>
      <c r="K42" s="63"/>
      <c r="L42" s="63"/>
      <c r="M42" s="63"/>
      <c r="N42" s="78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</row>
    <row r="43" ht="14.25" customHeight="1">
      <c r="A43" s="141"/>
      <c r="B43" s="141"/>
      <c r="C43" s="63"/>
      <c r="D43" s="49" t="s">
        <v>65</v>
      </c>
      <c r="E43" s="85">
        <f>SUM(J:J)</f>
        <v>0</v>
      </c>
      <c r="F43" s="63"/>
      <c r="G43" s="63"/>
      <c r="H43" s="63"/>
      <c r="I43" s="63"/>
      <c r="J43" s="63"/>
      <c r="K43" s="63"/>
      <c r="L43" s="63"/>
      <c r="M43" s="63"/>
      <c r="N43" s="78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</row>
    <row r="44" ht="14.25" customHeight="1">
      <c r="A44" s="141"/>
      <c r="B44" s="141"/>
      <c r="C44" s="63"/>
      <c r="D44" s="49" t="s">
        <v>66</v>
      </c>
      <c r="E44" s="85">
        <f>E43+E42</f>
        <v>0</v>
      </c>
      <c r="F44" s="63"/>
      <c r="G44" s="63"/>
      <c r="H44" s="63"/>
      <c r="I44" s="63"/>
      <c r="J44" s="63"/>
      <c r="K44" s="63"/>
      <c r="L44" s="63"/>
      <c r="M44" s="63"/>
      <c r="N44" s="78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</row>
    <row r="45" ht="14.25" customHeight="1">
      <c r="A45" s="141"/>
      <c r="B45" s="141"/>
      <c r="C45" s="63"/>
      <c r="D45" s="79"/>
      <c r="E45" s="80"/>
      <c r="F45" s="63"/>
      <c r="G45" s="63"/>
      <c r="H45" s="63"/>
      <c r="I45" s="63"/>
      <c r="J45" s="63"/>
      <c r="K45" s="63"/>
      <c r="L45" s="63"/>
      <c r="M45" s="63"/>
      <c r="N45" s="78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</row>
    <row r="46" ht="14.25" customHeight="1">
      <c r="A46" s="141"/>
      <c r="B46" s="141"/>
      <c r="C46" s="63"/>
      <c r="D46" s="86" t="s">
        <v>10</v>
      </c>
      <c r="E46" s="87">
        <f t="shared" ref="E46:E47" si="7">E42+E38</f>
        <v>0</v>
      </c>
      <c r="F46" s="63"/>
      <c r="G46" s="63"/>
      <c r="H46" s="63"/>
      <c r="I46" s="63"/>
      <c r="J46" s="63"/>
      <c r="K46" s="63"/>
      <c r="L46" s="63"/>
      <c r="M46" s="63"/>
      <c r="N46" s="78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</row>
    <row r="47" ht="14.25" customHeight="1">
      <c r="A47" s="141"/>
      <c r="B47" s="141"/>
      <c r="C47" s="63"/>
      <c r="D47" s="86" t="s">
        <v>11</v>
      </c>
      <c r="E47" s="87">
        <f t="shared" si="7"/>
        <v>0</v>
      </c>
      <c r="F47" s="63"/>
      <c r="G47" s="63"/>
      <c r="H47" s="63"/>
      <c r="I47" s="63"/>
      <c r="J47" s="63"/>
      <c r="K47" s="63"/>
      <c r="L47" s="63"/>
      <c r="M47" s="63"/>
      <c r="N47" s="78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</row>
    <row r="48" ht="14.25" customHeight="1">
      <c r="A48" s="141"/>
      <c r="B48" s="141"/>
      <c r="C48" s="63"/>
      <c r="D48" s="80"/>
      <c r="E48" s="80"/>
      <c r="F48" s="63"/>
      <c r="G48" s="63"/>
      <c r="H48" s="63"/>
      <c r="I48" s="63"/>
      <c r="J48" s="63"/>
      <c r="K48" s="63"/>
      <c r="L48" s="63"/>
      <c r="M48" s="63"/>
      <c r="N48" s="78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</row>
    <row r="49" ht="14.25" customHeight="1">
      <c r="A49" s="141"/>
      <c r="B49" s="141"/>
      <c r="C49" s="63"/>
      <c r="D49" s="80"/>
      <c r="E49" s="80"/>
      <c r="F49" s="63"/>
      <c r="G49" s="63"/>
      <c r="H49" s="63"/>
      <c r="I49" s="63"/>
      <c r="J49" s="63"/>
      <c r="K49" s="63"/>
      <c r="L49" s="63"/>
      <c r="M49" s="63"/>
      <c r="N49" s="78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</row>
    <row r="50" ht="14.25" customHeight="1">
      <c r="A50" s="141"/>
      <c r="B50" s="141"/>
      <c r="C50" s="63"/>
      <c r="D50" s="80"/>
      <c r="E50" s="80"/>
      <c r="F50" s="63"/>
      <c r="G50" s="63"/>
      <c r="H50" s="63"/>
      <c r="I50" s="63"/>
      <c r="J50" s="63"/>
      <c r="K50" s="63"/>
      <c r="L50" s="63"/>
      <c r="M50" s="63"/>
      <c r="N50" s="78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</row>
    <row r="51" ht="14.25" customHeight="1">
      <c r="A51" s="141"/>
      <c r="B51" s="141"/>
      <c r="C51" s="63"/>
      <c r="D51" s="80"/>
      <c r="E51" s="80"/>
      <c r="F51" s="63"/>
      <c r="G51" s="63"/>
      <c r="H51" s="63"/>
      <c r="I51" s="63"/>
      <c r="J51" s="63"/>
      <c r="K51" s="63"/>
      <c r="L51" s="63"/>
      <c r="M51" s="63"/>
      <c r="N51" s="78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</row>
    <row r="52" ht="14.25" customHeight="1">
      <c r="A52" s="141"/>
      <c r="B52" s="141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78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</row>
    <row r="53" ht="14.25" customHeight="1">
      <c r="A53" s="141"/>
      <c r="B53" s="141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78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</row>
    <row r="54" ht="14.25" customHeight="1">
      <c r="A54" s="141"/>
      <c r="B54" s="141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78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</row>
    <row r="55" ht="14.25" customHeight="1">
      <c r="A55" s="141"/>
      <c r="B55" s="141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78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</row>
    <row r="56" ht="14.25" customHeight="1">
      <c r="A56" s="141"/>
      <c r="B56" s="141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78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</row>
    <row r="57" ht="14.25" customHeight="1">
      <c r="A57" s="141"/>
      <c r="B57" s="141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78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</row>
    <row r="58" ht="14.25" customHeight="1">
      <c r="A58" s="141"/>
      <c r="B58" s="141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78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</row>
    <row r="59" ht="14.25" customHeight="1">
      <c r="A59" s="141"/>
      <c r="B59" s="141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78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</row>
    <row r="60" ht="14.25" customHeight="1">
      <c r="A60" s="141"/>
      <c r="B60" s="141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78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</row>
    <row r="61" ht="14.25" customHeight="1">
      <c r="A61" s="141"/>
      <c r="B61" s="141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78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</row>
    <row r="62" ht="14.25" customHeight="1">
      <c r="A62" s="141"/>
      <c r="B62" s="141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78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</row>
    <row r="63" ht="14.25" customHeight="1">
      <c r="A63" s="141"/>
      <c r="B63" s="141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78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</row>
    <row r="64" ht="14.25" customHeight="1">
      <c r="A64" s="141"/>
      <c r="B64" s="141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78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</row>
    <row r="65" ht="14.25" customHeight="1">
      <c r="A65" s="141"/>
      <c r="B65" s="141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78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</row>
    <row r="66" ht="14.25" customHeight="1">
      <c r="A66" s="141"/>
      <c r="B66" s="141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78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</row>
    <row r="67" ht="14.25" customHeight="1">
      <c r="A67" s="141"/>
      <c r="B67" s="141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78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</row>
    <row r="68" ht="14.25" customHeight="1">
      <c r="A68" s="141"/>
      <c r="B68" s="141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78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</row>
    <row r="69" ht="14.25" customHeight="1">
      <c r="A69" s="141"/>
      <c r="B69" s="141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78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</row>
    <row r="70" ht="14.25" customHeight="1">
      <c r="A70" s="141"/>
      <c r="B70" s="141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78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</row>
    <row r="71" ht="14.25" customHeight="1">
      <c r="A71" s="141"/>
      <c r="B71" s="141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78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</row>
    <row r="72" ht="14.25" customHeight="1">
      <c r="A72" s="141"/>
      <c r="B72" s="141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78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</row>
    <row r="73" ht="14.25" customHeight="1">
      <c r="A73" s="141"/>
      <c r="B73" s="141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78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</row>
    <row r="74" ht="14.25" customHeight="1">
      <c r="A74" s="141"/>
      <c r="B74" s="141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78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</row>
    <row r="75" ht="14.25" customHeight="1">
      <c r="A75" s="141"/>
      <c r="B75" s="141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78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</row>
    <row r="76" ht="14.25" customHeight="1">
      <c r="A76" s="141"/>
      <c r="B76" s="141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78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</row>
    <row r="77" ht="14.25" customHeight="1">
      <c r="A77" s="141"/>
      <c r="B77" s="141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78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</row>
    <row r="78" ht="14.25" customHeight="1">
      <c r="A78" s="141"/>
      <c r="B78" s="141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78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</row>
    <row r="79" ht="14.25" customHeight="1">
      <c r="A79" s="141"/>
      <c r="B79" s="141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78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</row>
    <row r="80" ht="14.25" customHeight="1">
      <c r="A80" s="141"/>
      <c r="B80" s="141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78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</row>
    <row r="81" ht="14.25" customHeight="1">
      <c r="A81" s="141"/>
      <c r="B81" s="141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78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</row>
    <row r="82" ht="14.25" customHeight="1">
      <c r="A82" s="141"/>
      <c r="B82" s="141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78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</row>
    <row r="83" ht="14.25" customHeight="1">
      <c r="A83" s="141"/>
      <c r="B83" s="141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78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</row>
    <row r="84" ht="14.25" customHeight="1">
      <c r="A84" s="141"/>
      <c r="B84" s="141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78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</row>
    <row r="85" ht="14.25" customHeight="1">
      <c r="A85" s="141"/>
      <c r="B85" s="141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78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</row>
    <row r="86" ht="14.25" customHeight="1">
      <c r="A86" s="141"/>
      <c r="B86" s="141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78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</row>
    <row r="87" ht="14.25" customHeight="1">
      <c r="A87" s="141"/>
      <c r="B87" s="141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78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</row>
    <row r="88" ht="14.25" customHeight="1">
      <c r="A88" s="141"/>
      <c r="B88" s="141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78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</row>
    <row r="89" ht="14.25" customHeight="1">
      <c r="A89" s="141"/>
      <c r="B89" s="141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78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</row>
    <row r="90" ht="14.25" customHeight="1">
      <c r="A90" s="141"/>
      <c r="B90" s="141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78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</row>
    <row r="91" ht="14.25" customHeight="1">
      <c r="A91" s="141"/>
      <c r="B91" s="141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78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</row>
    <row r="92" ht="14.25" customHeight="1">
      <c r="A92" s="141"/>
      <c r="B92" s="141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78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</row>
    <row r="93" ht="14.25" customHeight="1">
      <c r="A93" s="141"/>
      <c r="B93" s="141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78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</row>
    <row r="94" ht="14.25" customHeight="1">
      <c r="A94" s="141"/>
      <c r="B94" s="141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78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</row>
    <row r="95" ht="14.25" customHeight="1">
      <c r="A95" s="141"/>
      <c r="B95" s="141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78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</row>
    <row r="96" ht="14.25" customHeight="1">
      <c r="A96" s="141"/>
      <c r="B96" s="141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78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</row>
    <row r="97" ht="14.25" customHeight="1">
      <c r="A97" s="141"/>
      <c r="B97" s="141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78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</row>
    <row r="98" ht="14.25" customHeight="1">
      <c r="A98" s="141"/>
      <c r="B98" s="141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78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</row>
    <row r="99" ht="14.25" customHeight="1">
      <c r="A99" s="141"/>
      <c r="B99" s="141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78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</row>
    <row r="100" ht="14.25" customHeight="1">
      <c r="A100" s="141"/>
      <c r="B100" s="141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78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</row>
    <row r="101" ht="14.25" customHeight="1">
      <c r="A101" s="141"/>
      <c r="B101" s="141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78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</row>
    <row r="102" ht="14.25" customHeight="1">
      <c r="A102" s="141"/>
      <c r="B102" s="141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78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</row>
    <row r="103" ht="14.25" customHeight="1">
      <c r="A103" s="141"/>
      <c r="B103" s="141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78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</row>
    <row r="104" ht="14.25" customHeight="1">
      <c r="A104" s="141"/>
      <c r="B104" s="141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78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</row>
    <row r="105" ht="14.25" customHeight="1">
      <c r="A105" s="141"/>
      <c r="B105" s="141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78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</row>
    <row r="106" ht="14.25" customHeight="1">
      <c r="A106" s="141"/>
      <c r="B106" s="141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78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</row>
    <row r="107" ht="14.25" customHeight="1">
      <c r="A107" s="141"/>
      <c r="B107" s="141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78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</row>
    <row r="108" ht="14.25" customHeight="1">
      <c r="A108" s="141"/>
      <c r="B108" s="141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78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</row>
    <row r="109" ht="14.25" customHeight="1">
      <c r="A109" s="141"/>
      <c r="B109" s="141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78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</row>
    <row r="110" ht="14.25" customHeight="1">
      <c r="A110" s="141"/>
      <c r="B110" s="141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78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</row>
    <row r="111" ht="14.25" customHeight="1">
      <c r="A111" s="141"/>
      <c r="B111" s="141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78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</row>
    <row r="112" ht="14.25" customHeight="1">
      <c r="A112" s="141"/>
      <c r="B112" s="141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78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</row>
    <row r="113" ht="14.25" customHeight="1">
      <c r="A113" s="141"/>
      <c r="B113" s="141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78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</row>
    <row r="114" ht="14.25" customHeight="1">
      <c r="A114" s="141"/>
      <c r="B114" s="141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78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</row>
    <row r="115" ht="14.25" customHeight="1">
      <c r="A115" s="141"/>
      <c r="B115" s="141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78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</row>
    <row r="116" ht="14.25" customHeight="1">
      <c r="A116" s="141"/>
      <c r="B116" s="141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78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</row>
    <row r="117" ht="14.25" customHeight="1">
      <c r="A117" s="141"/>
      <c r="B117" s="141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78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</row>
    <row r="118" ht="14.25" customHeight="1">
      <c r="A118" s="141"/>
      <c r="B118" s="141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78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</row>
    <row r="119" ht="14.25" customHeight="1">
      <c r="A119" s="141"/>
      <c r="B119" s="141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78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</row>
    <row r="120" ht="14.25" customHeight="1">
      <c r="A120" s="141"/>
      <c r="B120" s="141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78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</row>
    <row r="121" ht="14.25" customHeight="1">
      <c r="A121" s="141"/>
      <c r="B121" s="141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78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</row>
    <row r="122" ht="14.25" customHeight="1">
      <c r="A122" s="141"/>
      <c r="B122" s="141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78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</row>
    <row r="123" ht="14.25" customHeight="1">
      <c r="A123" s="141"/>
      <c r="B123" s="141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78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</row>
    <row r="124" ht="14.25" customHeight="1">
      <c r="A124" s="141"/>
      <c r="B124" s="141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78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</row>
    <row r="125" ht="14.25" customHeight="1">
      <c r="A125" s="141"/>
      <c r="B125" s="141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78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</row>
    <row r="126" ht="14.25" customHeight="1">
      <c r="A126" s="141"/>
      <c r="B126" s="141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78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</row>
    <row r="127" ht="14.25" customHeight="1">
      <c r="A127" s="141"/>
      <c r="B127" s="141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78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</row>
    <row r="128" ht="14.25" customHeight="1">
      <c r="A128" s="141"/>
      <c r="B128" s="141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78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</row>
    <row r="129" ht="14.25" customHeight="1">
      <c r="A129" s="141"/>
      <c r="B129" s="141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78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</row>
    <row r="130" ht="14.25" customHeight="1">
      <c r="A130" s="141"/>
      <c r="B130" s="141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78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</row>
    <row r="131" ht="14.25" customHeight="1">
      <c r="A131" s="141"/>
      <c r="B131" s="141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78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</row>
    <row r="132" ht="14.25" customHeight="1">
      <c r="A132" s="141"/>
      <c r="B132" s="141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78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</row>
    <row r="133" ht="14.25" customHeight="1">
      <c r="A133" s="141"/>
      <c r="B133" s="141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78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</row>
    <row r="134" ht="14.25" customHeight="1">
      <c r="A134" s="141"/>
      <c r="B134" s="141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78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</row>
    <row r="135" ht="14.25" customHeight="1">
      <c r="A135" s="141"/>
      <c r="B135" s="141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78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</row>
    <row r="136" ht="14.25" customHeight="1">
      <c r="A136" s="141"/>
      <c r="B136" s="141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78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</row>
    <row r="137" ht="14.25" customHeight="1">
      <c r="A137" s="141"/>
      <c r="B137" s="141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78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</row>
    <row r="138" ht="14.25" customHeight="1">
      <c r="A138" s="141"/>
      <c r="B138" s="141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78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</row>
    <row r="139" ht="14.25" customHeight="1">
      <c r="A139" s="141"/>
      <c r="B139" s="141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78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</row>
    <row r="140" ht="14.25" customHeight="1">
      <c r="A140" s="141"/>
      <c r="B140" s="141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78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</row>
    <row r="141" ht="14.25" customHeight="1">
      <c r="A141" s="141"/>
      <c r="B141" s="141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78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</row>
    <row r="142" ht="14.25" customHeight="1">
      <c r="A142" s="141"/>
      <c r="B142" s="141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78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</row>
    <row r="143" ht="14.25" customHeight="1">
      <c r="A143" s="141"/>
      <c r="B143" s="141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78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</row>
    <row r="144" ht="14.25" customHeight="1">
      <c r="A144" s="141"/>
      <c r="B144" s="141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78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</row>
    <row r="145" ht="14.25" customHeight="1">
      <c r="A145" s="141"/>
      <c r="B145" s="141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78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</row>
    <row r="146" ht="14.25" customHeight="1">
      <c r="A146" s="141"/>
      <c r="B146" s="141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78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</row>
    <row r="147" ht="14.25" customHeight="1">
      <c r="A147" s="141"/>
      <c r="B147" s="141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78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</row>
    <row r="148" ht="14.25" customHeight="1">
      <c r="A148" s="141"/>
      <c r="B148" s="141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78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</row>
    <row r="149" ht="14.25" customHeight="1">
      <c r="A149" s="141"/>
      <c r="B149" s="141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78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</row>
    <row r="150" ht="14.25" customHeight="1">
      <c r="A150" s="141"/>
      <c r="B150" s="141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78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</row>
    <row r="151" ht="14.25" customHeight="1">
      <c r="A151" s="141"/>
      <c r="B151" s="141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78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</row>
    <row r="152" ht="14.25" customHeight="1">
      <c r="A152" s="141"/>
      <c r="B152" s="141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78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</row>
    <row r="153" ht="14.25" customHeight="1">
      <c r="A153" s="141"/>
      <c r="B153" s="141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78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</row>
    <row r="154" ht="14.25" customHeight="1">
      <c r="A154" s="141"/>
      <c r="B154" s="141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78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</row>
    <row r="155" ht="14.25" customHeight="1">
      <c r="A155" s="141"/>
      <c r="B155" s="141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78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</row>
    <row r="156" ht="14.25" customHeight="1">
      <c r="A156" s="141"/>
      <c r="B156" s="141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78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</row>
    <row r="157" ht="14.25" customHeight="1">
      <c r="A157" s="141"/>
      <c r="B157" s="141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78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</row>
    <row r="158" ht="14.25" customHeight="1">
      <c r="A158" s="141"/>
      <c r="B158" s="141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78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</row>
    <row r="159" ht="14.25" customHeight="1">
      <c r="A159" s="141"/>
      <c r="B159" s="141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78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</row>
    <row r="160" ht="14.25" customHeight="1">
      <c r="A160" s="141"/>
      <c r="B160" s="141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78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</row>
    <row r="161" ht="14.25" customHeight="1">
      <c r="A161" s="141"/>
      <c r="B161" s="141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78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</row>
    <row r="162" ht="14.25" customHeight="1">
      <c r="A162" s="141"/>
      <c r="B162" s="141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78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</row>
    <row r="163" ht="14.25" customHeight="1">
      <c r="A163" s="141"/>
      <c r="B163" s="141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78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</row>
    <row r="164" ht="14.25" customHeight="1">
      <c r="A164" s="141"/>
      <c r="B164" s="141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78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</row>
    <row r="165" ht="14.25" customHeight="1">
      <c r="A165" s="141"/>
      <c r="B165" s="141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78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</row>
    <row r="166" ht="14.25" customHeight="1">
      <c r="A166" s="141"/>
      <c r="B166" s="141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78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</row>
    <row r="167" ht="14.25" customHeight="1">
      <c r="A167" s="141"/>
      <c r="B167" s="141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78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</row>
    <row r="168" ht="14.25" customHeight="1">
      <c r="A168" s="141"/>
      <c r="B168" s="141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78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</row>
    <row r="169" ht="14.25" customHeight="1">
      <c r="A169" s="141"/>
      <c r="B169" s="141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78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</row>
    <row r="170" ht="14.25" customHeight="1">
      <c r="A170" s="141"/>
      <c r="B170" s="141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78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</row>
    <row r="171" ht="14.25" customHeight="1">
      <c r="A171" s="141"/>
      <c r="B171" s="141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78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</row>
    <row r="172" ht="14.25" customHeight="1">
      <c r="A172" s="141"/>
      <c r="B172" s="141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78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</row>
    <row r="173" ht="14.25" customHeight="1">
      <c r="A173" s="141"/>
      <c r="B173" s="141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78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</row>
    <row r="174" ht="14.25" customHeight="1">
      <c r="A174" s="141"/>
      <c r="B174" s="141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78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</row>
    <row r="175" ht="14.25" customHeight="1">
      <c r="A175" s="141"/>
      <c r="B175" s="141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78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</row>
    <row r="176" ht="14.25" customHeight="1">
      <c r="A176" s="141"/>
      <c r="B176" s="141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78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</row>
    <row r="177" ht="14.25" customHeight="1">
      <c r="A177" s="141"/>
      <c r="B177" s="141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78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</row>
    <row r="178" ht="14.25" customHeight="1">
      <c r="A178" s="141"/>
      <c r="B178" s="141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78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</row>
    <row r="179" ht="14.25" customHeight="1">
      <c r="A179" s="141"/>
      <c r="B179" s="141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78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</row>
    <row r="180" ht="14.25" customHeight="1">
      <c r="A180" s="141"/>
      <c r="B180" s="141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78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</row>
    <row r="181" ht="14.25" customHeight="1">
      <c r="A181" s="141"/>
      <c r="B181" s="141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78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</row>
    <row r="182" ht="14.25" customHeight="1">
      <c r="A182" s="141"/>
      <c r="B182" s="141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78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</row>
    <row r="183" ht="14.25" customHeight="1">
      <c r="A183" s="141"/>
      <c r="B183" s="141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78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</row>
    <row r="184" ht="14.25" customHeight="1">
      <c r="A184" s="141"/>
      <c r="B184" s="141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78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</row>
    <row r="185" ht="14.25" customHeight="1">
      <c r="A185" s="141"/>
      <c r="B185" s="141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78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</row>
    <row r="186" ht="14.25" customHeight="1">
      <c r="A186" s="141"/>
      <c r="B186" s="141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78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</row>
    <row r="187" ht="14.25" customHeight="1">
      <c r="A187" s="141"/>
      <c r="B187" s="141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78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</row>
    <row r="188" ht="14.25" customHeight="1">
      <c r="A188" s="141"/>
      <c r="B188" s="141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78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</row>
    <row r="189" ht="14.25" customHeight="1">
      <c r="A189" s="141"/>
      <c r="B189" s="141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78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</row>
    <row r="190" ht="14.25" customHeight="1">
      <c r="A190" s="141"/>
      <c r="B190" s="141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78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</row>
    <row r="191" ht="14.25" customHeight="1">
      <c r="A191" s="141"/>
      <c r="B191" s="141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78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</row>
    <row r="192" ht="14.25" customHeight="1">
      <c r="A192" s="141"/>
      <c r="B192" s="141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78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</row>
    <row r="193" ht="14.25" customHeight="1">
      <c r="A193" s="141"/>
      <c r="B193" s="141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78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</row>
    <row r="194" ht="14.25" customHeight="1">
      <c r="A194" s="141"/>
      <c r="B194" s="141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78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</row>
    <row r="195" ht="14.25" customHeight="1">
      <c r="A195" s="141"/>
      <c r="B195" s="141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78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</row>
    <row r="196" ht="14.25" customHeight="1">
      <c r="A196" s="141"/>
      <c r="B196" s="141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78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</row>
    <row r="197" ht="14.25" customHeight="1">
      <c r="A197" s="141"/>
      <c r="B197" s="141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78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</row>
    <row r="198" ht="14.25" customHeight="1">
      <c r="A198" s="141"/>
      <c r="B198" s="141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78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</row>
    <row r="199" ht="14.25" customHeight="1">
      <c r="A199" s="141"/>
      <c r="B199" s="141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78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</row>
    <row r="200" ht="14.25" customHeight="1">
      <c r="A200" s="141"/>
      <c r="B200" s="141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78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</row>
    <row r="201" ht="14.25" customHeight="1">
      <c r="A201" s="141"/>
      <c r="B201" s="141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78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</row>
    <row r="202" ht="14.25" customHeight="1">
      <c r="A202" s="141"/>
      <c r="B202" s="141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78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</row>
    <row r="203" ht="14.25" customHeight="1">
      <c r="A203" s="141"/>
      <c r="B203" s="141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78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</row>
    <row r="204" ht="14.25" customHeight="1">
      <c r="A204" s="141"/>
      <c r="B204" s="141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78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</row>
    <row r="205" ht="14.25" customHeight="1">
      <c r="A205" s="141"/>
      <c r="B205" s="141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78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</row>
    <row r="206" ht="14.25" customHeight="1">
      <c r="A206" s="141"/>
      <c r="B206" s="141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78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</row>
    <row r="207" ht="14.25" customHeight="1">
      <c r="A207" s="141"/>
      <c r="B207" s="141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78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</row>
    <row r="208" ht="14.25" customHeight="1">
      <c r="A208" s="141"/>
      <c r="B208" s="141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78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</row>
    <row r="209" ht="14.25" customHeight="1">
      <c r="A209" s="141"/>
      <c r="B209" s="141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78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</row>
    <row r="210" ht="14.25" customHeight="1">
      <c r="A210" s="141"/>
      <c r="B210" s="141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78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</row>
    <row r="211" ht="14.25" customHeight="1">
      <c r="A211" s="141"/>
      <c r="B211" s="141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78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</row>
    <row r="212" ht="14.25" customHeight="1">
      <c r="A212" s="141"/>
      <c r="B212" s="141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78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</row>
    <row r="213" ht="14.25" customHeight="1">
      <c r="A213" s="141"/>
      <c r="B213" s="141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78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</row>
    <row r="214" ht="14.25" customHeight="1">
      <c r="A214" s="141"/>
      <c r="B214" s="141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78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</row>
    <row r="215" ht="14.25" customHeight="1">
      <c r="A215" s="141"/>
      <c r="B215" s="141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78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</row>
    <row r="216" ht="14.25" customHeight="1">
      <c r="A216" s="141"/>
      <c r="B216" s="141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78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</row>
    <row r="217" ht="14.25" customHeight="1">
      <c r="A217" s="141"/>
      <c r="B217" s="141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78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</row>
    <row r="218" ht="14.25" customHeight="1">
      <c r="A218" s="141"/>
      <c r="B218" s="141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78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</row>
    <row r="219" ht="14.25" customHeight="1">
      <c r="A219" s="141"/>
      <c r="B219" s="141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78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</row>
    <row r="220" ht="14.25" customHeight="1">
      <c r="A220" s="141"/>
      <c r="B220" s="141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78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</row>
    <row r="221" ht="14.25" customHeight="1">
      <c r="A221" s="141"/>
      <c r="B221" s="141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78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</row>
    <row r="222" ht="14.25" customHeight="1">
      <c r="A222" s="141"/>
      <c r="B222" s="141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78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</row>
    <row r="223" ht="14.25" customHeight="1">
      <c r="A223" s="141"/>
      <c r="B223" s="141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78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</row>
    <row r="224" ht="14.25" customHeight="1">
      <c r="A224" s="141"/>
      <c r="B224" s="141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78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</row>
    <row r="225" ht="14.25" customHeight="1">
      <c r="A225" s="141"/>
      <c r="B225" s="141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78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</row>
    <row r="226" ht="14.25" customHeight="1">
      <c r="A226" s="141"/>
      <c r="B226" s="141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78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</row>
    <row r="227" ht="14.25" customHeight="1">
      <c r="A227" s="141"/>
      <c r="B227" s="141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78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</row>
    <row r="228" ht="14.25" customHeight="1">
      <c r="A228" s="141"/>
      <c r="B228" s="141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78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</row>
    <row r="229" ht="14.25" customHeight="1">
      <c r="A229" s="141"/>
      <c r="B229" s="141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78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</row>
    <row r="230" ht="14.25" customHeight="1">
      <c r="A230" s="141"/>
      <c r="B230" s="141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78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</row>
    <row r="231" ht="14.25" customHeight="1">
      <c r="A231" s="141"/>
      <c r="B231" s="141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78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</row>
    <row r="232" ht="14.25" customHeight="1">
      <c r="A232" s="141"/>
      <c r="B232" s="141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78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</row>
    <row r="233" ht="14.25" customHeight="1">
      <c r="A233" s="141"/>
      <c r="B233" s="141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78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</row>
    <row r="234" ht="14.25" customHeight="1">
      <c r="A234" s="141"/>
      <c r="B234" s="141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78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</row>
    <row r="235" ht="14.25" customHeight="1">
      <c r="A235" s="141"/>
      <c r="B235" s="141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78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</row>
    <row r="236" ht="14.25" customHeight="1">
      <c r="A236" s="141"/>
      <c r="B236" s="141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78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</row>
    <row r="237" ht="14.25" customHeight="1">
      <c r="A237" s="141"/>
      <c r="B237" s="141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78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</row>
    <row r="238" ht="14.25" customHeight="1">
      <c r="A238" s="141"/>
      <c r="B238" s="141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78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</row>
    <row r="239" ht="14.25" customHeight="1">
      <c r="A239" s="141"/>
      <c r="B239" s="141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78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</row>
    <row r="240" ht="14.25" customHeight="1">
      <c r="A240" s="141"/>
      <c r="B240" s="141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78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</row>
    <row r="241" ht="14.25" customHeight="1">
      <c r="A241" s="141"/>
      <c r="B241" s="141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78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</row>
    <row r="242" ht="14.25" customHeight="1">
      <c r="A242" s="141"/>
      <c r="B242" s="141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78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</row>
    <row r="243" ht="14.25" customHeight="1">
      <c r="A243" s="141"/>
      <c r="B243" s="141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78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</row>
    <row r="244" ht="14.25" customHeight="1">
      <c r="A244" s="141"/>
      <c r="B244" s="141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78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</row>
    <row r="245" ht="14.25" customHeight="1">
      <c r="A245" s="141"/>
      <c r="B245" s="141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78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</row>
    <row r="246" ht="14.25" customHeight="1">
      <c r="A246" s="141"/>
      <c r="B246" s="141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78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</row>
    <row r="247" ht="14.25" customHeight="1">
      <c r="A247" s="141"/>
      <c r="B247" s="141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78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</row>
    <row r="248" ht="15.75" customHeight="1">
      <c r="A248" s="142"/>
      <c r="B248" s="142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89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ht="15.75" customHeight="1">
      <c r="A249" s="142"/>
      <c r="B249" s="142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89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ht="15.75" customHeight="1">
      <c r="A250" s="142"/>
      <c r="B250" s="142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89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ht="15.75" customHeight="1">
      <c r="A251" s="142"/>
      <c r="B251" s="142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89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ht="15.75" customHeight="1">
      <c r="A252" s="142"/>
      <c r="B252" s="142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89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ht="15.75" customHeight="1">
      <c r="A253" s="142"/>
      <c r="B253" s="142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89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ht="15.75" customHeight="1">
      <c r="A254" s="142"/>
      <c r="B254" s="142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89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ht="15.75" customHeight="1">
      <c r="A255" s="142"/>
      <c r="B255" s="142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89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ht="15.75" customHeight="1">
      <c r="A256" s="142"/>
      <c r="B256" s="142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89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ht="15.75" customHeight="1">
      <c r="A257" s="142"/>
      <c r="B257" s="142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89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ht="15.75" customHeight="1">
      <c r="A258" s="142"/>
      <c r="B258" s="142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89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ht="15.75" customHeight="1">
      <c r="A259" s="142"/>
      <c r="B259" s="142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89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ht="15.75" customHeight="1">
      <c r="A260" s="142"/>
      <c r="B260" s="142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89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ht="15.75" customHeight="1">
      <c r="A261" s="142"/>
      <c r="B261" s="142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89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ht="15.75" customHeight="1">
      <c r="A262" s="142"/>
      <c r="B262" s="142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89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ht="15.75" customHeight="1">
      <c r="A263" s="142"/>
      <c r="B263" s="142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89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ht="15.75" customHeight="1">
      <c r="A264" s="142"/>
      <c r="B264" s="142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89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ht="15.75" customHeight="1">
      <c r="A265" s="142"/>
      <c r="B265" s="142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89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ht="15.75" customHeight="1">
      <c r="A266" s="142"/>
      <c r="B266" s="142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89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ht="15.75" customHeight="1">
      <c r="A267" s="142"/>
      <c r="B267" s="142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89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ht="15.75" customHeight="1">
      <c r="A268" s="142"/>
      <c r="B268" s="142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89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ht="15.75" customHeight="1">
      <c r="A269" s="142"/>
      <c r="B269" s="142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89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ht="15.75" customHeight="1">
      <c r="A270" s="142"/>
      <c r="B270" s="142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89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ht="15.75" customHeight="1">
      <c r="A271" s="142"/>
      <c r="B271" s="142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89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ht="15.75" customHeight="1">
      <c r="A272" s="142"/>
      <c r="B272" s="142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89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ht="15.75" customHeight="1">
      <c r="A273" s="142"/>
      <c r="B273" s="142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89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ht="15.75" customHeight="1">
      <c r="A274" s="142"/>
      <c r="B274" s="142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89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ht="15.75" customHeight="1">
      <c r="A275" s="142"/>
      <c r="B275" s="142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89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ht="15.75" customHeight="1">
      <c r="A276" s="142"/>
      <c r="B276" s="142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89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ht="15.75" customHeight="1">
      <c r="A277" s="142"/>
      <c r="B277" s="142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89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ht="15.75" customHeight="1">
      <c r="A278" s="142"/>
      <c r="B278" s="142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89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ht="15.75" customHeight="1">
      <c r="A279" s="142"/>
      <c r="B279" s="142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89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ht="15.75" customHeight="1">
      <c r="A280" s="142"/>
      <c r="B280" s="142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89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ht="15.75" customHeight="1">
      <c r="A281" s="142"/>
      <c r="B281" s="142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89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ht="15.75" customHeight="1">
      <c r="A282" s="142"/>
      <c r="B282" s="142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89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ht="15.75" customHeight="1">
      <c r="A283" s="142"/>
      <c r="B283" s="142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89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ht="15.75" customHeight="1">
      <c r="A284" s="142"/>
      <c r="B284" s="142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89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ht="15.75" customHeight="1">
      <c r="A285" s="142"/>
      <c r="B285" s="142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89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ht="15.75" customHeight="1">
      <c r="A286" s="142"/>
      <c r="B286" s="142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89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ht="15.75" customHeight="1">
      <c r="A287" s="142"/>
      <c r="B287" s="142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89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ht="15.75" customHeight="1">
      <c r="A288" s="142"/>
      <c r="B288" s="142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89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ht="15.75" customHeight="1">
      <c r="A289" s="142"/>
      <c r="B289" s="142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89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ht="15.75" customHeight="1">
      <c r="A290" s="142"/>
      <c r="B290" s="142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89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ht="15.75" customHeight="1">
      <c r="A291" s="142"/>
      <c r="B291" s="142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89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ht="15.75" customHeight="1">
      <c r="A292" s="142"/>
      <c r="B292" s="142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89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ht="15.75" customHeight="1">
      <c r="A293" s="142"/>
      <c r="B293" s="142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89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ht="15.75" customHeight="1">
      <c r="A294" s="142"/>
      <c r="B294" s="142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89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ht="15.75" customHeight="1">
      <c r="A295" s="142"/>
      <c r="B295" s="142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89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ht="15.75" customHeight="1">
      <c r="A296" s="142"/>
      <c r="B296" s="142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89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ht="15.75" customHeight="1">
      <c r="A297" s="142"/>
      <c r="B297" s="142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89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ht="15.75" customHeight="1">
      <c r="A298" s="142"/>
      <c r="B298" s="142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89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ht="15.75" customHeight="1">
      <c r="A299" s="142"/>
      <c r="B299" s="142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89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ht="15.75" customHeight="1">
      <c r="A300" s="142"/>
      <c r="B300" s="142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89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ht="15.75" customHeight="1">
      <c r="A301" s="142"/>
      <c r="B301" s="142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89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ht="15.75" customHeight="1">
      <c r="A302" s="142"/>
      <c r="B302" s="142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89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ht="15.75" customHeight="1">
      <c r="A303" s="142"/>
      <c r="B303" s="142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89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ht="15.75" customHeight="1">
      <c r="A304" s="142"/>
      <c r="B304" s="142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89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ht="15.75" customHeight="1">
      <c r="A305" s="142"/>
      <c r="B305" s="142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89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ht="15.75" customHeight="1">
      <c r="A306" s="142"/>
      <c r="B306" s="142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89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ht="15.75" customHeight="1">
      <c r="A307" s="142"/>
      <c r="B307" s="142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89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ht="15.75" customHeight="1">
      <c r="A308" s="142"/>
      <c r="B308" s="142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89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ht="15.75" customHeight="1">
      <c r="A309" s="142"/>
      <c r="B309" s="142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89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ht="15.75" customHeight="1">
      <c r="A310" s="142"/>
      <c r="B310" s="142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89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ht="15.75" customHeight="1">
      <c r="A311" s="142"/>
      <c r="B311" s="142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89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ht="15.75" customHeight="1">
      <c r="A312" s="142"/>
      <c r="B312" s="142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89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ht="15.75" customHeight="1">
      <c r="A313" s="142"/>
      <c r="B313" s="142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89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ht="15.75" customHeight="1">
      <c r="A314" s="142"/>
      <c r="B314" s="142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89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ht="15.75" customHeight="1">
      <c r="A315" s="142"/>
      <c r="B315" s="142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89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ht="15.75" customHeight="1">
      <c r="A316" s="142"/>
      <c r="B316" s="142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89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ht="15.75" customHeight="1">
      <c r="A317" s="142"/>
      <c r="B317" s="142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89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ht="15.75" customHeight="1">
      <c r="A318" s="142"/>
      <c r="B318" s="142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89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ht="15.75" customHeight="1">
      <c r="A319" s="142"/>
      <c r="B319" s="142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89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ht="15.75" customHeight="1">
      <c r="A320" s="142"/>
      <c r="B320" s="142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89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ht="15.75" customHeight="1">
      <c r="A321" s="142"/>
      <c r="B321" s="142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89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ht="15.75" customHeight="1">
      <c r="A322" s="142"/>
      <c r="B322" s="142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89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ht="15.75" customHeight="1">
      <c r="A323" s="142"/>
      <c r="B323" s="142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89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ht="15.75" customHeight="1">
      <c r="A324" s="142"/>
      <c r="B324" s="142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89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ht="15.75" customHeight="1">
      <c r="A325" s="142"/>
      <c r="B325" s="142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89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ht="15.75" customHeight="1">
      <c r="A326" s="142"/>
      <c r="B326" s="142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89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ht="15.75" customHeight="1">
      <c r="A327" s="142"/>
      <c r="B327" s="142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89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ht="15.75" customHeight="1">
      <c r="A328" s="142"/>
      <c r="B328" s="142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89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ht="15.75" customHeight="1">
      <c r="A329" s="142"/>
      <c r="B329" s="142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89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ht="15.75" customHeight="1">
      <c r="A330" s="142"/>
      <c r="B330" s="142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89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ht="15.75" customHeight="1">
      <c r="A331" s="142"/>
      <c r="B331" s="142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89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ht="15.75" customHeight="1">
      <c r="A332" s="142"/>
      <c r="B332" s="142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89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ht="15.75" customHeight="1">
      <c r="A333" s="142"/>
      <c r="B333" s="142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89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ht="15.75" customHeight="1">
      <c r="A334" s="142"/>
      <c r="B334" s="142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89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ht="15.75" customHeight="1">
      <c r="A335" s="142"/>
      <c r="B335" s="142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89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ht="15.75" customHeight="1">
      <c r="A336" s="142"/>
      <c r="B336" s="142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89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ht="15.75" customHeight="1">
      <c r="A337" s="142"/>
      <c r="B337" s="142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89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ht="15.75" customHeight="1">
      <c r="A338" s="142"/>
      <c r="B338" s="142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89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ht="15.75" customHeight="1">
      <c r="A339" s="142"/>
      <c r="B339" s="142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89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ht="15.75" customHeight="1">
      <c r="A340" s="142"/>
      <c r="B340" s="142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89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ht="15.75" customHeight="1">
      <c r="A341" s="142"/>
      <c r="B341" s="142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89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ht="15.75" customHeight="1">
      <c r="A342" s="142"/>
      <c r="B342" s="142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89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ht="15.75" customHeight="1">
      <c r="A343" s="142"/>
      <c r="B343" s="142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89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ht="15.75" customHeight="1">
      <c r="A344" s="142"/>
      <c r="B344" s="142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89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ht="15.75" customHeight="1">
      <c r="A345" s="142"/>
      <c r="B345" s="142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89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ht="15.75" customHeight="1">
      <c r="A346" s="142"/>
      <c r="B346" s="142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89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ht="15.75" customHeight="1">
      <c r="A347" s="142"/>
      <c r="B347" s="142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89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ht="15.75" customHeight="1">
      <c r="A348" s="142"/>
      <c r="B348" s="142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89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ht="15.75" customHeight="1">
      <c r="A349" s="142"/>
      <c r="B349" s="142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89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ht="15.75" customHeight="1">
      <c r="A350" s="142"/>
      <c r="B350" s="142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89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ht="15.75" customHeight="1">
      <c r="A351" s="142"/>
      <c r="B351" s="142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89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ht="15.75" customHeight="1">
      <c r="A352" s="142"/>
      <c r="B352" s="142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89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ht="15.75" customHeight="1">
      <c r="A353" s="142"/>
      <c r="B353" s="142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89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ht="15.75" customHeight="1">
      <c r="A354" s="142"/>
      <c r="B354" s="142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89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ht="15.75" customHeight="1">
      <c r="A355" s="142"/>
      <c r="B355" s="142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89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ht="15.75" customHeight="1">
      <c r="A356" s="142"/>
      <c r="B356" s="142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89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ht="15.75" customHeight="1">
      <c r="A357" s="142"/>
      <c r="B357" s="142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89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ht="15.75" customHeight="1">
      <c r="A358" s="142"/>
      <c r="B358" s="142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89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ht="15.75" customHeight="1">
      <c r="A359" s="142"/>
      <c r="B359" s="142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89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ht="15.75" customHeight="1">
      <c r="A360" s="142"/>
      <c r="B360" s="142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89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ht="15.75" customHeight="1">
      <c r="A361" s="142"/>
      <c r="B361" s="142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89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ht="15.75" customHeight="1">
      <c r="A362" s="142"/>
      <c r="B362" s="142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89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ht="15.75" customHeight="1">
      <c r="A363" s="142"/>
      <c r="B363" s="142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89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ht="15.75" customHeight="1">
      <c r="A364" s="142"/>
      <c r="B364" s="142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89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ht="15.75" customHeight="1">
      <c r="A365" s="142"/>
      <c r="B365" s="142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89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ht="15.75" customHeight="1">
      <c r="A366" s="142"/>
      <c r="B366" s="142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89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ht="15.75" customHeight="1">
      <c r="A367" s="142"/>
      <c r="B367" s="142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89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ht="15.75" customHeight="1">
      <c r="A368" s="142"/>
      <c r="B368" s="142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89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ht="15.75" customHeight="1">
      <c r="A369" s="142"/>
      <c r="B369" s="142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89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ht="15.75" customHeight="1">
      <c r="A370" s="142"/>
      <c r="B370" s="142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89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ht="15.75" customHeight="1">
      <c r="A371" s="142"/>
      <c r="B371" s="142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89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ht="15.75" customHeight="1">
      <c r="A372" s="142"/>
      <c r="B372" s="142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89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ht="15.75" customHeight="1">
      <c r="A373" s="142"/>
      <c r="B373" s="142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89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ht="15.75" customHeight="1">
      <c r="A374" s="142"/>
      <c r="B374" s="142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89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ht="15.75" customHeight="1">
      <c r="A375" s="142"/>
      <c r="B375" s="142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89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ht="15.75" customHeight="1">
      <c r="A376" s="142"/>
      <c r="B376" s="142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89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ht="15.75" customHeight="1">
      <c r="A377" s="142"/>
      <c r="B377" s="142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89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ht="15.75" customHeight="1">
      <c r="A378" s="142"/>
      <c r="B378" s="142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89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ht="15.75" customHeight="1">
      <c r="A379" s="142"/>
      <c r="B379" s="142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89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ht="15.75" customHeight="1">
      <c r="A380" s="142"/>
      <c r="B380" s="142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89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ht="15.75" customHeight="1">
      <c r="A381" s="142"/>
      <c r="B381" s="142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89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ht="15.75" customHeight="1">
      <c r="A382" s="142"/>
      <c r="B382" s="142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89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ht="15.75" customHeight="1">
      <c r="A383" s="142"/>
      <c r="B383" s="142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89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ht="15.75" customHeight="1">
      <c r="A384" s="142"/>
      <c r="B384" s="142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89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ht="15.75" customHeight="1">
      <c r="A385" s="142"/>
      <c r="B385" s="142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89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ht="15.75" customHeight="1">
      <c r="A386" s="142"/>
      <c r="B386" s="142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89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ht="15.75" customHeight="1">
      <c r="A387" s="142"/>
      <c r="B387" s="142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89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ht="15.75" customHeight="1">
      <c r="A388" s="142"/>
      <c r="B388" s="142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89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ht="15.75" customHeight="1">
      <c r="A389" s="142"/>
      <c r="B389" s="142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89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ht="15.75" customHeight="1">
      <c r="A390" s="142"/>
      <c r="B390" s="142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89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ht="15.75" customHeight="1">
      <c r="A391" s="142"/>
      <c r="B391" s="142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89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ht="15.75" customHeight="1">
      <c r="A392" s="142"/>
      <c r="B392" s="142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89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ht="15.75" customHeight="1">
      <c r="A393" s="142"/>
      <c r="B393" s="142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89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ht="15.75" customHeight="1">
      <c r="A394" s="142"/>
      <c r="B394" s="142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89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ht="15.75" customHeight="1">
      <c r="A395" s="142"/>
      <c r="B395" s="142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89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ht="15.75" customHeight="1">
      <c r="A396" s="142"/>
      <c r="B396" s="142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89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ht="15.75" customHeight="1">
      <c r="A397" s="142"/>
      <c r="B397" s="142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89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ht="15.75" customHeight="1">
      <c r="A398" s="142"/>
      <c r="B398" s="142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89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ht="15.75" customHeight="1">
      <c r="A399" s="142"/>
      <c r="B399" s="142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89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ht="15.75" customHeight="1">
      <c r="A400" s="142"/>
      <c r="B400" s="142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89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ht="15.75" customHeight="1">
      <c r="A401" s="142"/>
      <c r="B401" s="142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89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ht="15.75" customHeight="1">
      <c r="A402" s="142"/>
      <c r="B402" s="142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89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ht="15.75" customHeight="1">
      <c r="A403" s="142"/>
      <c r="B403" s="142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89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ht="15.75" customHeight="1">
      <c r="A404" s="142"/>
      <c r="B404" s="142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89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ht="15.75" customHeight="1">
      <c r="A405" s="142"/>
      <c r="B405" s="142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89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ht="15.75" customHeight="1">
      <c r="A406" s="142"/>
      <c r="B406" s="142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89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ht="15.75" customHeight="1">
      <c r="A407" s="142"/>
      <c r="B407" s="142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89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ht="15.75" customHeight="1">
      <c r="A408" s="142"/>
      <c r="B408" s="142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89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ht="15.75" customHeight="1">
      <c r="A409" s="142"/>
      <c r="B409" s="142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89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ht="15.75" customHeight="1">
      <c r="A410" s="142"/>
      <c r="B410" s="142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89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ht="15.75" customHeight="1">
      <c r="A411" s="142"/>
      <c r="B411" s="142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89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ht="15.75" customHeight="1">
      <c r="A412" s="142"/>
      <c r="B412" s="142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89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ht="15.75" customHeight="1">
      <c r="A413" s="142"/>
      <c r="B413" s="142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89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ht="15.75" customHeight="1">
      <c r="A414" s="142"/>
      <c r="B414" s="142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89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ht="15.75" customHeight="1">
      <c r="A415" s="142"/>
      <c r="B415" s="142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89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ht="15.75" customHeight="1">
      <c r="A416" s="142"/>
      <c r="B416" s="142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89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ht="15.75" customHeight="1">
      <c r="A417" s="142"/>
      <c r="B417" s="142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89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ht="15.75" customHeight="1">
      <c r="A418" s="142"/>
      <c r="B418" s="142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89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ht="15.75" customHeight="1">
      <c r="A419" s="142"/>
      <c r="B419" s="142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89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ht="15.75" customHeight="1">
      <c r="A420" s="142"/>
      <c r="B420" s="142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89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ht="15.75" customHeight="1">
      <c r="A421" s="142"/>
      <c r="B421" s="142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89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ht="15.75" customHeight="1">
      <c r="A422" s="142"/>
      <c r="B422" s="142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89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ht="15.75" customHeight="1">
      <c r="A423" s="142"/>
      <c r="B423" s="142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89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ht="15.75" customHeight="1">
      <c r="A424" s="142"/>
      <c r="B424" s="142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89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ht="15.75" customHeight="1">
      <c r="A425" s="142"/>
      <c r="B425" s="142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89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ht="15.75" customHeight="1">
      <c r="A426" s="142"/>
      <c r="B426" s="142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89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ht="15.75" customHeight="1">
      <c r="A427" s="142"/>
      <c r="B427" s="142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89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ht="15.75" customHeight="1">
      <c r="A428" s="142"/>
      <c r="B428" s="142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89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ht="15.75" customHeight="1">
      <c r="A429" s="142"/>
      <c r="B429" s="142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89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ht="15.75" customHeight="1">
      <c r="A430" s="142"/>
      <c r="B430" s="142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89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ht="15.75" customHeight="1">
      <c r="A431" s="142"/>
      <c r="B431" s="142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89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ht="15.75" customHeight="1">
      <c r="A432" s="142"/>
      <c r="B432" s="142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89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ht="15.75" customHeight="1">
      <c r="A433" s="142"/>
      <c r="B433" s="142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89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ht="15.75" customHeight="1">
      <c r="A434" s="142"/>
      <c r="B434" s="142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89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ht="15.75" customHeight="1">
      <c r="A435" s="142"/>
      <c r="B435" s="142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89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ht="15.75" customHeight="1">
      <c r="A436" s="142"/>
      <c r="B436" s="142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89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ht="15.75" customHeight="1">
      <c r="A437" s="142"/>
      <c r="B437" s="142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89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ht="15.75" customHeight="1">
      <c r="A438" s="142"/>
      <c r="B438" s="142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89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ht="15.75" customHeight="1">
      <c r="A439" s="142"/>
      <c r="B439" s="142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89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ht="15.75" customHeight="1">
      <c r="A440" s="142"/>
      <c r="B440" s="142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89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ht="15.75" customHeight="1">
      <c r="A441" s="142"/>
      <c r="B441" s="142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89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ht="15.75" customHeight="1">
      <c r="A442" s="142"/>
      <c r="B442" s="142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89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ht="15.75" customHeight="1">
      <c r="A443" s="142"/>
      <c r="B443" s="142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89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ht="15.75" customHeight="1">
      <c r="A444" s="142"/>
      <c r="B444" s="142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89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ht="15.75" customHeight="1">
      <c r="A445" s="142"/>
      <c r="B445" s="142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89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ht="15.75" customHeight="1">
      <c r="A446" s="142"/>
      <c r="B446" s="142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89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ht="15.75" customHeight="1">
      <c r="A447" s="142"/>
      <c r="B447" s="142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89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ht="15.75" customHeight="1">
      <c r="A448" s="142"/>
      <c r="B448" s="142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89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ht="15.75" customHeight="1">
      <c r="A449" s="142"/>
      <c r="B449" s="142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89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ht="15.75" customHeight="1">
      <c r="A450" s="142"/>
      <c r="B450" s="142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89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ht="15.75" customHeight="1">
      <c r="A451" s="142"/>
      <c r="B451" s="142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89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ht="15.75" customHeight="1">
      <c r="A452" s="142"/>
      <c r="B452" s="142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89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ht="15.75" customHeight="1">
      <c r="A453" s="142"/>
      <c r="B453" s="142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89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ht="15.75" customHeight="1">
      <c r="A454" s="142"/>
      <c r="B454" s="142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89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ht="15.75" customHeight="1">
      <c r="A455" s="142"/>
      <c r="B455" s="142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89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ht="15.75" customHeight="1">
      <c r="A456" s="142"/>
      <c r="B456" s="142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89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ht="15.75" customHeight="1">
      <c r="A457" s="142"/>
      <c r="B457" s="142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89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ht="15.75" customHeight="1">
      <c r="A458" s="142"/>
      <c r="B458" s="142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89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ht="15.75" customHeight="1">
      <c r="A459" s="142"/>
      <c r="B459" s="142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89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ht="15.75" customHeight="1">
      <c r="A460" s="142"/>
      <c r="B460" s="142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89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ht="15.75" customHeight="1">
      <c r="A461" s="142"/>
      <c r="B461" s="142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89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ht="15.75" customHeight="1">
      <c r="A462" s="142"/>
      <c r="B462" s="142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89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ht="15.75" customHeight="1">
      <c r="A463" s="142"/>
      <c r="B463" s="142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89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ht="15.75" customHeight="1">
      <c r="A464" s="142"/>
      <c r="B464" s="142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89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ht="15.75" customHeight="1">
      <c r="A465" s="142"/>
      <c r="B465" s="142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89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ht="15.75" customHeight="1">
      <c r="A466" s="142"/>
      <c r="B466" s="142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89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ht="15.75" customHeight="1">
      <c r="A467" s="142"/>
      <c r="B467" s="142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89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ht="15.75" customHeight="1">
      <c r="A468" s="142"/>
      <c r="B468" s="142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89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ht="15.75" customHeight="1">
      <c r="A469" s="142"/>
      <c r="B469" s="142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89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ht="15.75" customHeight="1">
      <c r="A470" s="142"/>
      <c r="B470" s="142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89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ht="15.75" customHeight="1">
      <c r="A471" s="142"/>
      <c r="B471" s="142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89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ht="15.75" customHeight="1">
      <c r="A472" s="142"/>
      <c r="B472" s="142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89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ht="15.75" customHeight="1">
      <c r="A473" s="142"/>
      <c r="B473" s="142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89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ht="15.75" customHeight="1">
      <c r="A474" s="142"/>
      <c r="B474" s="142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89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ht="15.75" customHeight="1">
      <c r="A475" s="142"/>
      <c r="B475" s="142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89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ht="15.75" customHeight="1">
      <c r="A476" s="142"/>
      <c r="B476" s="142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89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ht="15.75" customHeight="1">
      <c r="A477" s="142"/>
      <c r="B477" s="142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89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ht="15.75" customHeight="1">
      <c r="A478" s="142"/>
      <c r="B478" s="142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89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ht="15.75" customHeight="1">
      <c r="A479" s="142"/>
      <c r="B479" s="142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89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ht="15.75" customHeight="1">
      <c r="A480" s="142"/>
      <c r="B480" s="142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89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ht="15.75" customHeight="1">
      <c r="A481" s="142"/>
      <c r="B481" s="142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89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ht="15.75" customHeight="1">
      <c r="A482" s="142"/>
      <c r="B482" s="142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89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ht="15.75" customHeight="1">
      <c r="A483" s="142"/>
      <c r="B483" s="142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89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ht="15.75" customHeight="1">
      <c r="A484" s="142"/>
      <c r="B484" s="142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89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ht="15.75" customHeight="1">
      <c r="A485" s="142"/>
      <c r="B485" s="142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89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ht="15.75" customHeight="1">
      <c r="A486" s="142"/>
      <c r="B486" s="142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89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ht="15.75" customHeight="1">
      <c r="A487" s="142"/>
      <c r="B487" s="142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89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ht="15.75" customHeight="1">
      <c r="A488" s="142"/>
      <c r="B488" s="142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89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ht="15.75" customHeight="1">
      <c r="A489" s="142"/>
      <c r="B489" s="142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89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ht="15.75" customHeight="1">
      <c r="A490" s="142"/>
      <c r="B490" s="142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89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ht="15.75" customHeight="1">
      <c r="A491" s="142"/>
      <c r="B491" s="142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89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ht="15.75" customHeight="1">
      <c r="A492" s="142"/>
      <c r="B492" s="142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89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ht="15.75" customHeight="1">
      <c r="A493" s="142"/>
      <c r="B493" s="142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89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ht="15.75" customHeight="1">
      <c r="A494" s="142"/>
      <c r="B494" s="142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89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ht="15.75" customHeight="1">
      <c r="A495" s="142"/>
      <c r="B495" s="142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89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ht="15.75" customHeight="1">
      <c r="A496" s="142"/>
      <c r="B496" s="142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89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ht="15.75" customHeight="1">
      <c r="A497" s="142"/>
      <c r="B497" s="142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89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ht="15.75" customHeight="1">
      <c r="A498" s="142"/>
      <c r="B498" s="142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89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ht="15.75" customHeight="1">
      <c r="A499" s="142"/>
      <c r="B499" s="142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89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ht="15.75" customHeight="1">
      <c r="A500" s="142"/>
      <c r="B500" s="142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89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ht="15.75" customHeight="1">
      <c r="A501" s="142"/>
      <c r="B501" s="142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89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ht="15.75" customHeight="1">
      <c r="A502" s="142"/>
      <c r="B502" s="142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89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ht="15.75" customHeight="1">
      <c r="A503" s="142"/>
      <c r="B503" s="142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89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ht="15.75" customHeight="1">
      <c r="A504" s="142"/>
      <c r="B504" s="142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89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ht="15.75" customHeight="1">
      <c r="A505" s="142"/>
      <c r="B505" s="142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89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ht="15.75" customHeight="1">
      <c r="A506" s="142"/>
      <c r="B506" s="142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89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ht="15.75" customHeight="1">
      <c r="A507" s="142"/>
      <c r="B507" s="142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89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ht="15.75" customHeight="1">
      <c r="A508" s="142"/>
      <c r="B508" s="142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89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ht="15.75" customHeight="1">
      <c r="A509" s="142"/>
      <c r="B509" s="142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89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ht="15.75" customHeight="1">
      <c r="A510" s="142"/>
      <c r="B510" s="142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89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ht="15.75" customHeight="1">
      <c r="A511" s="142"/>
      <c r="B511" s="142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89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ht="15.75" customHeight="1">
      <c r="A512" s="142"/>
      <c r="B512" s="142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89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ht="15.75" customHeight="1">
      <c r="A513" s="142"/>
      <c r="B513" s="142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89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ht="15.75" customHeight="1">
      <c r="A514" s="142"/>
      <c r="B514" s="142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89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ht="15.75" customHeight="1">
      <c r="A515" s="142"/>
      <c r="B515" s="142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89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ht="15.75" customHeight="1">
      <c r="A516" s="142"/>
      <c r="B516" s="142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89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ht="15.75" customHeight="1">
      <c r="A517" s="142"/>
      <c r="B517" s="142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89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ht="15.75" customHeight="1">
      <c r="A518" s="142"/>
      <c r="B518" s="142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89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ht="15.75" customHeight="1">
      <c r="A519" s="142"/>
      <c r="B519" s="142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89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ht="15.75" customHeight="1">
      <c r="A520" s="142"/>
      <c r="B520" s="142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89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ht="15.75" customHeight="1">
      <c r="A521" s="142"/>
      <c r="B521" s="142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89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ht="15.75" customHeight="1">
      <c r="A522" s="142"/>
      <c r="B522" s="142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89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ht="15.75" customHeight="1">
      <c r="A523" s="142"/>
      <c r="B523" s="142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89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ht="15.75" customHeight="1">
      <c r="A524" s="142"/>
      <c r="B524" s="142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89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ht="15.75" customHeight="1">
      <c r="A525" s="142"/>
      <c r="B525" s="142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89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ht="15.75" customHeight="1">
      <c r="A526" s="142"/>
      <c r="B526" s="142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89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ht="15.75" customHeight="1">
      <c r="A527" s="142"/>
      <c r="B527" s="142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89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ht="15.75" customHeight="1">
      <c r="A528" s="142"/>
      <c r="B528" s="142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89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ht="15.75" customHeight="1">
      <c r="A529" s="142"/>
      <c r="B529" s="142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89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ht="15.75" customHeight="1">
      <c r="A530" s="142"/>
      <c r="B530" s="142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89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ht="15.75" customHeight="1">
      <c r="A531" s="142"/>
      <c r="B531" s="142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89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ht="15.75" customHeight="1">
      <c r="A532" s="142"/>
      <c r="B532" s="142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89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ht="15.75" customHeight="1">
      <c r="A533" s="142"/>
      <c r="B533" s="142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89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ht="15.75" customHeight="1">
      <c r="A534" s="142"/>
      <c r="B534" s="142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89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ht="15.75" customHeight="1">
      <c r="A535" s="142"/>
      <c r="B535" s="142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89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ht="15.75" customHeight="1">
      <c r="A536" s="142"/>
      <c r="B536" s="142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89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ht="15.75" customHeight="1">
      <c r="A537" s="142"/>
      <c r="B537" s="142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89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ht="15.75" customHeight="1">
      <c r="A538" s="142"/>
      <c r="B538" s="142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89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ht="15.75" customHeight="1">
      <c r="A539" s="142"/>
      <c r="B539" s="142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89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ht="15.75" customHeight="1">
      <c r="A540" s="142"/>
      <c r="B540" s="142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89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ht="15.75" customHeight="1">
      <c r="A541" s="142"/>
      <c r="B541" s="142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89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ht="15.75" customHeight="1">
      <c r="A542" s="142"/>
      <c r="B542" s="142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89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ht="15.75" customHeight="1">
      <c r="A543" s="142"/>
      <c r="B543" s="142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89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ht="15.75" customHeight="1">
      <c r="A544" s="142"/>
      <c r="B544" s="142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89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ht="15.75" customHeight="1">
      <c r="A545" s="142"/>
      <c r="B545" s="142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89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ht="15.75" customHeight="1">
      <c r="A546" s="142"/>
      <c r="B546" s="142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89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ht="15.75" customHeight="1">
      <c r="A547" s="142"/>
      <c r="B547" s="142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89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ht="15.75" customHeight="1">
      <c r="A548" s="142"/>
      <c r="B548" s="142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89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ht="15.75" customHeight="1">
      <c r="A549" s="142"/>
      <c r="B549" s="142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89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ht="15.75" customHeight="1">
      <c r="A550" s="142"/>
      <c r="B550" s="142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89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ht="15.75" customHeight="1">
      <c r="A551" s="142"/>
      <c r="B551" s="142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89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ht="15.75" customHeight="1">
      <c r="A552" s="142"/>
      <c r="B552" s="142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89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ht="15.75" customHeight="1">
      <c r="A553" s="142"/>
      <c r="B553" s="142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89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ht="15.75" customHeight="1">
      <c r="A554" s="142"/>
      <c r="B554" s="142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89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ht="15.75" customHeight="1">
      <c r="A555" s="142"/>
      <c r="B555" s="142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89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ht="15.75" customHeight="1">
      <c r="A556" s="142"/>
      <c r="B556" s="142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89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ht="15.75" customHeight="1">
      <c r="A557" s="142"/>
      <c r="B557" s="142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89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ht="15.75" customHeight="1">
      <c r="A558" s="142"/>
      <c r="B558" s="142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89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ht="15.75" customHeight="1">
      <c r="A559" s="142"/>
      <c r="B559" s="142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89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ht="15.75" customHeight="1">
      <c r="A560" s="142"/>
      <c r="B560" s="142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89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ht="15.75" customHeight="1">
      <c r="A561" s="142"/>
      <c r="B561" s="142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89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ht="15.75" customHeight="1">
      <c r="A562" s="142"/>
      <c r="B562" s="142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89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ht="15.75" customHeight="1">
      <c r="A563" s="142"/>
      <c r="B563" s="142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89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ht="15.75" customHeight="1">
      <c r="A564" s="142"/>
      <c r="B564" s="142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89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ht="15.75" customHeight="1">
      <c r="A565" s="142"/>
      <c r="B565" s="142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89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ht="15.75" customHeight="1">
      <c r="A566" s="142"/>
      <c r="B566" s="142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89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ht="15.75" customHeight="1">
      <c r="A567" s="142"/>
      <c r="B567" s="142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89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ht="15.75" customHeight="1">
      <c r="A568" s="142"/>
      <c r="B568" s="142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89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ht="15.75" customHeight="1">
      <c r="A569" s="142"/>
      <c r="B569" s="142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89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ht="15.75" customHeight="1">
      <c r="A570" s="142"/>
      <c r="B570" s="142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89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ht="15.75" customHeight="1">
      <c r="A571" s="142"/>
      <c r="B571" s="142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89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ht="15.75" customHeight="1">
      <c r="A572" s="142"/>
      <c r="B572" s="142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89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ht="15.75" customHeight="1">
      <c r="A573" s="142"/>
      <c r="B573" s="142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89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ht="15.75" customHeight="1">
      <c r="A574" s="142"/>
      <c r="B574" s="142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89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ht="15.75" customHeight="1">
      <c r="A575" s="142"/>
      <c r="B575" s="142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89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ht="15.75" customHeight="1">
      <c r="A576" s="142"/>
      <c r="B576" s="142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89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ht="15.75" customHeight="1">
      <c r="A577" s="142"/>
      <c r="B577" s="142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89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ht="15.75" customHeight="1">
      <c r="A578" s="142"/>
      <c r="B578" s="142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89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ht="15.75" customHeight="1">
      <c r="A579" s="142"/>
      <c r="B579" s="142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89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ht="15.75" customHeight="1">
      <c r="A580" s="142"/>
      <c r="B580" s="142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89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ht="15.75" customHeight="1">
      <c r="A581" s="142"/>
      <c r="B581" s="142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89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ht="15.75" customHeight="1">
      <c r="A582" s="142"/>
      <c r="B582" s="142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89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ht="15.75" customHeight="1">
      <c r="A583" s="142"/>
      <c r="B583" s="142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89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ht="15.75" customHeight="1">
      <c r="A584" s="142"/>
      <c r="B584" s="142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89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ht="15.75" customHeight="1">
      <c r="A585" s="142"/>
      <c r="B585" s="142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89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ht="15.75" customHeight="1">
      <c r="A586" s="142"/>
      <c r="B586" s="142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89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ht="15.75" customHeight="1">
      <c r="A587" s="142"/>
      <c r="B587" s="142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89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ht="15.75" customHeight="1">
      <c r="A588" s="142"/>
      <c r="B588" s="142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89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ht="15.75" customHeight="1">
      <c r="A589" s="142"/>
      <c r="B589" s="142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89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ht="15.75" customHeight="1">
      <c r="A590" s="142"/>
      <c r="B590" s="142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89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ht="15.75" customHeight="1">
      <c r="A591" s="142"/>
      <c r="B591" s="142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89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ht="15.75" customHeight="1">
      <c r="A592" s="142"/>
      <c r="B592" s="142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89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ht="15.75" customHeight="1">
      <c r="A593" s="142"/>
      <c r="B593" s="142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89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ht="15.75" customHeight="1">
      <c r="A594" s="142"/>
      <c r="B594" s="142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89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ht="15.75" customHeight="1">
      <c r="A595" s="142"/>
      <c r="B595" s="142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89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ht="15.75" customHeight="1">
      <c r="A596" s="142"/>
      <c r="B596" s="142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89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ht="15.75" customHeight="1">
      <c r="A597" s="142"/>
      <c r="B597" s="142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89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ht="15.75" customHeight="1">
      <c r="A598" s="142"/>
      <c r="B598" s="142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89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ht="15.75" customHeight="1">
      <c r="A599" s="142"/>
      <c r="B599" s="142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89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ht="15.75" customHeight="1">
      <c r="A600" s="142"/>
      <c r="B600" s="142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89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ht="15.75" customHeight="1">
      <c r="A601" s="142"/>
      <c r="B601" s="142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89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ht="15.75" customHeight="1">
      <c r="A602" s="142"/>
      <c r="B602" s="142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89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ht="15.75" customHeight="1">
      <c r="A603" s="142"/>
      <c r="B603" s="142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89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ht="15.75" customHeight="1">
      <c r="A604" s="142"/>
      <c r="B604" s="142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89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ht="15.75" customHeight="1">
      <c r="A605" s="142"/>
      <c r="B605" s="142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89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ht="15.75" customHeight="1">
      <c r="A606" s="142"/>
      <c r="B606" s="142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89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ht="15.75" customHeight="1">
      <c r="A607" s="142"/>
      <c r="B607" s="142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89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ht="15.75" customHeight="1">
      <c r="A608" s="142"/>
      <c r="B608" s="142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89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ht="15.75" customHeight="1">
      <c r="A609" s="142"/>
      <c r="B609" s="142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89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ht="15.75" customHeight="1">
      <c r="A610" s="142"/>
      <c r="B610" s="142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89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ht="15.75" customHeight="1">
      <c r="A611" s="142"/>
      <c r="B611" s="142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89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ht="15.75" customHeight="1">
      <c r="A612" s="142"/>
      <c r="B612" s="142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89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ht="15.75" customHeight="1">
      <c r="A613" s="142"/>
      <c r="B613" s="142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89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ht="15.75" customHeight="1">
      <c r="A614" s="142"/>
      <c r="B614" s="142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89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ht="15.75" customHeight="1">
      <c r="A615" s="142"/>
      <c r="B615" s="142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89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ht="15.75" customHeight="1">
      <c r="A616" s="142"/>
      <c r="B616" s="142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89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ht="15.75" customHeight="1">
      <c r="A617" s="142"/>
      <c r="B617" s="142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89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ht="15.75" customHeight="1">
      <c r="A618" s="142"/>
      <c r="B618" s="142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89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ht="15.75" customHeight="1">
      <c r="A619" s="142"/>
      <c r="B619" s="142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89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ht="15.75" customHeight="1">
      <c r="A620" s="142"/>
      <c r="B620" s="142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89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ht="15.75" customHeight="1">
      <c r="A621" s="142"/>
      <c r="B621" s="142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89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ht="15.75" customHeight="1">
      <c r="A622" s="142"/>
      <c r="B622" s="142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89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ht="15.75" customHeight="1">
      <c r="A623" s="142"/>
      <c r="B623" s="142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89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ht="15.75" customHeight="1">
      <c r="A624" s="142"/>
      <c r="B624" s="142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89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ht="15.75" customHeight="1">
      <c r="A625" s="142"/>
      <c r="B625" s="142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89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ht="15.75" customHeight="1">
      <c r="A626" s="142"/>
      <c r="B626" s="142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89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ht="15.75" customHeight="1">
      <c r="A627" s="142"/>
      <c r="B627" s="142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89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ht="15.75" customHeight="1">
      <c r="A628" s="142"/>
      <c r="B628" s="142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89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ht="15.75" customHeight="1">
      <c r="A629" s="142"/>
      <c r="B629" s="142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89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ht="15.75" customHeight="1">
      <c r="A630" s="142"/>
      <c r="B630" s="142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89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ht="15.75" customHeight="1">
      <c r="A631" s="142"/>
      <c r="B631" s="142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89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ht="15.75" customHeight="1">
      <c r="A632" s="142"/>
      <c r="B632" s="142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89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ht="15.75" customHeight="1">
      <c r="A633" s="142"/>
      <c r="B633" s="142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89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ht="15.75" customHeight="1">
      <c r="A634" s="142"/>
      <c r="B634" s="142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89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ht="15.75" customHeight="1">
      <c r="A635" s="142"/>
      <c r="B635" s="142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89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ht="15.75" customHeight="1">
      <c r="A636" s="142"/>
      <c r="B636" s="142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89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ht="15.75" customHeight="1">
      <c r="A637" s="142"/>
      <c r="B637" s="142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89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ht="15.75" customHeight="1">
      <c r="A638" s="142"/>
      <c r="B638" s="142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89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ht="15.75" customHeight="1">
      <c r="A639" s="142"/>
      <c r="B639" s="142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89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ht="15.75" customHeight="1">
      <c r="A640" s="142"/>
      <c r="B640" s="142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89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ht="15.75" customHeight="1">
      <c r="A641" s="142"/>
      <c r="B641" s="142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89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ht="15.75" customHeight="1">
      <c r="A642" s="142"/>
      <c r="B642" s="142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89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ht="15.75" customHeight="1">
      <c r="A643" s="142"/>
      <c r="B643" s="142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89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ht="15.75" customHeight="1">
      <c r="A644" s="142"/>
      <c r="B644" s="142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89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ht="15.75" customHeight="1">
      <c r="A645" s="142"/>
      <c r="B645" s="142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89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ht="15.75" customHeight="1">
      <c r="A646" s="142"/>
      <c r="B646" s="142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89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ht="15.75" customHeight="1">
      <c r="A647" s="142"/>
      <c r="B647" s="142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89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ht="15.75" customHeight="1">
      <c r="A648" s="142"/>
      <c r="B648" s="142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89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ht="15.75" customHeight="1">
      <c r="A649" s="142"/>
      <c r="B649" s="142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89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ht="15.75" customHeight="1">
      <c r="A650" s="142"/>
      <c r="B650" s="142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89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ht="15.75" customHeight="1">
      <c r="A651" s="142"/>
      <c r="B651" s="142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89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ht="15.75" customHeight="1">
      <c r="A652" s="142"/>
      <c r="B652" s="142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89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ht="15.75" customHeight="1">
      <c r="A653" s="142"/>
      <c r="B653" s="142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89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ht="15.75" customHeight="1">
      <c r="A654" s="142"/>
      <c r="B654" s="142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89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ht="15.75" customHeight="1">
      <c r="A655" s="142"/>
      <c r="B655" s="142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89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ht="15.75" customHeight="1">
      <c r="A656" s="142"/>
      <c r="B656" s="142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89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ht="15.75" customHeight="1">
      <c r="A657" s="142"/>
      <c r="B657" s="142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89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ht="15.75" customHeight="1">
      <c r="A658" s="142"/>
      <c r="B658" s="142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89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ht="15.75" customHeight="1">
      <c r="A659" s="142"/>
      <c r="B659" s="142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89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ht="15.75" customHeight="1">
      <c r="A660" s="142"/>
      <c r="B660" s="142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89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ht="15.75" customHeight="1">
      <c r="A661" s="142"/>
      <c r="B661" s="142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89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ht="15.75" customHeight="1">
      <c r="A662" s="142"/>
      <c r="B662" s="142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89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ht="15.75" customHeight="1">
      <c r="A663" s="142"/>
      <c r="B663" s="142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89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ht="15.75" customHeight="1">
      <c r="A664" s="142"/>
      <c r="B664" s="142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89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ht="15.75" customHeight="1">
      <c r="A665" s="142"/>
      <c r="B665" s="142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89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ht="15.75" customHeight="1">
      <c r="A666" s="142"/>
      <c r="B666" s="142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89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ht="15.75" customHeight="1">
      <c r="A667" s="142"/>
      <c r="B667" s="142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89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ht="15.75" customHeight="1">
      <c r="A668" s="142"/>
      <c r="B668" s="142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89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ht="15.75" customHeight="1">
      <c r="A669" s="142"/>
      <c r="B669" s="142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89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ht="15.75" customHeight="1">
      <c r="A670" s="142"/>
      <c r="B670" s="142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89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ht="15.75" customHeight="1">
      <c r="A671" s="142"/>
      <c r="B671" s="142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89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ht="15.75" customHeight="1">
      <c r="A672" s="142"/>
      <c r="B672" s="142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89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ht="15.75" customHeight="1">
      <c r="A673" s="142"/>
      <c r="B673" s="142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89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ht="15.75" customHeight="1">
      <c r="A674" s="142"/>
      <c r="B674" s="142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89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ht="15.75" customHeight="1">
      <c r="A675" s="142"/>
      <c r="B675" s="142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89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ht="15.75" customHeight="1">
      <c r="A676" s="142"/>
      <c r="B676" s="142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89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ht="15.75" customHeight="1">
      <c r="A677" s="142"/>
      <c r="B677" s="142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89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ht="15.75" customHeight="1">
      <c r="A678" s="142"/>
      <c r="B678" s="142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89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ht="15.75" customHeight="1">
      <c r="A679" s="142"/>
      <c r="B679" s="142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89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ht="15.75" customHeight="1">
      <c r="A680" s="142"/>
      <c r="B680" s="142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89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ht="15.75" customHeight="1">
      <c r="A681" s="142"/>
      <c r="B681" s="142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89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ht="15.75" customHeight="1">
      <c r="A682" s="142"/>
      <c r="B682" s="142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89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ht="15.75" customHeight="1">
      <c r="A683" s="142"/>
      <c r="B683" s="142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89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ht="15.75" customHeight="1">
      <c r="A684" s="142"/>
      <c r="B684" s="142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89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ht="15.75" customHeight="1">
      <c r="A685" s="142"/>
      <c r="B685" s="142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89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ht="15.75" customHeight="1">
      <c r="A686" s="142"/>
      <c r="B686" s="142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89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ht="15.75" customHeight="1">
      <c r="A687" s="142"/>
      <c r="B687" s="142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89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ht="15.75" customHeight="1">
      <c r="A688" s="142"/>
      <c r="B688" s="142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89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ht="15.75" customHeight="1">
      <c r="A689" s="142"/>
      <c r="B689" s="142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89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ht="15.75" customHeight="1">
      <c r="A690" s="142"/>
      <c r="B690" s="142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89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ht="15.75" customHeight="1">
      <c r="A691" s="142"/>
      <c r="B691" s="142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89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ht="15.75" customHeight="1">
      <c r="A692" s="142"/>
      <c r="B692" s="142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89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ht="15.75" customHeight="1">
      <c r="A693" s="142"/>
      <c r="B693" s="142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89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ht="15.75" customHeight="1">
      <c r="A694" s="142"/>
      <c r="B694" s="142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89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ht="15.75" customHeight="1">
      <c r="A695" s="142"/>
      <c r="B695" s="142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89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ht="15.75" customHeight="1">
      <c r="A696" s="142"/>
      <c r="B696" s="142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89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ht="15.75" customHeight="1">
      <c r="A697" s="142"/>
      <c r="B697" s="142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89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ht="15.75" customHeight="1">
      <c r="A698" s="142"/>
      <c r="B698" s="142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89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ht="15.75" customHeight="1">
      <c r="A699" s="142"/>
      <c r="B699" s="142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89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ht="15.75" customHeight="1">
      <c r="A700" s="142"/>
      <c r="B700" s="142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89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ht="15.75" customHeight="1">
      <c r="A701" s="142"/>
      <c r="B701" s="142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89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ht="15.75" customHeight="1">
      <c r="A702" s="142"/>
      <c r="B702" s="142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89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ht="15.75" customHeight="1">
      <c r="A703" s="142"/>
      <c r="B703" s="142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89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ht="15.75" customHeight="1">
      <c r="A704" s="142"/>
      <c r="B704" s="142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89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ht="15.75" customHeight="1">
      <c r="A705" s="142"/>
      <c r="B705" s="142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89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ht="15.75" customHeight="1">
      <c r="A706" s="142"/>
      <c r="B706" s="142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89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ht="15.75" customHeight="1">
      <c r="A707" s="142"/>
      <c r="B707" s="142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89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ht="15.75" customHeight="1">
      <c r="A708" s="142"/>
      <c r="B708" s="142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89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ht="15.75" customHeight="1">
      <c r="A709" s="142"/>
      <c r="B709" s="142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89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ht="15.75" customHeight="1">
      <c r="A710" s="142"/>
      <c r="B710" s="142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89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ht="15.75" customHeight="1">
      <c r="A711" s="142"/>
      <c r="B711" s="142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89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ht="15.75" customHeight="1">
      <c r="A712" s="142"/>
      <c r="B712" s="142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89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ht="15.75" customHeight="1">
      <c r="A713" s="142"/>
      <c r="B713" s="142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89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ht="15.75" customHeight="1">
      <c r="A714" s="142"/>
      <c r="B714" s="142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89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ht="15.75" customHeight="1">
      <c r="A715" s="142"/>
      <c r="B715" s="142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89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ht="15.75" customHeight="1">
      <c r="A716" s="142"/>
      <c r="B716" s="142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89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ht="15.75" customHeight="1">
      <c r="A717" s="142"/>
      <c r="B717" s="142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89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ht="15.75" customHeight="1">
      <c r="A718" s="142"/>
      <c r="B718" s="142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89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ht="15.75" customHeight="1">
      <c r="A719" s="142"/>
      <c r="B719" s="142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89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ht="15.75" customHeight="1">
      <c r="A720" s="142"/>
      <c r="B720" s="142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89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 ht="15.75" customHeight="1">
      <c r="A721" s="142"/>
      <c r="B721" s="142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89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 ht="15.75" customHeight="1">
      <c r="A722" s="142"/>
      <c r="B722" s="142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89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 ht="15.75" customHeight="1">
      <c r="A723" s="142"/>
      <c r="B723" s="142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89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 ht="15.75" customHeight="1">
      <c r="A724" s="142"/>
      <c r="B724" s="142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89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 ht="15.75" customHeight="1">
      <c r="A725" s="142"/>
      <c r="B725" s="142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89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 ht="15.75" customHeight="1">
      <c r="A726" s="142"/>
      <c r="B726" s="142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89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 ht="15.75" customHeight="1">
      <c r="A727" s="142"/>
      <c r="B727" s="142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89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 ht="15.75" customHeight="1">
      <c r="A728" s="142"/>
      <c r="B728" s="142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89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 ht="15.75" customHeight="1">
      <c r="A729" s="142"/>
      <c r="B729" s="142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89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 ht="15.75" customHeight="1">
      <c r="A730" s="142"/>
      <c r="B730" s="142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89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 ht="15.75" customHeight="1">
      <c r="A731" s="142"/>
      <c r="B731" s="142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89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 ht="15.75" customHeight="1">
      <c r="A732" s="142"/>
      <c r="B732" s="142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89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 ht="15.75" customHeight="1">
      <c r="A733" s="142"/>
      <c r="B733" s="142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89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 ht="15.75" customHeight="1">
      <c r="A734" s="142"/>
      <c r="B734" s="142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89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 ht="15.75" customHeight="1">
      <c r="A735" s="142"/>
      <c r="B735" s="142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89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 ht="15.75" customHeight="1">
      <c r="A736" s="142"/>
      <c r="B736" s="142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89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 ht="15.75" customHeight="1">
      <c r="A737" s="142"/>
      <c r="B737" s="142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89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 ht="15.75" customHeight="1">
      <c r="A738" s="142"/>
      <c r="B738" s="142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89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 ht="15.75" customHeight="1">
      <c r="A739" s="142"/>
      <c r="B739" s="142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89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 ht="15.75" customHeight="1">
      <c r="A740" s="142"/>
      <c r="B740" s="142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89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 ht="15.75" customHeight="1">
      <c r="A741" s="142"/>
      <c r="B741" s="142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89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 ht="15.75" customHeight="1">
      <c r="A742" s="142"/>
      <c r="B742" s="142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89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 ht="15.75" customHeight="1">
      <c r="A743" s="142"/>
      <c r="B743" s="142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89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 ht="15.75" customHeight="1">
      <c r="A744" s="142"/>
      <c r="B744" s="142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89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 ht="15.75" customHeight="1">
      <c r="A745" s="142"/>
      <c r="B745" s="142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89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 ht="15.75" customHeight="1">
      <c r="A746" s="142"/>
      <c r="B746" s="142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89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 ht="15.75" customHeight="1">
      <c r="A747" s="142"/>
      <c r="B747" s="142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89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 ht="15.75" customHeight="1">
      <c r="A748" s="142"/>
      <c r="B748" s="142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89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 ht="15.75" customHeight="1">
      <c r="A749" s="142"/>
      <c r="B749" s="142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89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 ht="15.75" customHeight="1">
      <c r="A750" s="142"/>
      <c r="B750" s="142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89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 ht="15.75" customHeight="1">
      <c r="A751" s="142"/>
      <c r="B751" s="142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89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 ht="15.75" customHeight="1">
      <c r="A752" s="142"/>
      <c r="B752" s="142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89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 ht="15.75" customHeight="1">
      <c r="A753" s="142"/>
      <c r="B753" s="142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89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 ht="15.75" customHeight="1">
      <c r="A754" s="142"/>
      <c r="B754" s="142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89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 ht="15.75" customHeight="1">
      <c r="A755" s="142"/>
      <c r="B755" s="142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89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 ht="15.75" customHeight="1">
      <c r="A756" s="142"/>
      <c r="B756" s="142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89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 ht="15.75" customHeight="1">
      <c r="A757" s="142"/>
      <c r="B757" s="142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89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 ht="15.75" customHeight="1">
      <c r="A758" s="142"/>
      <c r="B758" s="142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89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 ht="15.75" customHeight="1">
      <c r="A759" s="142"/>
      <c r="B759" s="142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89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 ht="15.75" customHeight="1">
      <c r="A760" s="142"/>
      <c r="B760" s="142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89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 ht="15.75" customHeight="1">
      <c r="A761" s="142"/>
      <c r="B761" s="142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89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 ht="15.75" customHeight="1">
      <c r="A762" s="142"/>
      <c r="B762" s="142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89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 ht="15.75" customHeight="1">
      <c r="A763" s="142"/>
      <c r="B763" s="142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89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 ht="15.75" customHeight="1">
      <c r="A764" s="142"/>
      <c r="B764" s="142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89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 ht="15.75" customHeight="1">
      <c r="A765" s="142"/>
      <c r="B765" s="142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89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 ht="15.75" customHeight="1">
      <c r="A766" s="142"/>
      <c r="B766" s="142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89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 ht="15.75" customHeight="1">
      <c r="A767" s="142"/>
      <c r="B767" s="142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89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 ht="15.75" customHeight="1">
      <c r="A768" s="142"/>
      <c r="B768" s="142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89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 ht="15.75" customHeight="1">
      <c r="A769" s="142"/>
      <c r="B769" s="142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89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 ht="15.75" customHeight="1">
      <c r="A770" s="142"/>
      <c r="B770" s="142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89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 ht="15.75" customHeight="1">
      <c r="A771" s="142"/>
      <c r="B771" s="142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89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 ht="15.75" customHeight="1">
      <c r="A772" s="142"/>
      <c r="B772" s="142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89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 ht="15.75" customHeight="1">
      <c r="A773" s="142"/>
      <c r="B773" s="142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89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 ht="15.75" customHeight="1">
      <c r="A774" s="142"/>
      <c r="B774" s="142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89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 ht="15.75" customHeight="1">
      <c r="A775" s="142"/>
      <c r="B775" s="142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89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 ht="15.75" customHeight="1">
      <c r="A776" s="142"/>
      <c r="B776" s="142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89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 ht="15.75" customHeight="1">
      <c r="A777" s="142"/>
      <c r="B777" s="142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89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 ht="15.75" customHeight="1">
      <c r="A778" s="142"/>
      <c r="B778" s="142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89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 ht="15.75" customHeight="1">
      <c r="A779" s="142"/>
      <c r="B779" s="142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89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 ht="15.75" customHeight="1">
      <c r="A780" s="142"/>
      <c r="B780" s="142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89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 ht="15.75" customHeight="1">
      <c r="A781" s="142"/>
      <c r="B781" s="142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89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 ht="15.75" customHeight="1">
      <c r="A782" s="142"/>
      <c r="B782" s="142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89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 ht="15.75" customHeight="1">
      <c r="A783" s="142"/>
      <c r="B783" s="142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89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 ht="15.75" customHeight="1">
      <c r="A784" s="142"/>
      <c r="B784" s="142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89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 ht="15.75" customHeight="1">
      <c r="A785" s="142"/>
      <c r="B785" s="142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89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 ht="15.75" customHeight="1">
      <c r="A786" s="142"/>
      <c r="B786" s="142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89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 ht="15.75" customHeight="1">
      <c r="A787" s="142"/>
      <c r="B787" s="142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89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 ht="15.75" customHeight="1">
      <c r="A788" s="142"/>
      <c r="B788" s="142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89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 ht="15.75" customHeight="1">
      <c r="A789" s="142"/>
      <c r="B789" s="142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89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 ht="15.75" customHeight="1">
      <c r="A790" s="142"/>
      <c r="B790" s="142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89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 ht="15.75" customHeight="1">
      <c r="A791" s="142"/>
      <c r="B791" s="142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89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 ht="15.75" customHeight="1">
      <c r="A792" s="142"/>
      <c r="B792" s="142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89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 ht="15.75" customHeight="1">
      <c r="A793" s="142"/>
      <c r="B793" s="142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89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 ht="15.75" customHeight="1">
      <c r="A794" s="142"/>
      <c r="B794" s="142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89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 ht="15.75" customHeight="1">
      <c r="A795" s="142"/>
      <c r="B795" s="142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89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 ht="15.75" customHeight="1">
      <c r="A796" s="142"/>
      <c r="B796" s="142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89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 ht="15.75" customHeight="1">
      <c r="A797" s="142"/>
      <c r="B797" s="142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89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 ht="15.75" customHeight="1">
      <c r="A798" s="142"/>
      <c r="B798" s="142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89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 ht="15.75" customHeight="1">
      <c r="A799" s="142"/>
      <c r="B799" s="142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89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 ht="15.75" customHeight="1">
      <c r="A800" s="142"/>
      <c r="B800" s="142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89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 ht="15.75" customHeight="1">
      <c r="A801" s="142"/>
      <c r="B801" s="142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89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 ht="15.75" customHeight="1">
      <c r="A802" s="142"/>
      <c r="B802" s="142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89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 ht="15.75" customHeight="1">
      <c r="A803" s="142"/>
      <c r="B803" s="142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89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 ht="15.75" customHeight="1">
      <c r="A804" s="142"/>
      <c r="B804" s="142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89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 ht="15.75" customHeight="1">
      <c r="A805" s="142"/>
      <c r="B805" s="142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89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 ht="15.75" customHeight="1">
      <c r="A806" s="142"/>
      <c r="B806" s="142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89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 ht="15.75" customHeight="1">
      <c r="A807" s="142"/>
      <c r="B807" s="142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89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 ht="15.75" customHeight="1">
      <c r="A808" s="142"/>
      <c r="B808" s="142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89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 ht="15.75" customHeight="1">
      <c r="A809" s="142"/>
      <c r="B809" s="142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89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ht="15.75" customHeight="1">
      <c r="A810" s="142"/>
      <c r="B810" s="142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89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 ht="15.75" customHeight="1">
      <c r="A811" s="142"/>
      <c r="B811" s="142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89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 ht="15.75" customHeight="1">
      <c r="A812" s="142"/>
      <c r="B812" s="142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89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 ht="15.75" customHeight="1">
      <c r="A813" s="142"/>
      <c r="B813" s="142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89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 ht="15.75" customHeight="1">
      <c r="A814" s="142"/>
      <c r="B814" s="142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89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 ht="15.75" customHeight="1">
      <c r="A815" s="142"/>
      <c r="B815" s="142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89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 ht="15.75" customHeight="1">
      <c r="A816" s="142"/>
      <c r="B816" s="142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89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 ht="15.75" customHeight="1">
      <c r="A817" s="142"/>
      <c r="B817" s="142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89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 ht="15.75" customHeight="1">
      <c r="A818" s="142"/>
      <c r="B818" s="142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89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 ht="15.75" customHeight="1">
      <c r="A819" s="142"/>
      <c r="B819" s="142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89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 ht="15.75" customHeight="1">
      <c r="A820" s="142"/>
      <c r="B820" s="142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89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 ht="15.75" customHeight="1">
      <c r="A821" s="142"/>
      <c r="B821" s="142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89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 ht="15.75" customHeight="1">
      <c r="A822" s="142"/>
      <c r="B822" s="142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89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 ht="15.75" customHeight="1">
      <c r="A823" s="142"/>
      <c r="B823" s="142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89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 ht="15.75" customHeight="1">
      <c r="A824" s="142"/>
      <c r="B824" s="142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89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 ht="15.75" customHeight="1">
      <c r="A825" s="142"/>
      <c r="B825" s="142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89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 ht="15.75" customHeight="1">
      <c r="A826" s="142"/>
      <c r="B826" s="142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89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 ht="15.75" customHeight="1">
      <c r="A827" s="142"/>
      <c r="B827" s="142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89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 ht="15.75" customHeight="1">
      <c r="A828" s="142"/>
      <c r="B828" s="142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89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 ht="15.75" customHeight="1">
      <c r="A829" s="142"/>
      <c r="B829" s="142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89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 ht="15.75" customHeight="1">
      <c r="A830" s="142"/>
      <c r="B830" s="142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89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 ht="15.75" customHeight="1">
      <c r="A831" s="142"/>
      <c r="B831" s="142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89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 ht="15.75" customHeight="1">
      <c r="A832" s="142"/>
      <c r="B832" s="142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89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 ht="15.75" customHeight="1">
      <c r="A833" s="142"/>
      <c r="B833" s="142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89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 ht="15.75" customHeight="1">
      <c r="A834" s="142"/>
      <c r="B834" s="142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89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 ht="15.75" customHeight="1">
      <c r="A835" s="142"/>
      <c r="B835" s="142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89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 ht="15.75" customHeight="1">
      <c r="A836" s="142"/>
      <c r="B836" s="142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89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 ht="15.75" customHeight="1">
      <c r="A837" s="142"/>
      <c r="B837" s="142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89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 ht="15.75" customHeight="1">
      <c r="A838" s="142"/>
      <c r="B838" s="142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89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ht="15.75" customHeight="1">
      <c r="A839" s="142"/>
      <c r="B839" s="142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89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 ht="15.75" customHeight="1">
      <c r="A840" s="142"/>
      <c r="B840" s="142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89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 ht="15.75" customHeight="1">
      <c r="A841" s="142"/>
      <c r="B841" s="142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89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 ht="15.75" customHeight="1">
      <c r="A842" s="142"/>
      <c r="B842" s="142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89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ht="15.75" customHeight="1">
      <c r="A843" s="142"/>
      <c r="B843" s="142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89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 ht="15.75" customHeight="1">
      <c r="A844" s="142"/>
      <c r="B844" s="142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89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 ht="15.75" customHeight="1">
      <c r="A845" s="142"/>
      <c r="B845" s="142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89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 ht="15.75" customHeight="1">
      <c r="A846" s="142"/>
      <c r="B846" s="142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89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 ht="15.75" customHeight="1">
      <c r="A847" s="142"/>
      <c r="B847" s="142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89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 ht="15.75" customHeight="1">
      <c r="A848" s="142"/>
      <c r="B848" s="142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89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 ht="15.75" customHeight="1">
      <c r="A849" s="142"/>
      <c r="B849" s="142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89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 ht="15.75" customHeight="1">
      <c r="A850" s="142"/>
      <c r="B850" s="142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89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 ht="15.75" customHeight="1">
      <c r="A851" s="142"/>
      <c r="B851" s="142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89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 ht="15.75" customHeight="1">
      <c r="A852" s="142"/>
      <c r="B852" s="142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89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 ht="15.75" customHeight="1">
      <c r="A853" s="142"/>
      <c r="B853" s="142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89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 ht="15.75" customHeight="1">
      <c r="A854" s="142"/>
      <c r="B854" s="142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89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 ht="15.75" customHeight="1">
      <c r="A855" s="142"/>
      <c r="B855" s="142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89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 ht="15.75" customHeight="1">
      <c r="A856" s="142"/>
      <c r="B856" s="142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89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 ht="15.75" customHeight="1">
      <c r="A857" s="142"/>
      <c r="B857" s="142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89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ht="15.75" customHeight="1">
      <c r="A858" s="142"/>
      <c r="B858" s="142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89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 ht="15.75" customHeight="1">
      <c r="A859" s="142"/>
      <c r="B859" s="142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89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 ht="15.75" customHeight="1">
      <c r="A860" s="142"/>
      <c r="B860" s="142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89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 ht="15.75" customHeight="1">
      <c r="A861" s="142"/>
      <c r="B861" s="142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89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 ht="15.75" customHeight="1">
      <c r="A862" s="142"/>
      <c r="B862" s="142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89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 ht="15.75" customHeight="1">
      <c r="A863" s="142"/>
      <c r="B863" s="142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89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 ht="15.75" customHeight="1">
      <c r="A864" s="142"/>
      <c r="B864" s="142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89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 ht="15.75" customHeight="1">
      <c r="A865" s="142"/>
      <c r="B865" s="142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89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 ht="15.75" customHeight="1">
      <c r="A866" s="142"/>
      <c r="B866" s="142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89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 ht="15.75" customHeight="1">
      <c r="A867" s="142"/>
      <c r="B867" s="142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89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 ht="15.75" customHeight="1">
      <c r="A868" s="142"/>
      <c r="B868" s="142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89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 ht="15.75" customHeight="1">
      <c r="A869" s="142"/>
      <c r="B869" s="142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89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ht="15.75" customHeight="1">
      <c r="A870" s="142"/>
      <c r="B870" s="142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89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 ht="15.75" customHeight="1">
      <c r="A871" s="142"/>
      <c r="B871" s="142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89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ht="15.75" customHeight="1">
      <c r="A872" s="142"/>
      <c r="B872" s="142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89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 ht="15.75" customHeight="1">
      <c r="A873" s="142"/>
      <c r="B873" s="142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89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 ht="15.75" customHeight="1">
      <c r="A874" s="142"/>
      <c r="B874" s="142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89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 ht="15.75" customHeight="1">
      <c r="A875" s="142"/>
      <c r="B875" s="142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89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 ht="15.75" customHeight="1">
      <c r="A876" s="142"/>
      <c r="B876" s="142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89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 ht="15.75" customHeight="1">
      <c r="A877" s="142"/>
      <c r="B877" s="142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89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 ht="15.75" customHeight="1">
      <c r="A878" s="142"/>
      <c r="B878" s="142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89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 ht="15.75" customHeight="1">
      <c r="A879" s="142"/>
      <c r="B879" s="142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89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 ht="15.75" customHeight="1">
      <c r="A880" s="142"/>
      <c r="B880" s="142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89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 ht="15.75" customHeight="1">
      <c r="A881" s="142"/>
      <c r="B881" s="142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89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 ht="15.75" customHeight="1">
      <c r="A882" s="142"/>
      <c r="B882" s="142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89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 ht="15.75" customHeight="1">
      <c r="A883" s="142"/>
      <c r="B883" s="142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89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 ht="15.75" customHeight="1">
      <c r="A884" s="142"/>
      <c r="B884" s="142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89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 ht="15.75" customHeight="1">
      <c r="A885" s="142"/>
      <c r="B885" s="142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89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 ht="15.75" customHeight="1">
      <c r="A886" s="142"/>
      <c r="B886" s="142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89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 ht="15.75" customHeight="1">
      <c r="A887" s="142"/>
      <c r="B887" s="142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89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 ht="15.75" customHeight="1">
      <c r="A888" s="142"/>
      <c r="B888" s="142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89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 ht="15.75" customHeight="1">
      <c r="A889" s="142"/>
      <c r="B889" s="142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89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 ht="15.75" customHeight="1">
      <c r="A890" s="142"/>
      <c r="B890" s="142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89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 ht="15.75" customHeight="1">
      <c r="A891" s="142"/>
      <c r="B891" s="142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89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 ht="15.75" customHeight="1">
      <c r="A892" s="142"/>
      <c r="B892" s="142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89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 ht="15.75" customHeight="1">
      <c r="A893" s="142"/>
      <c r="B893" s="142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89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 ht="15.75" customHeight="1">
      <c r="A894" s="142"/>
      <c r="B894" s="142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89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 ht="15.75" customHeight="1">
      <c r="A895" s="142"/>
      <c r="B895" s="142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89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 ht="15.75" customHeight="1">
      <c r="A896" s="142"/>
      <c r="B896" s="142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89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 ht="15.75" customHeight="1">
      <c r="A897" s="142"/>
      <c r="B897" s="142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89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 ht="15.75" customHeight="1">
      <c r="A898" s="142"/>
      <c r="B898" s="142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89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 ht="15.75" customHeight="1">
      <c r="A899" s="142"/>
      <c r="B899" s="142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89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 ht="15.75" customHeight="1">
      <c r="A900" s="142"/>
      <c r="B900" s="142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89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 ht="15.75" customHeight="1">
      <c r="A901" s="142"/>
      <c r="B901" s="142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89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 ht="15.75" customHeight="1">
      <c r="A902" s="142"/>
      <c r="B902" s="142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89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 ht="15.75" customHeight="1">
      <c r="A903" s="142"/>
      <c r="B903" s="142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89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 ht="15.75" customHeight="1">
      <c r="A904" s="142"/>
      <c r="B904" s="142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89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 ht="15.75" customHeight="1">
      <c r="A905" s="142"/>
      <c r="B905" s="142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89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 ht="15.75" customHeight="1">
      <c r="A906" s="142"/>
      <c r="B906" s="142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89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 ht="15.75" customHeight="1">
      <c r="A907" s="142"/>
      <c r="B907" s="142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89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 ht="15.75" customHeight="1">
      <c r="A908" s="142"/>
      <c r="B908" s="142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89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 ht="15.75" customHeight="1">
      <c r="A909" s="142"/>
      <c r="B909" s="142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89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 ht="15.75" customHeight="1">
      <c r="A910" s="142"/>
      <c r="B910" s="142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89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 ht="15.75" customHeight="1">
      <c r="A911" s="142"/>
      <c r="B911" s="142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89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 ht="15.75" customHeight="1">
      <c r="A912" s="142"/>
      <c r="B912" s="142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89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 ht="15.75" customHeight="1">
      <c r="A913" s="142"/>
      <c r="B913" s="142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89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 ht="15.75" customHeight="1">
      <c r="A914" s="142"/>
      <c r="B914" s="142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89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 ht="15.75" customHeight="1">
      <c r="A915" s="142"/>
      <c r="B915" s="142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89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 ht="15.75" customHeight="1">
      <c r="A916" s="142"/>
      <c r="B916" s="142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89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 ht="15.75" customHeight="1">
      <c r="A917" s="142"/>
      <c r="B917" s="142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89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 ht="15.75" customHeight="1">
      <c r="A918" s="142"/>
      <c r="B918" s="142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89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 ht="15.75" customHeight="1">
      <c r="A919" s="142"/>
      <c r="B919" s="142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89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 ht="15.75" customHeight="1">
      <c r="A920" s="142"/>
      <c r="B920" s="142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89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 ht="15.75" customHeight="1">
      <c r="A921" s="142"/>
      <c r="B921" s="142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89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 ht="15.75" customHeight="1">
      <c r="A922" s="142"/>
      <c r="B922" s="142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89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 ht="15.75" customHeight="1">
      <c r="A923" s="142"/>
      <c r="B923" s="142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89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 ht="15.75" customHeight="1">
      <c r="A924" s="142"/>
      <c r="B924" s="142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89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 ht="15.75" customHeight="1">
      <c r="A925" s="142"/>
      <c r="B925" s="142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89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 ht="15.75" customHeight="1">
      <c r="A926" s="142"/>
      <c r="B926" s="142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89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 ht="15.75" customHeight="1">
      <c r="A927" s="142"/>
      <c r="B927" s="142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89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 ht="15.75" customHeight="1">
      <c r="A928" s="142"/>
      <c r="B928" s="142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89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 ht="15.75" customHeight="1">
      <c r="A929" s="142"/>
      <c r="B929" s="142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89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 ht="15.75" customHeight="1">
      <c r="A930" s="142"/>
      <c r="B930" s="142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89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 ht="15.75" customHeight="1">
      <c r="A931" s="142"/>
      <c r="B931" s="142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89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 ht="15.75" customHeight="1">
      <c r="A932" s="142"/>
      <c r="B932" s="142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89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 ht="15.75" customHeight="1">
      <c r="A933" s="142"/>
      <c r="B933" s="142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89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 ht="15.75" customHeight="1">
      <c r="A934" s="142"/>
      <c r="B934" s="142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89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 ht="15.75" customHeight="1">
      <c r="A935" s="142"/>
      <c r="B935" s="142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89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 ht="15.75" customHeight="1">
      <c r="A936" s="142"/>
      <c r="B936" s="142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89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 ht="15.75" customHeight="1">
      <c r="A937" s="142"/>
      <c r="B937" s="142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89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 ht="15.75" customHeight="1">
      <c r="A938" s="142"/>
      <c r="B938" s="142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89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 ht="15.75" customHeight="1">
      <c r="A939" s="142"/>
      <c r="B939" s="142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89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 ht="15.75" customHeight="1">
      <c r="A940" s="142"/>
      <c r="B940" s="142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89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 ht="15.75" customHeight="1">
      <c r="A941" s="142"/>
      <c r="B941" s="142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89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 ht="15.75" customHeight="1">
      <c r="A942" s="142"/>
      <c r="B942" s="142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89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 ht="15.75" customHeight="1">
      <c r="A943" s="142"/>
      <c r="B943" s="142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89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 ht="15.75" customHeight="1">
      <c r="A944" s="142"/>
      <c r="B944" s="142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89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 ht="15.75" customHeight="1">
      <c r="A945" s="142"/>
      <c r="B945" s="142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89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 ht="15.75" customHeight="1">
      <c r="A946" s="142"/>
      <c r="B946" s="142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89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 ht="15.75" customHeight="1">
      <c r="A947" s="142"/>
      <c r="B947" s="142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89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 ht="15.75" customHeight="1">
      <c r="A948" s="142"/>
      <c r="B948" s="142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89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 ht="15.75" customHeight="1">
      <c r="A949" s="142"/>
      <c r="B949" s="142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89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 ht="15.75" customHeight="1">
      <c r="A950" s="142"/>
      <c r="B950" s="142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89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 ht="15.75" customHeight="1">
      <c r="A951" s="142"/>
      <c r="B951" s="142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89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 ht="15.75" customHeight="1">
      <c r="A952" s="142"/>
      <c r="B952" s="142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89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 ht="15.75" customHeight="1">
      <c r="A953" s="142"/>
      <c r="B953" s="142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89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 ht="15.75" customHeight="1">
      <c r="A954" s="142"/>
      <c r="B954" s="142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89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 ht="15.75" customHeight="1">
      <c r="A955" s="142"/>
      <c r="B955" s="142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89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 ht="15.75" customHeight="1">
      <c r="A956" s="142"/>
      <c r="B956" s="142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89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 ht="15.75" customHeight="1">
      <c r="A957" s="142"/>
      <c r="B957" s="142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89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 ht="15.75" customHeight="1">
      <c r="A958" s="142"/>
      <c r="B958" s="142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89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 ht="15.75" customHeight="1">
      <c r="A959" s="142"/>
      <c r="B959" s="142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89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 ht="15.75" customHeight="1">
      <c r="A960" s="142"/>
      <c r="B960" s="142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89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 ht="15.75" customHeight="1">
      <c r="A961" s="142"/>
      <c r="B961" s="142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89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 ht="15.75" customHeight="1">
      <c r="A962" s="142"/>
      <c r="B962" s="142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89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 ht="15.75" customHeight="1">
      <c r="A963" s="142"/>
      <c r="B963" s="142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89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 ht="15.75" customHeight="1">
      <c r="A964" s="142"/>
      <c r="B964" s="142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89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 ht="15.75" customHeight="1">
      <c r="A965" s="142"/>
      <c r="B965" s="142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89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 ht="15.75" customHeight="1">
      <c r="A966" s="142"/>
      <c r="B966" s="142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89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 ht="15.75" customHeight="1">
      <c r="A967" s="142"/>
      <c r="B967" s="142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89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 ht="15.75" customHeight="1">
      <c r="A968" s="142"/>
      <c r="B968" s="142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89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 ht="15.75" customHeight="1">
      <c r="A969" s="142"/>
      <c r="B969" s="142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89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 ht="15.75" customHeight="1">
      <c r="A970" s="142"/>
      <c r="B970" s="142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89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 ht="15.75" customHeight="1">
      <c r="A971" s="142"/>
      <c r="B971" s="142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89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 ht="15.75" customHeight="1">
      <c r="A972" s="142"/>
      <c r="B972" s="142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89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 ht="15.75" customHeight="1">
      <c r="A973" s="142"/>
      <c r="B973" s="142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89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 ht="15.75" customHeight="1">
      <c r="A974" s="142"/>
      <c r="B974" s="142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89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 ht="15.75" customHeight="1">
      <c r="A975" s="142"/>
      <c r="B975" s="142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89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 ht="15.75" customHeight="1">
      <c r="A976" s="142"/>
      <c r="B976" s="142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89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 ht="15.75" customHeight="1">
      <c r="A977" s="142"/>
      <c r="B977" s="142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89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 ht="15.75" customHeight="1">
      <c r="A978" s="142"/>
      <c r="B978" s="142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89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 ht="15.75" customHeight="1">
      <c r="A979" s="142"/>
      <c r="B979" s="142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89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 ht="15.75" customHeight="1">
      <c r="A980" s="142"/>
      <c r="B980" s="142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89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 ht="15.75" customHeight="1">
      <c r="A981" s="142"/>
      <c r="B981" s="142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89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 ht="15.75" customHeight="1">
      <c r="A982" s="142"/>
      <c r="B982" s="142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89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 ht="15.75" customHeight="1">
      <c r="A983" s="142"/>
      <c r="B983" s="142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89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 ht="15.75" customHeight="1">
      <c r="A984" s="142"/>
      <c r="B984" s="142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89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 ht="15.75" customHeight="1">
      <c r="A985" s="142"/>
      <c r="B985" s="142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89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 ht="15.75" customHeight="1">
      <c r="A986" s="142"/>
      <c r="B986" s="142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89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 ht="15.75" customHeight="1">
      <c r="A987" s="142"/>
      <c r="B987" s="142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89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 ht="15.75" customHeight="1">
      <c r="A988" s="142"/>
      <c r="B988" s="142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89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 ht="15.75" customHeight="1">
      <c r="A989" s="142"/>
      <c r="B989" s="142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89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 ht="15.75" customHeight="1">
      <c r="A990" s="142"/>
      <c r="B990" s="142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89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 ht="15.75" customHeight="1">
      <c r="A991" s="142"/>
      <c r="B991" s="142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89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 ht="15.75" customHeight="1">
      <c r="A992" s="142"/>
      <c r="B992" s="142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89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 ht="15.75" customHeight="1">
      <c r="A993" s="142"/>
      <c r="B993" s="142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89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 ht="15.75" customHeight="1">
      <c r="A994" s="142"/>
      <c r="B994" s="142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89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 ht="15.75" customHeight="1">
      <c r="A995" s="142"/>
      <c r="B995" s="142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89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 ht="15.75" customHeight="1">
      <c r="A996" s="142"/>
      <c r="B996" s="142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89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 ht="15.75" customHeight="1">
      <c r="A997" s="142"/>
      <c r="B997" s="142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89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 ht="15.75" customHeight="1">
      <c r="A998" s="142"/>
      <c r="B998" s="142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89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 ht="15.75" customHeight="1">
      <c r="A999" s="142"/>
      <c r="B999" s="142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89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 ht="15.75" customHeight="1">
      <c r="A1000" s="142"/>
      <c r="B1000" s="142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89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6.86"/>
    <col customWidth="1" min="3" max="4" width="14.57"/>
    <col customWidth="1" min="5" max="5" width="15.29"/>
    <col customWidth="1" min="6" max="6" width="12.43"/>
    <col customWidth="1" min="7" max="7" width="8.43"/>
    <col customWidth="1" min="8" max="8" width="8.86"/>
    <col customWidth="1" min="9" max="9" width="7.71"/>
    <col customWidth="1" min="10" max="10" width="8.57"/>
    <col customWidth="1" min="11" max="13" width="11.86"/>
    <col customWidth="1" min="14" max="14" width="19.57"/>
    <col customWidth="1" min="15" max="15" width="7.86"/>
    <col customWidth="1" min="16" max="16" width="8.0"/>
    <col customWidth="1" min="17" max="28" width="8.71"/>
  </cols>
  <sheetData>
    <row r="1" ht="38.25" customHeight="1">
      <c r="A1" s="159" t="s">
        <v>0</v>
      </c>
      <c r="B1" s="159" t="s">
        <v>1</v>
      </c>
      <c r="C1" s="159" t="s">
        <v>2</v>
      </c>
      <c r="D1" s="159" t="s">
        <v>3</v>
      </c>
      <c r="E1" s="159" t="s">
        <v>4</v>
      </c>
      <c r="F1" s="159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59" t="s">
        <v>12</v>
      </c>
      <c r="N1" s="159" t="s">
        <v>13</v>
      </c>
      <c r="O1" s="159" t="s">
        <v>14</v>
      </c>
      <c r="P1" s="159" t="s">
        <v>15</v>
      </c>
      <c r="Q1" s="159" t="s">
        <v>16</v>
      </c>
      <c r="R1" s="101" t="s">
        <v>17</v>
      </c>
      <c r="S1" s="102" t="s">
        <v>18</v>
      </c>
      <c r="T1" s="102" t="s">
        <v>19</v>
      </c>
      <c r="U1" s="102" t="s">
        <v>20</v>
      </c>
      <c r="V1" s="103" t="s">
        <v>21</v>
      </c>
      <c r="W1" s="103" t="s">
        <v>22</v>
      </c>
      <c r="X1" s="5"/>
      <c r="Y1" s="5"/>
      <c r="Z1" s="5"/>
      <c r="AA1" s="5"/>
      <c r="AB1" s="5"/>
    </row>
    <row r="2" ht="14.25" customHeight="1">
      <c r="A2" s="104">
        <v>1.0</v>
      </c>
      <c r="B2" s="104" t="s">
        <v>23</v>
      </c>
      <c r="C2" s="104" t="s">
        <v>24</v>
      </c>
      <c r="D2" s="160"/>
      <c r="E2" s="160"/>
      <c r="F2" s="160"/>
      <c r="G2" s="160"/>
      <c r="H2" s="160"/>
      <c r="I2" s="104">
        <f t="shared" ref="I2:I31" si="1">max(0,K2-G2)</f>
        <v>0</v>
      </c>
      <c r="J2" s="160"/>
      <c r="K2" s="160"/>
      <c r="L2" s="104">
        <f t="shared" ref="L2:L31" si="2">J2+H2</f>
        <v>0</v>
      </c>
      <c r="M2" s="104">
        <f t="shared" ref="M2:M31" si="3">G2+H2+I2+J2</f>
        <v>0</v>
      </c>
      <c r="N2" s="160"/>
      <c r="O2" s="104">
        <v>11.31</v>
      </c>
      <c r="P2" s="104">
        <v>13.482</v>
      </c>
      <c r="Q2" s="104">
        <f t="shared" ref="Q2:Q31" si="4">(O2*D2)+(P2*E2)</f>
        <v>0</v>
      </c>
      <c r="R2" s="110"/>
      <c r="S2" s="108"/>
      <c r="T2" s="108"/>
      <c r="U2" s="108"/>
      <c r="V2" s="109">
        <f t="shared" ref="V2:V31" si="5">S2-R2</f>
        <v>0</v>
      </c>
      <c r="W2" s="109">
        <f t="shared" ref="W2:W31" si="6">U2-T2</f>
        <v>0</v>
      </c>
      <c r="X2" s="11"/>
      <c r="Y2" s="11"/>
      <c r="Z2" s="11"/>
      <c r="AA2" s="11"/>
      <c r="AB2" s="11"/>
    </row>
    <row r="3" ht="14.25" customHeight="1">
      <c r="A3" s="104">
        <v>2.0</v>
      </c>
      <c r="B3" s="104" t="s">
        <v>23</v>
      </c>
      <c r="C3" s="104" t="s">
        <v>25</v>
      </c>
      <c r="D3" s="160"/>
      <c r="E3" s="160"/>
      <c r="F3" s="160"/>
      <c r="G3" s="160"/>
      <c r="H3" s="160"/>
      <c r="I3" s="104">
        <f t="shared" si="1"/>
        <v>0</v>
      </c>
      <c r="J3" s="160"/>
      <c r="K3" s="160"/>
      <c r="L3" s="104">
        <f t="shared" si="2"/>
        <v>0</v>
      </c>
      <c r="M3" s="104">
        <f t="shared" si="3"/>
        <v>0</v>
      </c>
      <c r="N3" s="160"/>
      <c r="O3" s="104">
        <v>11.31</v>
      </c>
      <c r="P3" s="104">
        <v>13.482</v>
      </c>
      <c r="Q3" s="104">
        <f t="shared" si="4"/>
        <v>0</v>
      </c>
      <c r="R3" s="110"/>
      <c r="S3" s="108"/>
      <c r="T3" s="108"/>
      <c r="U3" s="108"/>
      <c r="V3" s="109">
        <f t="shared" si="5"/>
        <v>0</v>
      </c>
      <c r="W3" s="109">
        <f t="shared" si="6"/>
        <v>0</v>
      </c>
      <c r="X3" s="11"/>
      <c r="Y3" s="11"/>
      <c r="Z3" s="11"/>
      <c r="AA3" s="11"/>
      <c r="AB3" s="11"/>
    </row>
    <row r="4" ht="14.25" customHeight="1">
      <c r="A4" s="104">
        <v>3.0</v>
      </c>
      <c r="B4" s="104" t="s">
        <v>23</v>
      </c>
      <c r="C4" s="104" t="s">
        <v>26</v>
      </c>
      <c r="D4" s="160"/>
      <c r="E4" s="160"/>
      <c r="F4" s="160"/>
      <c r="G4" s="160"/>
      <c r="H4" s="160"/>
      <c r="I4" s="104">
        <f t="shared" si="1"/>
        <v>0</v>
      </c>
      <c r="J4" s="160"/>
      <c r="K4" s="160"/>
      <c r="L4" s="104">
        <f t="shared" si="2"/>
        <v>0</v>
      </c>
      <c r="M4" s="104">
        <f t="shared" si="3"/>
        <v>0</v>
      </c>
      <c r="N4" s="160"/>
      <c r="O4" s="104">
        <v>11.31</v>
      </c>
      <c r="P4" s="104">
        <v>13.482</v>
      </c>
      <c r="Q4" s="104">
        <f t="shared" si="4"/>
        <v>0</v>
      </c>
      <c r="R4" s="110"/>
      <c r="S4" s="110"/>
      <c r="T4" s="110"/>
      <c r="U4" s="108"/>
      <c r="V4" s="109">
        <f t="shared" si="5"/>
        <v>0</v>
      </c>
      <c r="W4" s="109">
        <f t="shared" si="6"/>
        <v>0</v>
      </c>
      <c r="X4" s="11"/>
      <c r="Y4" s="11"/>
      <c r="Z4" s="11"/>
      <c r="AA4" s="11"/>
      <c r="AB4" s="11"/>
    </row>
    <row r="5" ht="14.25" customHeight="1">
      <c r="A5" s="104">
        <v>4.0</v>
      </c>
      <c r="B5" s="104" t="s">
        <v>23</v>
      </c>
      <c r="C5" s="104" t="s">
        <v>27</v>
      </c>
      <c r="D5" s="160"/>
      <c r="E5" s="160"/>
      <c r="F5" s="160"/>
      <c r="G5" s="160"/>
      <c r="H5" s="160"/>
      <c r="I5" s="104">
        <f t="shared" si="1"/>
        <v>0</v>
      </c>
      <c r="J5" s="160"/>
      <c r="K5" s="160"/>
      <c r="L5" s="104">
        <f t="shared" si="2"/>
        <v>0</v>
      </c>
      <c r="M5" s="104">
        <f t="shared" si="3"/>
        <v>0</v>
      </c>
      <c r="N5" s="160"/>
      <c r="O5" s="104">
        <v>11.31</v>
      </c>
      <c r="P5" s="104">
        <v>13.482</v>
      </c>
      <c r="Q5" s="104">
        <f t="shared" si="4"/>
        <v>0</v>
      </c>
      <c r="R5" s="110"/>
      <c r="S5" s="110"/>
      <c r="T5" s="110"/>
      <c r="U5" s="108"/>
      <c r="V5" s="109">
        <f t="shared" si="5"/>
        <v>0</v>
      </c>
      <c r="W5" s="109">
        <f t="shared" si="6"/>
        <v>0</v>
      </c>
      <c r="X5" s="11"/>
      <c r="Y5" s="11"/>
      <c r="Z5" s="11"/>
      <c r="AA5" s="11"/>
      <c r="AB5" s="11"/>
    </row>
    <row r="6" ht="14.25" customHeight="1">
      <c r="A6" s="104">
        <v>5.0</v>
      </c>
      <c r="B6" s="104" t="s">
        <v>23</v>
      </c>
      <c r="C6" s="104" t="s">
        <v>28</v>
      </c>
      <c r="D6" s="160"/>
      <c r="E6" s="160"/>
      <c r="F6" s="160"/>
      <c r="G6" s="160"/>
      <c r="H6" s="160"/>
      <c r="I6" s="104">
        <f t="shared" si="1"/>
        <v>0</v>
      </c>
      <c r="J6" s="160"/>
      <c r="K6" s="160"/>
      <c r="L6" s="104">
        <f t="shared" si="2"/>
        <v>0</v>
      </c>
      <c r="M6" s="104">
        <f t="shared" si="3"/>
        <v>0</v>
      </c>
      <c r="N6" s="160"/>
      <c r="O6" s="104">
        <v>11.31</v>
      </c>
      <c r="P6" s="104">
        <v>13.482</v>
      </c>
      <c r="Q6" s="104">
        <f t="shared" si="4"/>
        <v>0</v>
      </c>
      <c r="R6" s="110"/>
      <c r="S6" s="110"/>
      <c r="T6" s="110"/>
      <c r="U6" s="108"/>
      <c r="V6" s="109">
        <f t="shared" si="5"/>
        <v>0</v>
      </c>
      <c r="W6" s="109">
        <f t="shared" si="6"/>
        <v>0</v>
      </c>
      <c r="X6" s="11"/>
      <c r="Y6" s="11"/>
      <c r="Z6" s="11"/>
      <c r="AA6" s="11"/>
      <c r="AB6" s="11"/>
    </row>
    <row r="7" ht="14.25" customHeight="1">
      <c r="A7" s="104">
        <v>6.0</v>
      </c>
      <c r="B7" s="104" t="s">
        <v>23</v>
      </c>
      <c r="C7" s="104" t="s">
        <v>29</v>
      </c>
      <c r="D7" s="160"/>
      <c r="E7" s="160"/>
      <c r="F7" s="160"/>
      <c r="G7" s="160"/>
      <c r="H7" s="160"/>
      <c r="I7" s="104">
        <f t="shared" si="1"/>
        <v>0</v>
      </c>
      <c r="J7" s="160"/>
      <c r="K7" s="160"/>
      <c r="L7" s="104">
        <f t="shared" si="2"/>
        <v>0</v>
      </c>
      <c r="M7" s="104">
        <f t="shared" si="3"/>
        <v>0</v>
      </c>
      <c r="N7" s="160"/>
      <c r="O7" s="104">
        <v>11.31</v>
      </c>
      <c r="P7" s="104">
        <v>13.482</v>
      </c>
      <c r="Q7" s="104">
        <f t="shared" si="4"/>
        <v>0</v>
      </c>
      <c r="R7" s="110"/>
      <c r="S7" s="110"/>
      <c r="T7" s="110"/>
      <c r="U7" s="108"/>
      <c r="V7" s="109">
        <f t="shared" si="5"/>
        <v>0</v>
      </c>
      <c r="W7" s="109">
        <f t="shared" si="6"/>
        <v>0</v>
      </c>
      <c r="X7" s="11"/>
      <c r="Y7" s="11"/>
      <c r="Z7" s="11"/>
      <c r="AA7" s="11"/>
      <c r="AB7" s="11"/>
    </row>
    <row r="8" ht="14.25" customHeight="1">
      <c r="A8" s="104">
        <v>7.0</v>
      </c>
      <c r="B8" s="104" t="s">
        <v>23</v>
      </c>
      <c r="C8" s="104" t="s">
        <v>30</v>
      </c>
      <c r="D8" s="160"/>
      <c r="E8" s="160"/>
      <c r="F8" s="160"/>
      <c r="G8" s="160"/>
      <c r="H8" s="160"/>
      <c r="I8" s="104">
        <f t="shared" si="1"/>
        <v>0</v>
      </c>
      <c r="J8" s="160"/>
      <c r="K8" s="160"/>
      <c r="L8" s="104">
        <f t="shared" si="2"/>
        <v>0</v>
      </c>
      <c r="M8" s="104">
        <f t="shared" si="3"/>
        <v>0</v>
      </c>
      <c r="N8" s="160"/>
      <c r="O8" s="104">
        <v>11.31</v>
      </c>
      <c r="P8" s="104">
        <v>13.482</v>
      </c>
      <c r="Q8" s="104">
        <f t="shared" si="4"/>
        <v>0</v>
      </c>
      <c r="R8" s="110"/>
      <c r="S8" s="110"/>
      <c r="T8" s="110"/>
      <c r="U8" s="108"/>
      <c r="V8" s="109">
        <f t="shared" si="5"/>
        <v>0</v>
      </c>
      <c r="W8" s="109">
        <f t="shared" si="6"/>
        <v>0</v>
      </c>
      <c r="X8" s="11"/>
      <c r="Y8" s="11"/>
      <c r="Z8" s="11"/>
      <c r="AA8" s="11"/>
      <c r="AB8" s="11"/>
    </row>
    <row r="9" ht="14.25" customHeight="1">
      <c r="A9" s="104">
        <v>8.0</v>
      </c>
      <c r="B9" s="104" t="s">
        <v>23</v>
      </c>
      <c r="C9" s="104" t="s">
        <v>31</v>
      </c>
      <c r="D9" s="160"/>
      <c r="E9" s="160"/>
      <c r="F9" s="160"/>
      <c r="G9" s="160"/>
      <c r="H9" s="160"/>
      <c r="I9" s="104">
        <f t="shared" si="1"/>
        <v>0</v>
      </c>
      <c r="J9" s="160"/>
      <c r="K9" s="160"/>
      <c r="L9" s="104">
        <f t="shared" si="2"/>
        <v>0</v>
      </c>
      <c r="M9" s="104">
        <f t="shared" si="3"/>
        <v>0</v>
      </c>
      <c r="N9" s="160"/>
      <c r="O9" s="104">
        <v>11.31</v>
      </c>
      <c r="P9" s="104">
        <v>13.482</v>
      </c>
      <c r="Q9" s="104">
        <f t="shared" si="4"/>
        <v>0</v>
      </c>
      <c r="R9" s="110"/>
      <c r="S9" s="110"/>
      <c r="T9" s="110"/>
      <c r="U9" s="108"/>
      <c r="V9" s="109">
        <f t="shared" si="5"/>
        <v>0</v>
      </c>
      <c r="W9" s="109">
        <f t="shared" si="6"/>
        <v>0</v>
      </c>
      <c r="X9" s="11"/>
      <c r="Y9" s="11"/>
      <c r="Z9" s="11"/>
      <c r="AA9" s="11"/>
      <c r="AB9" s="11"/>
    </row>
    <row r="10" ht="14.25" customHeight="1">
      <c r="A10" s="104">
        <v>9.0</v>
      </c>
      <c r="B10" s="104" t="s">
        <v>23</v>
      </c>
      <c r="C10" s="104" t="s">
        <v>32</v>
      </c>
      <c r="D10" s="160"/>
      <c r="E10" s="160"/>
      <c r="F10" s="160"/>
      <c r="G10" s="160"/>
      <c r="H10" s="160"/>
      <c r="I10" s="104">
        <f t="shared" si="1"/>
        <v>0</v>
      </c>
      <c r="J10" s="160"/>
      <c r="K10" s="160"/>
      <c r="L10" s="104">
        <f t="shared" si="2"/>
        <v>0</v>
      </c>
      <c r="M10" s="104">
        <f t="shared" si="3"/>
        <v>0</v>
      </c>
      <c r="N10" s="160"/>
      <c r="O10" s="104">
        <v>11.31</v>
      </c>
      <c r="P10" s="104">
        <v>13.482</v>
      </c>
      <c r="Q10" s="104">
        <f t="shared" si="4"/>
        <v>0</v>
      </c>
      <c r="R10" s="110"/>
      <c r="S10" s="110"/>
      <c r="T10" s="110"/>
      <c r="U10" s="108"/>
      <c r="V10" s="109">
        <f t="shared" si="5"/>
        <v>0</v>
      </c>
      <c r="W10" s="109">
        <f t="shared" si="6"/>
        <v>0</v>
      </c>
      <c r="X10" s="11"/>
      <c r="Y10" s="11"/>
      <c r="Z10" s="11"/>
      <c r="AA10" s="11"/>
      <c r="AB10" s="11"/>
    </row>
    <row r="11" ht="14.25" customHeight="1">
      <c r="A11" s="104">
        <v>10.0</v>
      </c>
      <c r="B11" s="104" t="s">
        <v>23</v>
      </c>
      <c r="C11" s="104" t="s">
        <v>33</v>
      </c>
      <c r="D11" s="160"/>
      <c r="E11" s="160"/>
      <c r="F11" s="160"/>
      <c r="G11" s="160"/>
      <c r="H11" s="160"/>
      <c r="I11" s="104">
        <f t="shared" si="1"/>
        <v>0</v>
      </c>
      <c r="J11" s="160"/>
      <c r="K11" s="160"/>
      <c r="L11" s="104">
        <f t="shared" si="2"/>
        <v>0</v>
      </c>
      <c r="M11" s="104">
        <f t="shared" si="3"/>
        <v>0</v>
      </c>
      <c r="N11" s="160"/>
      <c r="O11" s="104">
        <v>11.31</v>
      </c>
      <c r="P11" s="104">
        <v>13.482</v>
      </c>
      <c r="Q11" s="104">
        <f t="shared" si="4"/>
        <v>0</v>
      </c>
      <c r="R11" s="110"/>
      <c r="S11" s="110"/>
      <c r="T11" s="110"/>
      <c r="U11" s="108"/>
      <c r="V11" s="109">
        <f t="shared" si="5"/>
        <v>0</v>
      </c>
      <c r="W11" s="109">
        <f t="shared" si="6"/>
        <v>0</v>
      </c>
      <c r="X11" s="11"/>
      <c r="Y11" s="11"/>
      <c r="Z11" s="11"/>
      <c r="AA11" s="11"/>
      <c r="AB11" s="11"/>
    </row>
    <row r="12" ht="14.25" customHeight="1">
      <c r="A12" s="104">
        <v>11.0</v>
      </c>
      <c r="B12" s="104" t="s">
        <v>23</v>
      </c>
      <c r="C12" s="104" t="s">
        <v>34</v>
      </c>
      <c r="D12" s="160"/>
      <c r="E12" s="160"/>
      <c r="F12" s="160"/>
      <c r="G12" s="160"/>
      <c r="H12" s="160"/>
      <c r="I12" s="104">
        <f t="shared" si="1"/>
        <v>0</v>
      </c>
      <c r="J12" s="160"/>
      <c r="K12" s="160"/>
      <c r="L12" s="104">
        <f t="shared" si="2"/>
        <v>0</v>
      </c>
      <c r="M12" s="104">
        <f t="shared" si="3"/>
        <v>0</v>
      </c>
      <c r="N12" s="160"/>
      <c r="O12" s="104">
        <v>11.31</v>
      </c>
      <c r="P12" s="104">
        <v>13.482</v>
      </c>
      <c r="Q12" s="104">
        <f t="shared" si="4"/>
        <v>0</v>
      </c>
      <c r="R12" s="110"/>
      <c r="S12" s="110"/>
      <c r="T12" s="110"/>
      <c r="U12" s="108"/>
      <c r="V12" s="109">
        <f t="shared" si="5"/>
        <v>0</v>
      </c>
      <c r="W12" s="109">
        <f t="shared" si="6"/>
        <v>0</v>
      </c>
      <c r="X12" s="11"/>
      <c r="Y12" s="11"/>
      <c r="Z12" s="11"/>
      <c r="AA12" s="11"/>
      <c r="AB12" s="11"/>
    </row>
    <row r="13" ht="14.25" customHeight="1">
      <c r="A13" s="104">
        <v>12.0</v>
      </c>
      <c r="B13" s="104" t="s">
        <v>23</v>
      </c>
      <c r="C13" s="104" t="s">
        <v>35</v>
      </c>
      <c r="D13" s="160"/>
      <c r="E13" s="160"/>
      <c r="F13" s="160"/>
      <c r="G13" s="160"/>
      <c r="H13" s="160"/>
      <c r="I13" s="104">
        <f t="shared" si="1"/>
        <v>0</v>
      </c>
      <c r="J13" s="160"/>
      <c r="K13" s="160"/>
      <c r="L13" s="104">
        <f t="shared" si="2"/>
        <v>0</v>
      </c>
      <c r="M13" s="104">
        <f t="shared" si="3"/>
        <v>0</v>
      </c>
      <c r="N13" s="160"/>
      <c r="O13" s="104">
        <v>11.31</v>
      </c>
      <c r="P13" s="104">
        <v>13.482</v>
      </c>
      <c r="Q13" s="104">
        <f t="shared" si="4"/>
        <v>0</v>
      </c>
      <c r="R13" s="110"/>
      <c r="S13" s="110"/>
      <c r="T13" s="110"/>
      <c r="U13" s="108"/>
      <c r="V13" s="109">
        <f t="shared" si="5"/>
        <v>0</v>
      </c>
      <c r="W13" s="109">
        <f t="shared" si="6"/>
        <v>0</v>
      </c>
      <c r="X13" s="11"/>
      <c r="Y13" s="11"/>
      <c r="Z13" s="11"/>
      <c r="AA13" s="11"/>
      <c r="AB13" s="11"/>
    </row>
    <row r="14" ht="14.25" customHeight="1">
      <c r="A14" s="104">
        <v>13.0</v>
      </c>
      <c r="B14" s="104" t="s">
        <v>23</v>
      </c>
      <c r="C14" s="104" t="s">
        <v>36</v>
      </c>
      <c r="D14" s="160"/>
      <c r="E14" s="160"/>
      <c r="F14" s="160"/>
      <c r="G14" s="160"/>
      <c r="H14" s="160"/>
      <c r="I14" s="104">
        <f t="shared" si="1"/>
        <v>0</v>
      </c>
      <c r="J14" s="160"/>
      <c r="K14" s="160"/>
      <c r="L14" s="104">
        <f t="shared" si="2"/>
        <v>0</v>
      </c>
      <c r="M14" s="104">
        <f t="shared" si="3"/>
        <v>0</v>
      </c>
      <c r="N14" s="160"/>
      <c r="O14" s="104">
        <v>11.31</v>
      </c>
      <c r="P14" s="104">
        <v>13.482</v>
      </c>
      <c r="Q14" s="104">
        <f t="shared" si="4"/>
        <v>0</v>
      </c>
      <c r="R14" s="110"/>
      <c r="S14" s="110"/>
      <c r="T14" s="110"/>
      <c r="U14" s="108"/>
      <c r="V14" s="109">
        <f t="shared" si="5"/>
        <v>0</v>
      </c>
      <c r="W14" s="109">
        <f t="shared" si="6"/>
        <v>0</v>
      </c>
      <c r="X14" s="11"/>
      <c r="Y14" s="11"/>
      <c r="Z14" s="11"/>
      <c r="AA14" s="11"/>
      <c r="AB14" s="11"/>
    </row>
    <row r="15" ht="14.25" customHeight="1">
      <c r="A15" s="104">
        <v>14.0</v>
      </c>
      <c r="B15" s="104" t="s">
        <v>23</v>
      </c>
      <c r="C15" s="104" t="s">
        <v>37</v>
      </c>
      <c r="D15" s="160"/>
      <c r="E15" s="160"/>
      <c r="F15" s="160"/>
      <c r="G15" s="160"/>
      <c r="H15" s="160"/>
      <c r="I15" s="104">
        <f t="shared" si="1"/>
        <v>0</v>
      </c>
      <c r="J15" s="160"/>
      <c r="K15" s="160"/>
      <c r="L15" s="104">
        <f t="shared" si="2"/>
        <v>0</v>
      </c>
      <c r="M15" s="104">
        <f t="shared" si="3"/>
        <v>0</v>
      </c>
      <c r="N15" s="160"/>
      <c r="O15" s="104">
        <v>11.31</v>
      </c>
      <c r="P15" s="104">
        <v>13.482</v>
      </c>
      <c r="Q15" s="104">
        <f t="shared" si="4"/>
        <v>0</v>
      </c>
      <c r="R15" s="110"/>
      <c r="S15" s="110"/>
      <c r="T15" s="110"/>
      <c r="U15" s="108"/>
      <c r="V15" s="109">
        <f t="shared" si="5"/>
        <v>0</v>
      </c>
      <c r="W15" s="109">
        <f t="shared" si="6"/>
        <v>0</v>
      </c>
      <c r="X15" s="11"/>
      <c r="Y15" s="11"/>
      <c r="Z15" s="11"/>
      <c r="AA15" s="11"/>
      <c r="AB15" s="11"/>
    </row>
    <row r="16" ht="14.25" customHeight="1">
      <c r="A16" s="104">
        <v>15.0</v>
      </c>
      <c r="B16" s="104" t="s">
        <v>23</v>
      </c>
      <c r="C16" s="104" t="s">
        <v>38</v>
      </c>
      <c r="D16" s="160"/>
      <c r="E16" s="160"/>
      <c r="F16" s="160"/>
      <c r="G16" s="160"/>
      <c r="H16" s="160"/>
      <c r="I16" s="104">
        <f t="shared" si="1"/>
        <v>0</v>
      </c>
      <c r="J16" s="160"/>
      <c r="K16" s="160"/>
      <c r="L16" s="104">
        <f t="shared" si="2"/>
        <v>0</v>
      </c>
      <c r="M16" s="104">
        <f t="shared" si="3"/>
        <v>0</v>
      </c>
      <c r="N16" s="160"/>
      <c r="O16" s="104">
        <v>11.31</v>
      </c>
      <c r="P16" s="104">
        <v>13.482</v>
      </c>
      <c r="Q16" s="104">
        <f t="shared" si="4"/>
        <v>0</v>
      </c>
      <c r="R16" s="110"/>
      <c r="S16" s="110"/>
      <c r="T16" s="110"/>
      <c r="U16" s="108"/>
      <c r="V16" s="109">
        <f t="shared" si="5"/>
        <v>0</v>
      </c>
      <c r="W16" s="109">
        <f t="shared" si="6"/>
        <v>0</v>
      </c>
      <c r="X16" s="11"/>
      <c r="Y16" s="11"/>
      <c r="Z16" s="11"/>
      <c r="AA16" s="11"/>
      <c r="AB16" s="11"/>
    </row>
    <row r="17" ht="14.25" customHeight="1">
      <c r="A17" s="104">
        <v>16.0</v>
      </c>
      <c r="B17" s="104" t="s">
        <v>23</v>
      </c>
      <c r="C17" s="104" t="s">
        <v>39</v>
      </c>
      <c r="D17" s="160"/>
      <c r="E17" s="160"/>
      <c r="F17" s="160"/>
      <c r="G17" s="160"/>
      <c r="H17" s="160"/>
      <c r="I17" s="104">
        <f t="shared" si="1"/>
        <v>0</v>
      </c>
      <c r="J17" s="160"/>
      <c r="K17" s="160"/>
      <c r="L17" s="104">
        <f t="shared" si="2"/>
        <v>0</v>
      </c>
      <c r="M17" s="104">
        <f t="shared" si="3"/>
        <v>0</v>
      </c>
      <c r="N17" s="160"/>
      <c r="O17" s="104">
        <v>11.31</v>
      </c>
      <c r="P17" s="104">
        <v>13.482</v>
      </c>
      <c r="Q17" s="104">
        <f t="shared" si="4"/>
        <v>0</v>
      </c>
      <c r="R17" s="110"/>
      <c r="S17" s="110"/>
      <c r="T17" s="110"/>
      <c r="U17" s="108"/>
      <c r="V17" s="109">
        <f t="shared" si="5"/>
        <v>0</v>
      </c>
      <c r="W17" s="109">
        <f t="shared" si="6"/>
        <v>0</v>
      </c>
      <c r="X17" s="11"/>
      <c r="Y17" s="11"/>
      <c r="Z17" s="11"/>
      <c r="AA17" s="11"/>
      <c r="AB17" s="11"/>
    </row>
    <row r="18" ht="14.25" customHeight="1">
      <c r="A18" s="104">
        <v>17.0</v>
      </c>
      <c r="B18" s="104" t="s">
        <v>23</v>
      </c>
      <c r="C18" s="104" t="s">
        <v>40</v>
      </c>
      <c r="D18" s="160"/>
      <c r="E18" s="160"/>
      <c r="F18" s="160"/>
      <c r="G18" s="160"/>
      <c r="H18" s="160"/>
      <c r="I18" s="104">
        <f t="shared" si="1"/>
        <v>0</v>
      </c>
      <c r="J18" s="160"/>
      <c r="K18" s="160"/>
      <c r="L18" s="104">
        <f t="shared" si="2"/>
        <v>0</v>
      </c>
      <c r="M18" s="104">
        <f t="shared" si="3"/>
        <v>0</v>
      </c>
      <c r="N18" s="160"/>
      <c r="O18" s="104">
        <v>11.31</v>
      </c>
      <c r="P18" s="104">
        <v>13.482</v>
      </c>
      <c r="Q18" s="104">
        <f t="shared" si="4"/>
        <v>0</v>
      </c>
      <c r="R18" s="110"/>
      <c r="S18" s="110"/>
      <c r="T18" s="110"/>
      <c r="U18" s="108"/>
      <c r="V18" s="109">
        <f t="shared" si="5"/>
        <v>0</v>
      </c>
      <c r="W18" s="109">
        <f t="shared" si="6"/>
        <v>0</v>
      </c>
      <c r="X18" s="11"/>
      <c r="Y18" s="11"/>
      <c r="Z18" s="11"/>
      <c r="AA18" s="11"/>
      <c r="AB18" s="11"/>
    </row>
    <row r="19" ht="14.25" customHeight="1">
      <c r="A19" s="104">
        <v>18.0</v>
      </c>
      <c r="B19" s="104" t="s">
        <v>23</v>
      </c>
      <c r="C19" s="104" t="s">
        <v>42</v>
      </c>
      <c r="D19" s="160"/>
      <c r="E19" s="160"/>
      <c r="F19" s="160"/>
      <c r="G19" s="160"/>
      <c r="H19" s="160"/>
      <c r="I19" s="104">
        <f t="shared" si="1"/>
        <v>0</v>
      </c>
      <c r="J19" s="160"/>
      <c r="K19" s="160"/>
      <c r="L19" s="104">
        <f t="shared" si="2"/>
        <v>0</v>
      </c>
      <c r="M19" s="104">
        <f t="shared" si="3"/>
        <v>0</v>
      </c>
      <c r="N19" s="160"/>
      <c r="O19" s="104">
        <v>11.31</v>
      </c>
      <c r="P19" s="104">
        <v>13.482</v>
      </c>
      <c r="Q19" s="104">
        <f t="shared" si="4"/>
        <v>0</v>
      </c>
      <c r="R19" s="110"/>
      <c r="S19" s="110"/>
      <c r="T19" s="110"/>
      <c r="U19" s="108"/>
      <c r="V19" s="109">
        <f t="shared" si="5"/>
        <v>0</v>
      </c>
      <c r="W19" s="109">
        <f t="shared" si="6"/>
        <v>0</v>
      </c>
      <c r="X19" s="11"/>
      <c r="Y19" s="11"/>
      <c r="Z19" s="11"/>
      <c r="AA19" s="11"/>
      <c r="AB19" s="11"/>
    </row>
    <row r="20" ht="14.25" customHeight="1">
      <c r="A20" s="104">
        <v>19.0</v>
      </c>
      <c r="B20" s="104" t="s">
        <v>23</v>
      </c>
      <c r="C20" s="104" t="s">
        <v>44</v>
      </c>
      <c r="D20" s="160"/>
      <c r="E20" s="160"/>
      <c r="F20" s="160"/>
      <c r="G20" s="160"/>
      <c r="H20" s="160"/>
      <c r="I20" s="104">
        <f t="shared" si="1"/>
        <v>0</v>
      </c>
      <c r="J20" s="160"/>
      <c r="K20" s="160"/>
      <c r="L20" s="104">
        <f t="shared" si="2"/>
        <v>0</v>
      </c>
      <c r="M20" s="104">
        <f t="shared" si="3"/>
        <v>0</v>
      </c>
      <c r="N20" s="160"/>
      <c r="O20" s="104">
        <v>11.31</v>
      </c>
      <c r="P20" s="104">
        <v>13.482</v>
      </c>
      <c r="Q20" s="104">
        <f t="shared" si="4"/>
        <v>0</v>
      </c>
      <c r="R20" s="110"/>
      <c r="S20" s="110"/>
      <c r="T20" s="110"/>
      <c r="U20" s="108"/>
      <c r="V20" s="109">
        <f t="shared" si="5"/>
        <v>0</v>
      </c>
      <c r="W20" s="109">
        <f t="shared" si="6"/>
        <v>0</v>
      </c>
      <c r="X20" s="11"/>
      <c r="Y20" s="11"/>
      <c r="Z20" s="11"/>
      <c r="AA20" s="11"/>
      <c r="AB20" s="11"/>
    </row>
    <row r="21" ht="14.25" customHeight="1">
      <c r="A21" s="104">
        <v>20.0</v>
      </c>
      <c r="B21" s="104" t="s">
        <v>23</v>
      </c>
      <c r="C21" s="104" t="s">
        <v>45</v>
      </c>
      <c r="D21" s="160"/>
      <c r="E21" s="160"/>
      <c r="F21" s="160"/>
      <c r="G21" s="160"/>
      <c r="H21" s="160"/>
      <c r="I21" s="104">
        <f t="shared" si="1"/>
        <v>0</v>
      </c>
      <c r="J21" s="160"/>
      <c r="K21" s="160"/>
      <c r="L21" s="104">
        <f t="shared" si="2"/>
        <v>0</v>
      </c>
      <c r="M21" s="104">
        <f t="shared" si="3"/>
        <v>0</v>
      </c>
      <c r="N21" s="160"/>
      <c r="O21" s="104">
        <v>11.31</v>
      </c>
      <c r="P21" s="104">
        <v>13.482</v>
      </c>
      <c r="Q21" s="104">
        <f t="shared" si="4"/>
        <v>0</v>
      </c>
      <c r="R21" s="110"/>
      <c r="S21" s="110"/>
      <c r="T21" s="110"/>
      <c r="U21" s="108"/>
      <c r="V21" s="109">
        <f t="shared" si="5"/>
        <v>0</v>
      </c>
      <c r="W21" s="109">
        <f t="shared" si="6"/>
        <v>0</v>
      </c>
      <c r="X21" s="11"/>
      <c r="Y21" s="11"/>
      <c r="Z21" s="11"/>
      <c r="AA21" s="11"/>
      <c r="AB21" s="11"/>
    </row>
    <row r="22" ht="14.25" customHeight="1">
      <c r="A22" s="104">
        <v>21.0</v>
      </c>
      <c r="B22" s="104" t="s">
        <v>23</v>
      </c>
      <c r="C22" s="104" t="s">
        <v>46</v>
      </c>
      <c r="D22" s="160"/>
      <c r="E22" s="160"/>
      <c r="F22" s="160"/>
      <c r="G22" s="160"/>
      <c r="H22" s="160"/>
      <c r="I22" s="104">
        <f t="shared" si="1"/>
        <v>0</v>
      </c>
      <c r="J22" s="160"/>
      <c r="K22" s="160"/>
      <c r="L22" s="104">
        <f t="shared" si="2"/>
        <v>0</v>
      </c>
      <c r="M22" s="104">
        <f t="shared" si="3"/>
        <v>0</v>
      </c>
      <c r="N22" s="160"/>
      <c r="O22" s="104">
        <v>11.31</v>
      </c>
      <c r="P22" s="104">
        <v>13.482</v>
      </c>
      <c r="Q22" s="104">
        <f t="shared" si="4"/>
        <v>0</v>
      </c>
      <c r="R22" s="110"/>
      <c r="S22" s="110"/>
      <c r="T22" s="110"/>
      <c r="U22" s="108"/>
      <c r="V22" s="109">
        <f t="shared" si="5"/>
        <v>0</v>
      </c>
      <c r="W22" s="109">
        <f t="shared" si="6"/>
        <v>0</v>
      </c>
      <c r="X22" s="11"/>
      <c r="Y22" s="11"/>
      <c r="Z22" s="11"/>
      <c r="AA22" s="11"/>
      <c r="AB22" s="11"/>
    </row>
    <row r="23" ht="14.25" customHeight="1">
      <c r="A23" s="104">
        <v>22.0</v>
      </c>
      <c r="B23" s="104" t="s">
        <v>23</v>
      </c>
      <c r="C23" s="104" t="s">
        <v>47</v>
      </c>
      <c r="D23" s="160"/>
      <c r="E23" s="160"/>
      <c r="F23" s="160"/>
      <c r="G23" s="160"/>
      <c r="H23" s="160"/>
      <c r="I23" s="104">
        <f t="shared" si="1"/>
        <v>0</v>
      </c>
      <c r="J23" s="160"/>
      <c r="K23" s="160"/>
      <c r="L23" s="104">
        <f t="shared" si="2"/>
        <v>0</v>
      </c>
      <c r="M23" s="104">
        <f t="shared" si="3"/>
        <v>0</v>
      </c>
      <c r="N23" s="160"/>
      <c r="O23" s="104">
        <v>11.31</v>
      </c>
      <c r="P23" s="104">
        <v>13.482</v>
      </c>
      <c r="Q23" s="104">
        <f t="shared" si="4"/>
        <v>0</v>
      </c>
      <c r="R23" s="110"/>
      <c r="S23" s="110"/>
      <c r="T23" s="110"/>
      <c r="U23" s="108"/>
      <c r="V23" s="109">
        <f t="shared" si="5"/>
        <v>0</v>
      </c>
      <c r="W23" s="109">
        <f t="shared" si="6"/>
        <v>0</v>
      </c>
      <c r="X23" s="11"/>
      <c r="Y23" s="11"/>
      <c r="Z23" s="11"/>
      <c r="AA23" s="11"/>
      <c r="AB23" s="11"/>
    </row>
    <row r="24" ht="14.25" customHeight="1">
      <c r="A24" s="104">
        <v>23.0</v>
      </c>
      <c r="B24" s="104" t="s">
        <v>23</v>
      </c>
      <c r="C24" s="104" t="s">
        <v>49</v>
      </c>
      <c r="D24" s="160"/>
      <c r="E24" s="160"/>
      <c r="F24" s="160"/>
      <c r="G24" s="160"/>
      <c r="H24" s="160"/>
      <c r="I24" s="104">
        <f t="shared" si="1"/>
        <v>0</v>
      </c>
      <c r="J24" s="160"/>
      <c r="K24" s="160"/>
      <c r="L24" s="104">
        <f t="shared" si="2"/>
        <v>0</v>
      </c>
      <c r="M24" s="104">
        <f t="shared" si="3"/>
        <v>0</v>
      </c>
      <c r="N24" s="160"/>
      <c r="O24" s="104">
        <v>11.31</v>
      </c>
      <c r="P24" s="104">
        <v>13.482</v>
      </c>
      <c r="Q24" s="104">
        <f t="shared" si="4"/>
        <v>0</v>
      </c>
      <c r="R24" s="110"/>
      <c r="S24" s="110"/>
      <c r="T24" s="110"/>
      <c r="U24" s="108"/>
      <c r="V24" s="109">
        <f t="shared" si="5"/>
        <v>0</v>
      </c>
      <c r="W24" s="109">
        <f t="shared" si="6"/>
        <v>0</v>
      </c>
      <c r="X24" s="11"/>
      <c r="Y24" s="11"/>
      <c r="Z24" s="11"/>
      <c r="AA24" s="11"/>
      <c r="AB24" s="11"/>
    </row>
    <row r="25" ht="14.25" customHeight="1">
      <c r="A25" s="104">
        <v>24.0</v>
      </c>
      <c r="B25" s="104" t="s">
        <v>23</v>
      </c>
      <c r="C25" s="104" t="s">
        <v>50</v>
      </c>
      <c r="D25" s="160"/>
      <c r="E25" s="160"/>
      <c r="F25" s="160"/>
      <c r="G25" s="160"/>
      <c r="H25" s="160"/>
      <c r="I25" s="104">
        <f t="shared" si="1"/>
        <v>0</v>
      </c>
      <c r="J25" s="160"/>
      <c r="K25" s="160"/>
      <c r="L25" s="104">
        <f t="shared" si="2"/>
        <v>0</v>
      </c>
      <c r="M25" s="104">
        <f t="shared" si="3"/>
        <v>0</v>
      </c>
      <c r="N25" s="160"/>
      <c r="O25" s="104">
        <v>11.31</v>
      </c>
      <c r="P25" s="104">
        <v>13.482</v>
      </c>
      <c r="Q25" s="104">
        <f t="shared" si="4"/>
        <v>0</v>
      </c>
      <c r="R25" s="110"/>
      <c r="S25" s="110"/>
      <c r="T25" s="110"/>
      <c r="U25" s="108"/>
      <c r="V25" s="109">
        <f t="shared" si="5"/>
        <v>0</v>
      </c>
      <c r="W25" s="109">
        <f t="shared" si="6"/>
        <v>0</v>
      </c>
      <c r="X25" s="11"/>
      <c r="Y25" s="11"/>
      <c r="Z25" s="11"/>
      <c r="AA25" s="11"/>
      <c r="AB25" s="11"/>
    </row>
    <row r="26" ht="14.25" customHeight="1">
      <c r="A26" s="104">
        <v>25.0</v>
      </c>
      <c r="B26" s="104" t="s">
        <v>23</v>
      </c>
      <c r="C26" s="104" t="s">
        <v>51</v>
      </c>
      <c r="D26" s="160"/>
      <c r="E26" s="160"/>
      <c r="F26" s="160"/>
      <c r="G26" s="160"/>
      <c r="H26" s="160"/>
      <c r="I26" s="104">
        <f t="shared" si="1"/>
        <v>0</v>
      </c>
      <c r="J26" s="160"/>
      <c r="K26" s="160"/>
      <c r="L26" s="104">
        <f t="shared" si="2"/>
        <v>0</v>
      </c>
      <c r="M26" s="104">
        <f t="shared" si="3"/>
        <v>0</v>
      </c>
      <c r="N26" s="160"/>
      <c r="O26" s="104">
        <v>11.31</v>
      </c>
      <c r="P26" s="104">
        <v>13.482</v>
      </c>
      <c r="Q26" s="104">
        <f t="shared" si="4"/>
        <v>0</v>
      </c>
      <c r="R26" s="110"/>
      <c r="S26" s="110"/>
      <c r="T26" s="110"/>
      <c r="U26" s="108"/>
      <c r="V26" s="109">
        <f t="shared" si="5"/>
        <v>0</v>
      </c>
      <c r="W26" s="109">
        <f t="shared" si="6"/>
        <v>0</v>
      </c>
      <c r="X26" s="11"/>
      <c r="Y26" s="11"/>
      <c r="Z26" s="11"/>
      <c r="AA26" s="11"/>
      <c r="AB26" s="11"/>
    </row>
    <row r="27" ht="14.25" customHeight="1">
      <c r="A27" s="104">
        <v>26.0</v>
      </c>
      <c r="B27" s="104" t="s">
        <v>23</v>
      </c>
      <c r="C27" s="104" t="s">
        <v>52</v>
      </c>
      <c r="D27" s="160"/>
      <c r="E27" s="160"/>
      <c r="F27" s="160"/>
      <c r="G27" s="160"/>
      <c r="H27" s="160"/>
      <c r="I27" s="104">
        <f t="shared" si="1"/>
        <v>0</v>
      </c>
      <c r="J27" s="160"/>
      <c r="K27" s="160"/>
      <c r="L27" s="104">
        <f t="shared" si="2"/>
        <v>0</v>
      </c>
      <c r="M27" s="104">
        <f t="shared" si="3"/>
        <v>0</v>
      </c>
      <c r="N27" s="160"/>
      <c r="O27" s="104">
        <v>11.31</v>
      </c>
      <c r="P27" s="104">
        <v>13.482</v>
      </c>
      <c r="Q27" s="104">
        <f t="shared" si="4"/>
        <v>0</v>
      </c>
      <c r="R27" s="110"/>
      <c r="S27" s="110"/>
      <c r="T27" s="110"/>
      <c r="U27" s="108"/>
      <c r="V27" s="109">
        <f t="shared" si="5"/>
        <v>0</v>
      </c>
      <c r="W27" s="109">
        <f t="shared" si="6"/>
        <v>0</v>
      </c>
      <c r="X27" s="11"/>
      <c r="Y27" s="11"/>
      <c r="Z27" s="11"/>
      <c r="AA27" s="11"/>
      <c r="AB27" s="11"/>
    </row>
    <row r="28" ht="14.25" customHeight="1">
      <c r="A28" s="104">
        <v>27.0</v>
      </c>
      <c r="B28" s="104" t="s">
        <v>23</v>
      </c>
      <c r="C28" s="104" t="s">
        <v>53</v>
      </c>
      <c r="D28" s="160"/>
      <c r="E28" s="160"/>
      <c r="F28" s="160"/>
      <c r="G28" s="160"/>
      <c r="H28" s="160"/>
      <c r="I28" s="104">
        <f t="shared" si="1"/>
        <v>0</v>
      </c>
      <c r="J28" s="160"/>
      <c r="K28" s="160"/>
      <c r="L28" s="104">
        <f t="shared" si="2"/>
        <v>0</v>
      </c>
      <c r="M28" s="104">
        <f t="shared" si="3"/>
        <v>0</v>
      </c>
      <c r="N28" s="160"/>
      <c r="O28" s="104">
        <v>11.31</v>
      </c>
      <c r="P28" s="104">
        <v>13.482</v>
      </c>
      <c r="Q28" s="104">
        <f t="shared" si="4"/>
        <v>0</v>
      </c>
      <c r="R28" s="110"/>
      <c r="S28" s="110"/>
      <c r="T28" s="110"/>
      <c r="U28" s="108"/>
      <c r="V28" s="109">
        <f t="shared" si="5"/>
        <v>0</v>
      </c>
      <c r="W28" s="109">
        <f t="shared" si="6"/>
        <v>0</v>
      </c>
      <c r="X28" s="11"/>
      <c r="Y28" s="11"/>
      <c r="Z28" s="11"/>
      <c r="AA28" s="11"/>
      <c r="AB28" s="11"/>
    </row>
    <row r="29" ht="14.25" customHeight="1">
      <c r="A29" s="104">
        <v>28.0</v>
      </c>
      <c r="B29" s="104" t="s">
        <v>23</v>
      </c>
      <c r="C29" s="104" t="s">
        <v>54</v>
      </c>
      <c r="D29" s="160"/>
      <c r="E29" s="160"/>
      <c r="F29" s="160"/>
      <c r="G29" s="160"/>
      <c r="H29" s="160"/>
      <c r="I29" s="104">
        <f t="shared" si="1"/>
        <v>0</v>
      </c>
      <c r="J29" s="160"/>
      <c r="K29" s="160"/>
      <c r="L29" s="104">
        <f t="shared" si="2"/>
        <v>0</v>
      </c>
      <c r="M29" s="104">
        <f t="shared" si="3"/>
        <v>0</v>
      </c>
      <c r="N29" s="160"/>
      <c r="O29" s="104">
        <v>11.31</v>
      </c>
      <c r="P29" s="104">
        <v>13.482</v>
      </c>
      <c r="Q29" s="104">
        <f t="shared" si="4"/>
        <v>0</v>
      </c>
      <c r="R29" s="110"/>
      <c r="S29" s="110"/>
      <c r="T29" s="110"/>
      <c r="U29" s="108"/>
      <c r="V29" s="109">
        <f t="shared" si="5"/>
        <v>0</v>
      </c>
      <c r="W29" s="109">
        <f t="shared" si="6"/>
        <v>0</v>
      </c>
      <c r="X29" s="11"/>
      <c r="Y29" s="11"/>
      <c r="Z29" s="11"/>
      <c r="AA29" s="11"/>
      <c r="AB29" s="11"/>
    </row>
    <row r="30" ht="14.25" customHeight="1">
      <c r="A30" s="104">
        <v>29.0</v>
      </c>
      <c r="B30" s="104" t="s">
        <v>23</v>
      </c>
      <c r="C30" s="104" t="s">
        <v>55</v>
      </c>
      <c r="D30" s="160"/>
      <c r="E30" s="160"/>
      <c r="F30" s="160"/>
      <c r="G30" s="160"/>
      <c r="H30" s="160"/>
      <c r="I30" s="104">
        <f t="shared" si="1"/>
        <v>0</v>
      </c>
      <c r="J30" s="160"/>
      <c r="K30" s="160"/>
      <c r="L30" s="104">
        <f t="shared" si="2"/>
        <v>0</v>
      </c>
      <c r="M30" s="104">
        <f t="shared" si="3"/>
        <v>0</v>
      </c>
      <c r="N30" s="160"/>
      <c r="O30" s="104">
        <v>11.31</v>
      </c>
      <c r="P30" s="104">
        <v>13.482</v>
      </c>
      <c r="Q30" s="104">
        <f t="shared" si="4"/>
        <v>0</v>
      </c>
      <c r="R30" s="110"/>
      <c r="S30" s="110"/>
      <c r="T30" s="110"/>
      <c r="U30" s="108"/>
      <c r="V30" s="109">
        <f t="shared" si="5"/>
        <v>0</v>
      </c>
      <c r="W30" s="109">
        <f t="shared" si="6"/>
        <v>0</v>
      </c>
      <c r="X30" s="11"/>
      <c r="Y30" s="11"/>
      <c r="Z30" s="11"/>
      <c r="AA30" s="11"/>
      <c r="AB30" s="11"/>
    </row>
    <row r="31" ht="14.25" customHeight="1">
      <c r="A31" s="104">
        <v>30.0</v>
      </c>
      <c r="B31" s="104" t="s">
        <v>23</v>
      </c>
      <c r="C31" s="104" t="s">
        <v>56</v>
      </c>
      <c r="D31" s="160"/>
      <c r="E31" s="160"/>
      <c r="F31" s="160"/>
      <c r="G31" s="160"/>
      <c r="H31" s="160"/>
      <c r="I31" s="104">
        <f t="shared" si="1"/>
        <v>0</v>
      </c>
      <c r="J31" s="160"/>
      <c r="K31" s="160"/>
      <c r="L31" s="104">
        <f t="shared" si="2"/>
        <v>0</v>
      </c>
      <c r="M31" s="104">
        <f t="shared" si="3"/>
        <v>0</v>
      </c>
      <c r="N31" s="160"/>
      <c r="O31" s="104">
        <v>11.31</v>
      </c>
      <c r="P31" s="104">
        <v>13.482</v>
      </c>
      <c r="Q31" s="104">
        <f t="shared" si="4"/>
        <v>0</v>
      </c>
      <c r="R31" s="110"/>
      <c r="S31" s="110"/>
      <c r="T31" s="110"/>
      <c r="U31" s="108"/>
      <c r="V31" s="109">
        <f t="shared" si="5"/>
        <v>0</v>
      </c>
      <c r="W31" s="109">
        <f t="shared" si="6"/>
        <v>0</v>
      </c>
      <c r="X31" s="11"/>
      <c r="Y31" s="11"/>
      <c r="Z31" s="11"/>
      <c r="AA31" s="11"/>
      <c r="AB31" s="11"/>
    </row>
    <row r="32" ht="14.25" customHeight="1">
      <c r="A32" s="11"/>
      <c r="B32" s="11"/>
      <c r="C32" s="11"/>
      <c r="D32" s="124" t="s">
        <v>57</v>
      </c>
      <c r="E32" s="124">
        <f>SUM(M:M)</f>
        <v>0</v>
      </c>
      <c r="F32" s="11"/>
      <c r="G32" s="11"/>
      <c r="H32" s="11"/>
      <c r="I32" s="11"/>
      <c r="J32" s="11"/>
      <c r="K32" s="11"/>
      <c r="L32" s="11"/>
      <c r="M32" s="11"/>
      <c r="N32" s="24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4.25" customHeight="1">
      <c r="A33" s="11"/>
      <c r="B33" s="11"/>
      <c r="C33" s="11"/>
      <c r="D33" s="124" t="s">
        <v>58</v>
      </c>
      <c r="E33" s="124">
        <f>SUM(Q:Q)</f>
        <v>0</v>
      </c>
      <c r="F33" s="11"/>
      <c r="G33" s="11"/>
      <c r="H33" s="11"/>
      <c r="I33" s="11"/>
      <c r="J33" s="11"/>
      <c r="K33" s="11"/>
      <c r="L33" s="11"/>
      <c r="M33" s="11"/>
      <c r="N33" s="24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4.25" customHeight="1">
      <c r="A34" s="11"/>
      <c r="B34" s="11"/>
      <c r="C34" s="11"/>
      <c r="D34" s="124" t="s">
        <v>59</v>
      </c>
      <c r="E34" s="124" t="str">
        <f>E32/E33</f>
        <v>#DIV/0!</v>
      </c>
      <c r="F34" s="11"/>
      <c r="G34" s="11"/>
      <c r="H34" s="11"/>
      <c r="I34" s="11"/>
      <c r="J34" s="11"/>
      <c r="K34" s="11"/>
      <c r="L34" s="11"/>
      <c r="M34" s="11"/>
      <c r="N34" s="24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4.25" customHeight="1">
      <c r="A35" s="11"/>
      <c r="B35" s="11"/>
      <c r="C35" s="11"/>
      <c r="D35" s="125"/>
      <c r="E35" s="125"/>
      <c r="F35" s="11"/>
      <c r="G35" s="11"/>
      <c r="H35" s="11"/>
      <c r="I35" s="11"/>
      <c r="J35" s="11"/>
      <c r="K35" s="11"/>
      <c r="L35" s="11"/>
      <c r="M35" s="11"/>
      <c r="N35" s="24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4.25" customHeight="1">
      <c r="A36" s="11"/>
      <c r="B36" s="11"/>
      <c r="C36" s="11"/>
      <c r="D36" s="126" t="s">
        <v>60</v>
      </c>
      <c r="E36" s="126" t="str">
        <f>AVERAGEIF(Q:Q,"&gt;0",Q:Q)</f>
        <v>#DIV/0!</v>
      </c>
      <c r="F36" s="11"/>
      <c r="G36" s="11"/>
      <c r="H36" s="11"/>
      <c r="I36" s="11"/>
      <c r="J36" s="11"/>
      <c r="K36" s="11"/>
      <c r="L36" s="11"/>
      <c r="M36" s="11"/>
      <c r="N36" s="24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4.25" customHeight="1">
      <c r="A37" s="11"/>
      <c r="B37" s="11"/>
      <c r="C37" s="11"/>
      <c r="D37" s="125"/>
      <c r="E37" s="125"/>
      <c r="F37" s="11"/>
      <c r="G37" s="11"/>
      <c r="H37" s="11"/>
      <c r="I37" s="11"/>
      <c r="J37" s="11"/>
      <c r="K37" s="11"/>
      <c r="L37" s="11"/>
      <c r="M37" s="11"/>
      <c r="N37" s="24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4.25" customHeight="1">
      <c r="A38" s="11"/>
      <c r="B38" s="11"/>
      <c r="C38" s="11"/>
      <c r="D38" s="127" t="s">
        <v>61</v>
      </c>
      <c r="E38" s="127">
        <f>SUM(G:G)</f>
        <v>0</v>
      </c>
      <c r="F38" s="11"/>
      <c r="G38" s="11"/>
      <c r="H38" s="11"/>
      <c r="I38" s="11"/>
      <c r="J38" s="11"/>
      <c r="K38" s="11"/>
      <c r="L38" s="11"/>
      <c r="M38" s="11"/>
      <c r="N38" s="24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4.25" customHeight="1">
      <c r="A39" s="11"/>
      <c r="B39" s="11"/>
      <c r="C39" s="11"/>
      <c r="D39" s="127" t="s">
        <v>62</v>
      </c>
      <c r="E39" s="127">
        <f>SUM(H:H)</f>
        <v>0</v>
      </c>
      <c r="F39" s="11"/>
      <c r="G39" s="11"/>
      <c r="H39" s="11"/>
      <c r="I39" s="11"/>
      <c r="J39" s="11"/>
      <c r="K39" s="11"/>
      <c r="L39" s="11"/>
      <c r="M39" s="11"/>
      <c r="N39" s="2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4.25" customHeight="1">
      <c r="A40" s="11"/>
      <c r="B40" s="11"/>
      <c r="C40" s="11"/>
      <c r="D40" s="127" t="s">
        <v>63</v>
      </c>
      <c r="E40" s="127">
        <f>E39+E38</f>
        <v>0</v>
      </c>
      <c r="F40" s="11"/>
      <c r="G40" s="11"/>
      <c r="H40" s="11"/>
      <c r="I40" s="11"/>
      <c r="J40" s="11"/>
      <c r="K40" s="11"/>
      <c r="L40" s="11"/>
      <c r="M40" s="11"/>
      <c r="N40" s="2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4.25" customHeight="1">
      <c r="A41" s="11"/>
      <c r="B41" s="11"/>
      <c r="C41" s="11"/>
      <c r="D41" s="125"/>
      <c r="E41" s="125"/>
      <c r="F41" s="11"/>
      <c r="G41" s="11"/>
      <c r="H41" s="11"/>
      <c r="I41" s="11"/>
      <c r="J41" s="11"/>
      <c r="K41" s="11"/>
      <c r="L41" s="11"/>
      <c r="M41" s="11"/>
      <c r="N41" s="24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4.25" customHeight="1">
      <c r="A42" s="11"/>
      <c r="B42" s="11"/>
      <c r="C42" s="11"/>
      <c r="D42" s="128" t="s">
        <v>64</v>
      </c>
      <c r="E42" s="128">
        <f>SUM(I:I)</f>
        <v>0</v>
      </c>
      <c r="F42" s="11"/>
      <c r="G42" s="11"/>
      <c r="H42" s="11"/>
      <c r="I42" s="11"/>
      <c r="J42" s="11"/>
      <c r="K42" s="11"/>
      <c r="L42" s="11"/>
      <c r="M42" s="11"/>
      <c r="N42" s="24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4.25" customHeight="1">
      <c r="A43" s="11"/>
      <c r="B43" s="11"/>
      <c r="C43" s="11"/>
      <c r="D43" s="128" t="s">
        <v>65</v>
      </c>
      <c r="E43" s="128">
        <f>SUM(J:J)</f>
        <v>0</v>
      </c>
      <c r="F43" s="11"/>
      <c r="G43" s="11"/>
      <c r="H43" s="11"/>
      <c r="I43" s="11"/>
      <c r="J43" s="11"/>
      <c r="K43" s="11"/>
      <c r="L43" s="11"/>
      <c r="M43" s="11"/>
      <c r="N43" s="24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4.25" customHeight="1">
      <c r="A44" s="11"/>
      <c r="B44" s="11"/>
      <c r="C44" s="11"/>
      <c r="D44" s="128" t="s">
        <v>66</v>
      </c>
      <c r="E44" s="128">
        <f>E43+E42</f>
        <v>0</v>
      </c>
      <c r="F44" s="11"/>
      <c r="G44" s="11"/>
      <c r="H44" s="11"/>
      <c r="I44" s="11"/>
      <c r="J44" s="11"/>
      <c r="K44" s="11"/>
      <c r="L44" s="11"/>
      <c r="M44" s="11"/>
      <c r="N44" s="24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4.25" customHeight="1">
      <c r="A45" s="11"/>
      <c r="B45" s="11"/>
      <c r="C45" s="11"/>
      <c r="D45" s="125"/>
      <c r="E45" s="125"/>
      <c r="F45" s="11"/>
      <c r="G45" s="11"/>
      <c r="H45" s="11"/>
      <c r="I45" s="11"/>
      <c r="J45" s="11"/>
      <c r="K45" s="11"/>
      <c r="L45" s="11"/>
      <c r="M45" s="11"/>
      <c r="N45" s="24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4.25" customHeight="1">
      <c r="A46" s="11"/>
      <c r="B46" s="11"/>
      <c r="C46" s="11"/>
      <c r="D46" s="129" t="s">
        <v>10</v>
      </c>
      <c r="E46" s="129">
        <f t="shared" ref="E46:E47" si="7">E42+E38</f>
        <v>0</v>
      </c>
      <c r="F46" s="11"/>
      <c r="G46" s="11"/>
      <c r="H46" s="11"/>
      <c r="I46" s="11"/>
      <c r="J46" s="11"/>
      <c r="K46" s="11"/>
      <c r="L46" s="11"/>
      <c r="M46" s="11"/>
      <c r="N46" s="2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4.25" customHeight="1">
      <c r="A47" s="11"/>
      <c r="B47" s="11"/>
      <c r="C47" s="11"/>
      <c r="D47" s="129" t="s">
        <v>11</v>
      </c>
      <c r="E47" s="129">
        <f t="shared" si="7"/>
        <v>0</v>
      </c>
      <c r="F47" s="11"/>
      <c r="G47" s="11"/>
      <c r="H47" s="11"/>
      <c r="I47" s="11"/>
      <c r="J47" s="11"/>
      <c r="K47" s="11"/>
      <c r="L47" s="11"/>
      <c r="M47" s="11"/>
      <c r="N47" s="2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4.25" customHeight="1">
      <c r="A48" s="11"/>
      <c r="B48" s="11"/>
      <c r="C48" s="11"/>
      <c r="D48" s="125"/>
      <c r="E48" s="125"/>
      <c r="F48" s="11"/>
      <c r="G48" s="11"/>
      <c r="H48" s="11"/>
      <c r="I48" s="11"/>
      <c r="J48" s="11"/>
      <c r="K48" s="11"/>
      <c r="L48" s="11"/>
      <c r="M48" s="11"/>
      <c r="N48" s="2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4.25" customHeight="1">
      <c r="A49" s="11"/>
      <c r="B49" s="11"/>
      <c r="C49" s="11"/>
      <c r="D49" s="125"/>
      <c r="E49" s="125"/>
      <c r="F49" s="11"/>
      <c r="G49" s="11"/>
      <c r="H49" s="11"/>
      <c r="I49" s="11"/>
      <c r="J49" s="11"/>
      <c r="K49" s="11"/>
      <c r="L49" s="11"/>
      <c r="M49" s="11"/>
      <c r="N49" s="24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4.25" customHeight="1">
      <c r="A50" s="11"/>
      <c r="B50" s="11"/>
      <c r="C50" s="11"/>
      <c r="D50" s="125"/>
      <c r="E50" s="125"/>
      <c r="F50" s="11"/>
      <c r="G50" s="11"/>
      <c r="H50" s="11"/>
      <c r="I50" s="11"/>
      <c r="J50" s="11"/>
      <c r="K50" s="11"/>
      <c r="L50" s="11"/>
      <c r="M50" s="11"/>
      <c r="N50" s="24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4.25" customHeight="1">
      <c r="A51" s="11"/>
      <c r="B51" s="11"/>
      <c r="C51" s="11"/>
      <c r="D51" s="125"/>
      <c r="E51" s="125"/>
      <c r="F51" s="11"/>
      <c r="G51" s="11"/>
      <c r="H51" s="11"/>
      <c r="I51" s="11"/>
      <c r="J51" s="11"/>
      <c r="K51" s="11"/>
      <c r="L51" s="11"/>
      <c r="M51" s="11"/>
      <c r="N51" s="24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4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4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4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4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4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4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4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4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4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4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4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4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4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4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4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4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4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4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4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4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4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4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4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4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4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4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4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4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4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4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4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4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4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4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4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4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4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4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4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4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4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4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4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4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4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4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4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4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4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4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4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4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4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4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4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4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4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4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4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4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4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4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4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4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4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4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4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4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4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4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4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4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4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4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4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4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4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4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4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4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4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4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4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4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4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4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4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4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4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4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4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4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4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4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4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4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4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4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4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4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4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4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4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4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4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4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4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4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4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4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4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4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4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4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4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4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4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4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4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4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4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4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4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4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4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4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4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4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4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4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4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4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4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4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4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4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4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4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4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4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4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4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4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4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4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4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4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4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4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4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4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4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4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4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4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