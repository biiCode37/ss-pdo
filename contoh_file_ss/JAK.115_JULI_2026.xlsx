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  <sheet state="visible" name="9" sheetId="9" r:id="rId13"/>
    <sheet state="visible" name="10" sheetId="10" r:id="rId14"/>
    <sheet state="visible" name="11" sheetId="11" r:id="rId15"/>
    <sheet state="visible" name="12" sheetId="12" r:id="rId16"/>
    <sheet state="visible" name="13" sheetId="13" r:id="rId17"/>
    <sheet state="visible" name="14" sheetId="14" r:id="rId18"/>
    <sheet state="visible" name="15" sheetId="15" r:id="rId19"/>
    <sheet state="visible" name="16" sheetId="16" r:id="rId20"/>
    <sheet state="visible" name="17" sheetId="17" r:id="rId21"/>
    <sheet state="visible" name="18" sheetId="18" r:id="rId22"/>
    <sheet state="visible" name="19" sheetId="19" r:id="rId23"/>
    <sheet state="visible" name="20" sheetId="20" r:id="rId24"/>
    <sheet state="visible" name="21" sheetId="21" r:id="rId25"/>
    <sheet state="visible" name="22" sheetId="22" r:id="rId26"/>
    <sheet state="visible" name="23" sheetId="23" r:id="rId27"/>
    <sheet state="visible" name="24" sheetId="24" r:id="rId28"/>
    <sheet state="visible" name="25" sheetId="25" r:id="rId29"/>
    <sheet state="visible" name="26" sheetId="26" r:id="rId30"/>
    <sheet state="visible" name="27" sheetId="27" r:id="rId31"/>
    <sheet state="visible" name="28" sheetId="28" r:id="rId32"/>
    <sheet state="visible" name="29" sheetId="29" r:id="rId33"/>
    <sheet state="visible" name="30" sheetId="30" r:id="rId34"/>
    <sheet state="visible" name="31" sheetId="31" r:id="rId35"/>
  </sheets>
  <definedNames/>
  <calcPr/>
</workbook>
</file>

<file path=xl/sharedStrings.xml><?xml version="1.0" encoding="utf-8"?>
<sst xmlns="http://schemas.openxmlformats.org/spreadsheetml/2006/main" count="2980" uniqueCount="83">
  <si>
    <t>NO</t>
  </si>
  <si>
    <t>Kode Rute</t>
  </si>
  <si>
    <t>No Body</t>
  </si>
  <si>
    <t>TERM. TJ PRIOK - PEGANGSAAN II IGI</t>
  </si>
  <si>
    <t>PEGANGSAAN II IGI - TERM. TJ PRIOK</t>
  </si>
  <si>
    <t>TRIP PENGALIHAN</t>
  </si>
  <si>
    <t>TOA SHIFT 1</t>
  </si>
  <si>
    <t>MANUAL SHIFT 1</t>
  </si>
  <si>
    <t>TOA SHIFT 2</t>
  </si>
  <si>
    <t>MANUAL SHIFT 2</t>
  </si>
  <si>
    <t>TOTAL TOA</t>
  </si>
  <si>
    <t>TOTAL MANUAL</t>
  </si>
  <si>
    <t>TOTAL PELANGGAN</t>
  </si>
  <si>
    <t>KETERANGAN</t>
  </si>
  <si>
    <t>KM 1</t>
  </si>
  <si>
    <t>KM 2</t>
  </si>
  <si>
    <t>TOTAL KM</t>
  </si>
  <si>
    <t>Kilometer Awal Shift 1</t>
  </si>
  <si>
    <t>Kilometer Akhir Shift 1</t>
  </si>
  <si>
    <t>Kilometer Awal Shift 2</t>
  </si>
  <si>
    <t>Kilometer Akhir Shift 2</t>
  </si>
  <si>
    <t>Total Kilometer Shift 1</t>
  </si>
  <si>
    <t>Total Kilometer Shift 2</t>
  </si>
  <si>
    <t>JAK.115</t>
  </si>
  <si>
    <t>KWK 222153</t>
  </si>
  <si>
    <t>KWK 222154</t>
  </si>
  <si>
    <t>KWK 222155</t>
  </si>
  <si>
    <t>KWK 222156</t>
  </si>
  <si>
    <t>KWK 222157</t>
  </si>
  <si>
    <t>KWK 222158</t>
  </si>
  <si>
    <t>KWK 222159</t>
  </si>
  <si>
    <t>BA02 TKS</t>
  </si>
  <si>
    <t>KWK 222160</t>
  </si>
  <si>
    <t>KWK 222161</t>
  </si>
  <si>
    <t>KWK 222162</t>
  </si>
  <si>
    <t>BA02 NP 2</t>
  </si>
  <si>
    <t>KWK 222163</t>
  </si>
  <si>
    <t>KWK 222164</t>
  </si>
  <si>
    <t>KWK 222165</t>
  </si>
  <si>
    <t>KWK 222166</t>
  </si>
  <si>
    <t>KWK 222167</t>
  </si>
  <si>
    <t>KWK 222168</t>
  </si>
  <si>
    <t>Service berkala</t>
  </si>
  <si>
    <t>KWK 222169</t>
  </si>
  <si>
    <t>KWK 222170</t>
  </si>
  <si>
    <t>KWK 222171</t>
  </si>
  <si>
    <t>KWK 222172</t>
  </si>
  <si>
    <t>KWK 222173</t>
  </si>
  <si>
    <t>KWK 222174</t>
  </si>
  <si>
    <t>KWK 222175</t>
  </si>
  <si>
    <t>KWK 222176</t>
  </si>
  <si>
    <t>KWK 222177</t>
  </si>
  <si>
    <t>KWK 222178</t>
  </si>
  <si>
    <t>KWK 222179</t>
  </si>
  <si>
    <t>KWK 222180</t>
  </si>
  <si>
    <t>KWK 222181</t>
  </si>
  <si>
    <t>KWK 222182</t>
  </si>
  <si>
    <t>Total Pelanggan</t>
  </si>
  <si>
    <t>Total KM</t>
  </si>
  <si>
    <t>Total Pelanggan/KM</t>
  </si>
  <si>
    <t>KM/BUS</t>
  </si>
  <si>
    <t>TOTAL TOA SHIFT 1</t>
  </si>
  <si>
    <t>TOTAL MANUAL SHIFT 1</t>
  </si>
  <si>
    <t>TOTAL SHIFT 1</t>
  </si>
  <si>
    <t>TOTAL TOA SHIFT 2</t>
  </si>
  <si>
    <t>TOTAL MANUAL SHIFT 2</t>
  </si>
  <si>
    <t>TOTAL SHIFT 2</t>
  </si>
  <si>
    <t>To evdal</t>
  </si>
  <si>
    <t>Perbaikan unit</t>
  </si>
  <si>
    <t>NP1 / Renops</t>
  </si>
  <si>
    <t>BA02 Perpanjang STNK</t>
  </si>
  <si>
    <t>BA02 Pramudi sakit BAB/ NP2</t>
  </si>
  <si>
    <t>BA02 Pramudi sakit BAB</t>
  </si>
  <si>
    <t>BA02 pramudi izin ada keperluan keluarga/ OKB</t>
  </si>
  <si>
    <t>service berkala/ renops</t>
  </si>
  <si>
    <t>OOF</t>
  </si>
  <si>
    <t>OFF</t>
  </si>
  <si>
    <t>NP 1/RENOPS</t>
  </si>
  <si>
    <t>PERBAIKAN UNIT</t>
  </si>
  <si>
    <t>BA02/04 LAKA LANTAS</t>
  </si>
  <si>
    <t>perbaikan unit</t>
  </si>
  <si>
    <t xml:space="preserve">Perbaikan Unit Pasca Laka lantas </t>
  </si>
  <si>
    <t>BA02 NP2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</si>
</sst>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b/>
      <sz val="9.0"/>
      <color theme="1"/>
      <name val="Calibri"/>
    </font>
    <font>
      <b/>
      <color theme="1"/>
      <name val="Arial"/>
      <scheme val="minor"/>
    </font>
    <font>
      <b/>
      <color theme="1"/>
      <name val="Arial"/>
    </font>
    <font>
      <b/>
      <sz val="11.0"/>
      <color rgb="FF00FFFF"/>
      <name val="Arial"/>
    </font>
    <font>
      <sz val="11.0"/>
      <color rgb="FF00FFFF"/>
      <name val="Calibri"/>
    </font>
    <font>
      <b/>
      <sz val="11.0"/>
      <color rgb="FF00FFFF"/>
      <name val="Calibri"/>
    </font>
    <font>
      <color theme="1"/>
      <name val="Calibri"/>
    </font>
    <font>
      <b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2" fillId="3" fontId="3" numFmtId="1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3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1" xfId="0" applyAlignment="1" applyBorder="1" applyFont="1" applyNumberFormat="1">
      <alignment horizontal="center" shrinkToFit="0" vertical="bottom" wrapText="1"/>
    </xf>
    <xf borderId="4" fillId="4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vertical="bottom"/>
    </xf>
    <xf borderId="1" fillId="4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shrinkToFit="0" vertical="bottom" wrapText="1"/>
    </xf>
    <xf borderId="3" fillId="4" fontId="2" numFmtId="0" xfId="0" applyAlignment="1" applyBorder="1" applyFont="1">
      <alignment horizontal="center" readingOrder="0" vertical="bottom"/>
    </xf>
    <xf borderId="3" fillId="4" fontId="2" numFmtId="0" xfId="0" applyAlignment="1" applyBorder="1" applyFont="1">
      <alignment horizontal="center" vertical="bottom"/>
    </xf>
    <xf borderId="4" fillId="4" fontId="2" numFmtId="0" xfId="0" applyAlignment="1" applyBorder="1" applyFont="1">
      <alignment horizontal="center" vertical="bottom"/>
    </xf>
    <xf borderId="4" fillId="4" fontId="2" numFmtId="1" xfId="0" applyAlignment="1" applyBorder="1" applyFont="1" applyNumberFormat="1">
      <alignment horizontal="center" shrinkToFit="0" vertical="bottom" wrapText="1"/>
    </xf>
    <xf borderId="4" fillId="5" fontId="1" numFmtId="0" xfId="0" applyAlignment="1" applyBorder="1" applyFill="1" applyFont="1">
      <alignment horizontal="center"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vertical="bottom"/>
    </xf>
    <xf borderId="1" fillId="5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shrinkToFit="0" vertical="bottom" wrapText="1"/>
    </xf>
    <xf borderId="3" fillId="5" fontId="2" numFmtId="0" xfId="0" applyAlignment="1" applyBorder="1" applyFont="1">
      <alignment horizontal="center" vertical="bottom"/>
    </xf>
    <xf borderId="4" fillId="5" fontId="2" numFmtId="0" xfId="0" applyAlignment="1" applyBorder="1" applyFont="1">
      <alignment horizontal="center" vertical="bottom"/>
    </xf>
    <xf borderId="4" fillId="5" fontId="2" numFmtId="1" xfId="0" applyAlignment="1" applyBorder="1" applyFont="1" applyNumberFormat="1">
      <alignment horizontal="center" shrinkToFit="0" vertical="bottom" wrapText="1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1" fillId="4" fontId="3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righ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right" shrinkToFit="0" vertical="center" wrapText="1"/>
    </xf>
    <xf borderId="1" fillId="6" fontId="2" numFmtId="0" xfId="0" applyAlignment="1" applyBorder="1" applyFill="1" applyFont="1">
      <alignment horizontal="left" shrinkToFit="0" vertical="center" wrapText="1"/>
    </xf>
    <xf borderId="1" fillId="6" fontId="2" numFmtId="0" xfId="0" applyAlignment="1" applyBorder="1" applyFont="1">
      <alignment horizontal="right" shrinkToFit="0" vertical="center" wrapText="1"/>
    </xf>
    <xf borderId="1" fillId="7" fontId="3" numFmtId="0" xfId="0" applyAlignment="1" applyBorder="1" applyFill="1" applyFont="1">
      <alignment horizontal="left" shrinkToFit="0" vertical="center" wrapText="1"/>
    </xf>
    <xf borderId="1" fillId="7" fontId="2" numFmtId="0" xfId="0" applyAlignment="1" applyBorder="1" applyFont="1">
      <alignment horizontal="righ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1" fillId="8" fontId="3" numFmtId="0" xfId="0" applyAlignment="1" applyBorder="1" applyFill="1" applyFont="1">
      <alignment horizontal="left" shrinkToFit="0" vertical="center" wrapText="1"/>
    </xf>
    <xf borderId="1" fillId="8" fontId="2" numFmtId="0" xfId="0" applyAlignment="1" applyBorder="1" applyFont="1">
      <alignment horizontal="right" shrinkToFit="0" vertical="center" wrapText="1"/>
    </xf>
    <xf borderId="1" fillId="3" fontId="6" numFmtId="0" xfId="0" applyAlignment="1" applyBorder="1" applyFont="1">
      <alignment horizontal="center" shrinkToFit="0" vertical="bottom" wrapText="1"/>
    </xf>
    <xf borderId="2" fillId="3" fontId="6" numFmtId="0" xfId="0" applyAlignment="1" applyBorder="1" applyFont="1">
      <alignment horizontal="center" shrinkToFit="0" vertical="bottom" wrapText="1"/>
    </xf>
    <xf borderId="2" fillId="3" fontId="6" numFmtId="1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vertical="bottom"/>
    </xf>
    <xf borderId="4" fillId="9" fontId="1" numFmtId="0" xfId="0" applyAlignment="1" applyBorder="1" applyFill="1" applyFont="1">
      <alignment horizontal="center" shrinkToFit="0" vertical="center" wrapText="1"/>
    </xf>
    <xf borderId="4" fillId="9" fontId="1" numFmtId="0" xfId="0" applyAlignment="1" applyBorder="1" applyFont="1">
      <alignment horizontal="center" readingOrder="0" shrinkToFit="0" vertical="center" wrapText="1"/>
    </xf>
    <xf borderId="1" fillId="9" fontId="4" numFmtId="0" xfId="0" applyAlignment="1" applyBorder="1" applyFont="1">
      <alignment horizontal="center" vertical="bottom"/>
    </xf>
    <xf borderId="1" fillId="9" fontId="2" numFmtId="0" xfId="0" applyAlignment="1" applyBorder="1" applyFont="1">
      <alignment horizontal="center" shrinkToFit="0" vertical="bottom" wrapText="1"/>
    </xf>
    <xf borderId="3" fillId="9" fontId="4" numFmtId="0" xfId="0" applyAlignment="1" applyBorder="1" applyFont="1">
      <alignment horizontal="center" vertical="bottom"/>
    </xf>
    <xf borderId="4" fillId="9" fontId="4" numFmtId="0" xfId="0" applyAlignment="1" applyBorder="1" applyFont="1">
      <alignment horizontal="center" vertical="bottom"/>
    </xf>
    <xf borderId="4" fillId="9" fontId="2" numFmtId="1" xfId="0" applyAlignment="1" applyBorder="1" applyFont="1" applyNumberFormat="1">
      <alignment horizontal="center" shrinkToFit="0" vertical="bottom" wrapText="1"/>
    </xf>
    <xf borderId="1" fillId="5" fontId="4" numFmtId="0" xfId="0" applyAlignment="1" applyBorder="1" applyFont="1">
      <alignment horizontal="center" vertical="bottom"/>
    </xf>
    <xf borderId="3" fillId="5" fontId="4" numFmtId="0" xfId="0" applyAlignment="1" applyBorder="1" applyFont="1">
      <alignment horizontal="center" vertical="bottom"/>
    </xf>
    <xf borderId="4" fillId="5" fontId="4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2" fillId="3" fontId="6" numFmtId="1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1" xfId="0" applyAlignment="1" applyBorder="1" applyFont="1" applyNumberFormat="1">
      <alignment horizontal="center" shrinkToFit="0" vertical="center" wrapText="1"/>
    </xf>
    <xf borderId="1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shrinkToFit="0" vertical="center" wrapText="1"/>
    </xf>
    <xf borderId="3" fillId="5" fontId="2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vertical="center"/>
    </xf>
    <xf borderId="4" fillId="5" fontId="2" numFmtId="1" xfId="0" applyAlignment="1" applyBorder="1" applyFont="1" applyNumberFormat="1">
      <alignment horizontal="center" shrinkToFit="0" vertical="center" wrapText="1"/>
    </xf>
    <xf borderId="4" fillId="10" fontId="1" numFmtId="0" xfId="0" applyAlignment="1" applyBorder="1" applyFill="1" applyFont="1">
      <alignment horizontal="center" shrinkToFit="0" vertical="center" wrapText="1"/>
    </xf>
    <xf borderId="4" fillId="10" fontId="1" numFmtId="0" xfId="0" applyAlignment="1" applyBorder="1" applyFont="1">
      <alignment horizontal="center" readingOrder="0" shrinkToFit="0" vertical="center" wrapText="1"/>
    </xf>
    <xf borderId="1" fillId="10" fontId="2" numFmtId="0" xfId="0" applyAlignment="1" applyBorder="1" applyFont="1">
      <alignment horizontal="center" vertical="center"/>
    </xf>
    <xf borderId="1" fillId="10" fontId="2" numFmtId="0" xfId="0" applyAlignment="1" applyBorder="1" applyFont="1">
      <alignment horizontal="center" shrinkToFit="0" vertical="center" wrapText="1"/>
    </xf>
    <xf borderId="1" fillId="10" fontId="2" numFmtId="0" xfId="0" applyAlignment="1" applyBorder="1" applyFont="1">
      <alignment horizontal="center" readingOrder="0" vertical="center"/>
    </xf>
    <xf borderId="3" fillId="10" fontId="2" numFmtId="0" xfId="0" applyAlignment="1" applyBorder="1" applyFont="1">
      <alignment horizontal="center" vertical="center"/>
    </xf>
    <xf borderId="3" fillId="10" fontId="2" numFmtId="0" xfId="0" applyAlignment="1" applyBorder="1" applyFont="1">
      <alignment horizontal="center" readingOrder="0" vertical="center"/>
    </xf>
    <xf borderId="4" fillId="10" fontId="2" numFmtId="0" xfId="0" applyAlignment="1" applyBorder="1" applyFont="1">
      <alignment horizontal="center" readingOrder="0" vertical="center"/>
    </xf>
    <xf borderId="4" fillId="10" fontId="2" numFmtId="1" xfId="0" applyAlignment="1" applyBorder="1" applyFont="1" applyNumberFormat="1">
      <alignment horizontal="center" shrinkToFit="0" vertical="center" wrapText="1"/>
    </xf>
    <xf borderId="1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center" vertical="center"/>
    </xf>
    <xf borderId="4" fillId="4" fontId="2" numFmtId="0" xfId="0" applyAlignment="1" applyBorder="1" applyFont="1">
      <alignment horizontal="center" vertical="center"/>
    </xf>
    <xf borderId="4" fillId="4" fontId="2" numFmtId="1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1" fillId="8" fontId="2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vertical="bottom"/>
    </xf>
    <xf borderId="3" fillId="4" fontId="4" numFmtId="0" xfId="0" applyAlignment="1" applyBorder="1" applyFont="1">
      <alignment horizontal="center" readingOrder="0" vertical="bottom"/>
    </xf>
    <xf borderId="3" fillId="4" fontId="4" numFmtId="0" xfId="0" applyAlignment="1" applyBorder="1" applyFont="1">
      <alignment horizontal="center" vertical="bottom"/>
    </xf>
    <xf borderId="4" fillId="4" fontId="4" numFmtId="0" xfId="0" applyAlignment="1" applyBorder="1" applyFont="1">
      <alignment horizontal="center" vertical="bottom"/>
    </xf>
    <xf borderId="1" fillId="10" fontId="4" numFmtId="0" xfId="0" applyAlignment="1" applyBorder="1" applyFont="1">
      <alignment vertical="bottom"/>
    </xf>
    <xf borderId="1" fillId="10" fontId="4" numFmtId="0" xfId="0" applyAlignment="1" applyBorder="1" applyFont="1">
      <alignment horizontal="center" readingOrder="0" vertical="bottom"/>
    </xf>
    <xf borderId="1" fillId="10" fontId="4" numFmtId="0" xfId="0" applyAlignment="1" applyBorder="1" applyFont="1">
      <alignment horizontal="center" vertical="bottom"/>
    </xf>
    <xf borderId="1" fillId="10" fontId="2" numFmtId="0" xfId="0" applyAlignment="1" applyBorder="1" applyFont="1">
      <alignment horizontal="center" shrinkToFit="0" vertical="bottom" wrapText="1"/>
    </xf>
    <xf borderId="3" fillId="10" fontId="4" numFmtId="0" xfId="0" applyAlignment="1" applyBorder="1" applyFont="1">
      <alignment horizontal="center" readingOrder="0" vertical="bottom"/>
    </xf>
    <xf borderId="4" fillId="10" fontId="4" numFmtId="0" xfId="0" applyAlignment="1" applyBorder="1" applyFont="1">
      <alignment horizontal="center" readingOrder="0" vertical="bottom"/>
    </xf>
    <xf borderId="4" fillId="10" fontId="2" numFmtId="1" xfId="0" applyAlignment="1" applyBorder="1" applyFont="1" applyNumberFormat="1">
      <alignment horizontal="center" shrinkToFit="0" vertical="bottom" wrapText="1"/>
    </xf>
    <xf borderId="3" fillId="10" fontId="4" numFmtId="0" xfId="0" applyAlignment="1" applyBorder="1" applyFont="1">
      <alignment horizontal="center" vertical="bottom"/>
    </xf>
    <xf borderId="1" fillId="9" fontId="4" numFmtId="0" xfId="0" applyAlignment="1" applyBorder="1" applyFont="1">
      <alignment vertical="bottom"/>
    </xf>
    <xf borderId="1" fillId="9" fontId="2" numFmtId="0" xfId="0" applyAlignment="1" applyBorder="1" applyFont="1">
      <alignment horizontal="center" vertical="bottom"/>
    </xf>
    <xf borderId="3" fillId="9" fontId="2" numFmtId="0" xfId="0" applyAlignment="1" applyBorder="1" applyFont="1">
      <alignment horizontal="center" vertical="bottom"/>
    </xf>
    <xf borderId="4" fillId="9" fontId="2" numFmtId="0" xfId="0" applyAlignment="1" applyBorder="1" applyFont="1">
      <alignment horizontal="center" vertical="bottom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4" fillId="11" fontId="1" numFmtId="0" xfId="0" applyAlignment="1" applyBorder="1" applyFill="1" applyFont="1">
      <alignment horizontal="center" shrinkToFit="0" vertical="center" wrapText="1"/>
    </xf>
    <xf borderId="4" fillId="11" fontId="1" numFmtId="0" xfId="0" applyAlignment="1" applyBorder="1" applyFont="1">
      <alignment horizontal="center" readingOrder="0" shrinkToFit="0" vertical="center" wrapText="1"/>
    </xf>
    <xf borderId="1" fillId="11" fontId="4" numFmtId="0" xfId="0" applyAlignment="1" applyBorder="1" applyFont="1">
      <alignment vertical="bottom"/>
    </xf>
    <xf borderId="1" fillId="11" fontId="2" numFmtId="0" xfId="0" applyAlignment="1" applyBorder="1" applyFont="1">
      <alignment horizontal="center" shrinkToFit="0" vertical="bottom" wrapText="1"/>
    </xf>
    <xf borderId="1" fillId="11" fontId="4" numFmtId="0" xfId="0" applyAlignment="1" applyBorder="1" applyFont="1">
      <alignment readingOrder="0" vertical="bottom"/>
    </xf>
    <xf borderId="3" fillId="11" fontId="4" numFmtId="0" xfId="0" applyAlignment="1" applyBorder="1" applyFont="1">
      <alignment vertical="bottom"/>
    </xf>
    <xf borderId="3" fillId="11" fontId="4" numFmtId="0" xfId="0" applyAlignment="1" applyBorder="1" applyFont="1">
      <alignment readingOrder="0" vertical="bottom"/>
    </xf>
    <xf borderId="4" fillId="11" fontId="4" numFmtId="0" xfId="0" applyAlignment="1" applyBorder="1" applyFont="1">
      <alignment readingOrder="0" vertical="bottom"/>
    </xf>
    <xf borderId="4" fillId="11" fontId="2" numFmtId="1" xfId="0" applyAlignment="1" applyBorder="1" applyFont="1" applyNumberFormat="1">
      <alignment horizontal="center" shrinkToFit="0" vertical="bottom" wrapText="1"/>
    </xf>
    <xf borderId="4" fillId="9" fontId="9" numFmtId="0" xfId="0" applyAlignment="1" applyBorder="1" applyFont="1">
      <alignment horizontal="center" shrinkToFit="0" vertical="center" wrapText="1"/>
    </xf>
    <xf borderId="1" fillId="9" fontId="10" numFmtId="0" xfId="0" applyAlignment="1" applyBorder="1" applyFont="1">
      <alignment vertical="bottom"/>
    </xf>
    <xf borderId="1" fillId="9" fontId="11" numFmtId="0" xfId="0" applyAlignment="1" applyBorder="1" applyFont="1">
      <alignment horizontal="center" shrinkToFit="0" vertical="bottom" wrapText="1"/>
    </xf>
    <xf borderId="4" fillId="9" fontId="9" numFmtId="0" xfId="0" applyAlignment="1" applyBorder="1" applyFont="1">
      <alignment horizontal="center" readingOrder="0" shrinkToFit="0" vertical="center" wrapText="1"/>
    </xf>
    <xf borderId="3" fillId="9" fontId="10" numFmtId="0" xfId="0" applyAlignment="1" applyBorder="1" applyFont="1">
      <alignment vertical="bottom"/>
    </xf>
    <xf borderId="4" fillId="9" fontId="10" numFmtId="0" xfId="0" applyAlignment="1" applyBorder="1" applyFont="1">
      <alignment vertical="bottom"/>
    </xf>
    <xf borderId="4" fillId="9" fontId="11" numFmtId="1" xfId="0" applyAlignment="1" applyBorder="1" applyFont="1" applyNumberFormat="1">
      <alignment horizontal="center" shrinkToFit="0" vertical="bottom" wrapText="1"/>
    </xf>
    <xf borderId="1" fillId="4" fontId="4" numFmtId="0" xfId="0" applyAlignment="1" applyBorder="1" applyFont="1">
      <alignment readingOrder="0" vertical="bottom"/>
    </xf>
    <xf borderId="3" fillId="4" fontId="4" numFmtId="0" xfId="0" applyAlignment="1" applyBorder="1" applyFont="1">
      <alignment readingOrder="0" vertical="bottom"/>
    </xf>
    <xf borderId="4" fillId="4" fontId="4" numFmtId="0" xfId="0" applyAlignment="1" applyBorder="1" applyFont="1">
      <alignment readingOrder="0" vertical="bottom"/>
    </xf>
    <xf borderId="3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3" fillId="5" fontId="8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center" vertical="center"/>
    </xf>
    <xf borderId="3" fillId="10" fontId="8" numFmtId="0" xfId="0" applyAlignment="1" applyBorder="1" applyFont="1">
      <alignment horizontal="center" vertical="center"/>
    </xf>
    <xf borderId="4" fillId="10" fontId="8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2" fillId="3" fontId="2" numFmtId="1" xfId="0" applyAlignment="1" applyBorder="1" applyFont="1" applyNumberForma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shrinkToFit="0" vertical="bottom" wrapText="1"/>
    </xf>
    <xf borderId="4" fillId="0" fontId="8" numFmtId="0" xfId="0" applyAlignment="1" applyBorder="1" applyFont="1">
      <alignment horizontal="center" vertical="center"/>
    </xf>
    <xf borderId="4" fillId="0" fontId="13" numFmtId="1" xfId="0" applyAlignment="1" applyBorder="1" applyFont="1" applyNumberForma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vertical="bottom"/>
    </xf>
    <xf borderId="1" fillId="4" fontId="12" numFmtId="0" xfId="0" applyAlignment="1" applyBorder="1" applyFont="1">
      <alignment horizontal="center" readingOrder="0" vertical="bottom"/>
    </xf>
    <xf borderId="1" fillId="4" fontId="12" numFmtId="0" xfId="0" applyAlignment="1" applyBorder="1" applyFont="1">
      <alignment horizontal="center" vertical="bottom"/>
    </xf>
    <xf borderId="1" fillId="4" fontId="13" numFmtId="0" xfId="0" applyAlignment="1" applyBorder="1" applyFont="1">
      <alignment horizontal="center" shrinkToFit="0" vertical="bottom" wrapText="1"/>
    </xf>
    <xf borderId="3" fillId="4" fontId="8" numFmtId="0" xfId="0" applyAlignment="1" applyBorder="1" applyFont="1">
      <alignment horizontal="center" readingOrder="0" vertical="center"/>
    </xf>
    <xf borderId="4" fillId="4" fontId="8" numFmtId="0" xfId="0" applyAlignment="1" applyBorder="1" applyFont="1">
      <alignment horizontal="center" vertical="center"/>
    </xf>
    <xf borderId="4" fillId="4" fontId="13" numFmtId="1" xfId="0" applyAlignment="1" applyBorder="1" applyFont="1" applyNumberFormat="1">
      <alignment horizontal="center" shrinkToFit="0" vertical="center" wrapText="1"/>
    </xf>
    <xf borderId="3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7" max="7" width="8.38"/>
    <col customWidth="1" min="8" max="8" width="8.63"/>
    <col customWidth="1" min="9" max="9" width="8.25"/>
    <col customWidth="1" min="10" max="10" width="8.5"/>
    <col customWidth="1" min="11" max="11" width="8.75"/>
    <col customWidth="1" min="12" max="12" width="9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9">
        <v>7.0</v>
      </c>
      <c r="E2" s="9">
        <v>7.0</v>
      </c>
      <c r="F2" s="10"/>
      <c r="G2" s="11">
        <v>103.0</v>
      </c>
      <c r="H2" s="12"/>
      <c r="I2" s="13">
        <f t="shared" ref="I2:I31" si="1">max(0,K2-G2)</f>
        <v>122</v>
      </c>
      <c r="J2" s="12"/>
      <c r="K2" s="11">
        <v>225.0</v>
      </c>
      <c r="L2" s="13">
        <f t="shared" ref="L2:L31" si="2">J2+H2</f>
        <v>0</v>
      </c>
      <c r="M2" s="13">
        <f t="shared" ref="M2:M31" si="3">G2+H2+I2+J2</f>
        <v>225</v>
      </c>
      <c r="N2" s="8"/>
      <c r="O2" s="8">
        <v>13.555</v>
      </c>
      <c r="P2" s="8">
        <v>14.888</v>
      </c>
      <c r="Q2" s="8">
        <f t="shared" ref="Q2:Q31" si="4">(O2*D2)+(P2*E2)</f>
        <v>199.101</v>
      </c>
      <c r="R2" s="14">
        <v>292931.0</v>
      </c>
      <c r="S2" s="14">
        <v>293018.0</v>
      </c>
      <c r="T2" s="14">
        <v>293018.0</v>
      </c>
      <c r="U2" s="15">
        <v>293135.0</v>
      </c>
      <c r="V2" s="16">
        <f t="shared" ref="V2:V31" si="5">S2-R2</f>
        <v>87</v>
      </c>
      <c r="W2" s="16">
        <f t="shared" ref="W2:W31" si="6">U2-T2</f>
        <v>117</v>
      </c>
    </row>
    <row r="3" ht="15.75" customHeight="1">
      <c r="A3" s="7">
        <v>2.0</v>
      </c>
      <c r="B3" s="8" t="s">
        <v>23</v>
      </c>
      <c r="C3" s="8" t="s">
        <v>25</v>
      </c>
      <c r="D3" s="9">
        <v>7.0</v>
      </c>
      <c r="E3" s="9">
        <v>7.0</v>
      </c>
      <c r="F3" s="10"/>
      <c r="G3" s="11">
        <v>85.0</v>
      </c>
      <c r="H3" s="11">
        <v>30.0</v>
      </c>
      <c r="I3" s="13">
        <f t="shared" si="1"/>
        <v>155</v>
      </c>
      <c r="J3" s="12"/>
      <c r="K3" s="11">
        <v>240.0</v>
      </c>
      <c r="L3" s="13">
        <f t="shared" si="2"/>
        <v>30</v>
      </c>
      <c r="M3" s="13">
        <f t="shared" si="3"/>
        <v>270</v>
      </c>
      <c r="N3" s="8"/>
      <c r="O3" s="8">
        <v>13.555</v>
      </c>
      <c r="P3" s="8">
        <v>14.888</v>
      </c>
      <c r="Q3" s="8">
        <f t="shared" si="4"/>
        <v>199.101</v>
      </c>
      <c r="R3" s="14">
        <v>274136.0</v>
      </c>
      <c r="S3" s="14">
        <v>274224.0</v>
      </c>
      <c r="T3" s="14">
        <v>274224.0</v>
      </c>
      <c r="U3" s="15">
        <v>274340.0</v>
      </c>
      <c r="V3" s="16">
        <f t="shared" si="5"/>
        <v>88</v>
      </c>
      <c r="W3" s="16">
        <f t="shared" si="6"/>
        <v>116</v>
      </c>
    </row>
    <row r="4" ht="15.75" customHeight="1">
      <c r="A4" s="7">
        <v>3.0</v>
      </c>
      <c r="B4" s="8" t="s">
        <v>23</v>
      </c>
      <c r="C4" s="8" t="s">
        <v>26</v>
      </c>
      <c r="D4" s="9">
        <v>7.0</v>
      </c>
      <c r="E4" s="9">
        <v>7.0</v>
      </c>
      <c r="F4" s="10"/>
      <c r="G4" s="11">
        <v>93.0</v>
      </c>
      <c r="H4" s="12"/>
      <c r="I4" s="13">
        <f t="shared" si="1"/>
        <v>155</v>
      </c>
      <c r="J4" s="12"/>
      <c r="K4" s="11">
        <v>248.0</v>
      </c>
      <c r="L4" s="13">
        <f t="shared" si="2"/>
        <v>0</v>
      </c>
      <c r="M4" s="13">
        <f t="shared" si="3"/>
        <v>248</v>
      </c>
      <c r="N4" s="8"/>
      <c r="O4" s="8">
        <v>13.555</v>
      </c>
      <c r="P4" s="8">
        <v>14.888</v>
      </c>
      <c r="Q4" s="8">
        <f t="shared" si="4"/>
        <v>199.101</v>
      </c>
      <c r="R4" s="14">
        <v>457730.0</v>
      </c>
      <c r="S4" s="14">
        <v>457817.0</v>
      </c>
      <c r="T4" s="14">
        <v>457817.0</v>
      </c>
      <c r="U4" s="15">
        <v>457933.0</v>
      </c>
      <c r="V4" s="16">
        <f t="shared" si="5"/>
        <v>87</v>
      </c>
      <c r="W4" s="16">
        <f t="shared" si="6"/>
        <v>116</v>
      </c>
    </row>
    <row r="5" ht="15.75" customHeight="1">
      <c r="A5" s="7">
        <v>4.0</v>
      </c>
      <c r="B5" s="8" t="s">
        <v>23</v>
      </c>
      <c r="C5" s="8" t="s">
        <v>27</v>
      </c>
      <c r="D5" s="9">
        <v>7.0</v>
      </c>
      <c r="E5" s="9">
        <v>7.0</v>
      </c>
      <c r="F5" s="10"/>
      <c r="G5" s="11">
        <v>112.0</v>
      </c>
      <c r="H5" s="12"/>
      <c r="I5" s="13">
        <f t="shared" si="1"/>
        <v>95</v>
      </c>
      <c r="J5" s="12"/>
      <c r="K5" s="11">
        <v>207.0</v>
      </c>
      <c r="L5" s="13">
        <f t="shared" si="2"/>
        <v>0</v>
      </c>
      <c r="M5" s="13">
        <f t="shared" si="3"/>
        <v>207</v>
      </c>
      <c r="N5" s="8"/>
      <c r="O5" s="8">
        <v>13.555</v>
      </c>
      <c r="P5" s="8">
        <v>14.888</v>
      </c>
      <c r="Q5" s="8">
        <f t="shared" si="4"/>
        <v>199.101</v>
      </c>
      <c r="R5" s="14">
        <v>269532.0</v>
      </c>
      <c r="S5" s="14">
        <v>269633.0</v>
      </c>
      <c r="T5" s="14">
        <v>269633.0</v>
      </c>
      <c r="U5" s="15">
        <v>269735.0</v>
      </c>
      <c r="V5" s="16">
        <f t="shared" si="5"/>
        <v>101</v>
      </c>
      <c r="W5" s="16">
        <f t="shared" si="6"/>
        <v>102</v>
      </c>
    </row>
    <row r="6" ht="15.75" customHeight="1">
      <c r="A6" s="7">
        <v>5.0</v>
      </c>
      <c r="B6" s="8" t="s">
        <v>23</v>
      </c>
      <c r="C6" s="8" t="s">
        <v>28</v>
      </c>
      <c r="D6" s="9">
        <v>7.0</v>
      </c>
      <c r="E6" s="9">
        <v>7.0</v>
      </c>
      <c r="F6" s="10"/>
      <c r="G6" s="11">
        <v>109.0</v>
      </c>
      <c r="H6" s="12"/>
      <c r="I6" s="13">
        <f t="shared" si="1"/>
        <v>110</v>
      </c>
      <c r="J6" s="11">
        <v>15.0</v>
      </c>
      <c r="K6" s="11">
        <v>219.0</v>
      </c>
      <c r="L6" s="13">
        <f t="shared" si="2"/>
        <v>15</v>
      </c>
      <c r="M6" s="13">
        <f t="shared" si="3"/>
        <v>234</v>
      </c>
      <c r="N6" s="8"/>
      <c r="O6" s="8">
        <v>13.555</v>
      </c>
      <c r="P6" s="8">
        <v>14.888</v>
      </c>
      <c r="Q6" s="8">
        <f t="shared" si="4"/>
        <v>199.101</v>
      </c>
      <c r="R6" s="14">
        <v>279255.0</v>
      </c>
      <c r="S6" s="14">
        <v>279342.0</v>
      </c>
      <c r="T6" s="14">
        <v>279342.0</v>
      </c>
      <c r="U6" s="15">
        <v>279458.0</v>
      </c>
      <c r="V6" s="16">
        <f t="shared" si="5"/>
        <v>87</v>
      </c>
      <c r="W6" s="16">
        <f t="shared" si="6"/>
        <v>116</v>
      </c>
    </row>
    <row r="7" ht="15.75" customHeight="1">
      <c r="A7" s="7">
        <v>6.0</v>
      </c>
      <c r="B7" s="8" t="s">
        <v>23</v>
      </c>
      <c r="C7" s="8" t="s">
        <v>29</v>
      </c>
      <c r="D7" s="9">
        <v>7.0</v>
      </c>
      <c r="E7" s="9">
        <v>7.0</v>
      </c>
      <c r="F7" s="10"/>
      <c r="G7" s="11">
        <v>113.0</v>
      </c>
      <c r="H7" s="12"/>
      <c r="I7" s="13">
        <f t="shared" si="1"/>
        <v>111</v>
      </c>
      <c r="J7" s="12"/>
      <c r="K7" s="11">
        <v>224.0</v>
      </c>
      <c r="L7" s="13">
        <f t="shared" si="2"/>
        <v>0</v>
      </c>
      <c r="M7" s="13">
        <f t="shared" si="3"/>
        <v>224</v>
      </c>
      <c r="N7" s="8"/>
      <c r="O7" s="8">
        <v>13.555</v>
      </c>
      <c r="P7" s="8">
        <v>14.888</v>
      </c>
      <c r="Q7" s="8">
        <f t="shared" si="4"/>
        <v>199.101</v>
      </c>
      <c r="R7" s="14">
        <v>276570.0</v>
      </c>
      <c r="S7" s="14">
        <v>276671.0</v>
      </c>
      <c r="T7" s="14">
        <v>276671.0</v>
      </c>
      <c r="U7" s="15">
        <v>276773.0</v>
      </c>
      <c r="V7" s="16">
        <f t="shared" si="5"/>
        <v>101</v>
      </c>
      <c r="W7" s="16">
        <f t="shared" si="6"/>
        <v>102</v>
      </c>
    </row>
    <row r="8" ht="15.75" customHeight="1">
      <c r="A8" s="7">
        <v>7.0</v>
      </c>
      <c r="B8" s="8" t="s">
        <v>23</v>
      </c>
      <c r="C8" s="17" t="s">
        <v>30</v>
      </c>
      <c r="D8" s="18">
        <v>2.0</v>
      </c>
      <c r="E8" s="18">
        <v>2.0</v>
      </c>
      <c r="F8" s="19"/>
      <c r="G8" s="20">
        <v>46.0</v>
      </c>
      <c r="H8" s="21"/>
      <c r="I8" s="22">
        <f t="shared" si="1"/>
        <v>0</v>
      </c>
      <c r="J8" s="21"/>
      <c r="K8" s="21"/>
      <c r="L8" s="22">
        <f t="shared" si="2"/>
        <v>0</v>
      </c>
      <c r="M8" s="22">
        <f t="shared" si="3"/>
        <v>46</v>
      </c>
      <c r="N8" s="18" t="s">
        <v>31</v>
      </c>
      <c r="O8" s="17">
        <v>13.555</v>
      </c>
      <c r="P8" s="17">
        <v>14.888</v>
      </c>
      <c r="Q8" s="17">
        <f t="shared" si="4"/>
        <v>56.886</v>
      </c>
      <c r="R8" s="23">
        <v>269625.0</v>
      </c>
      <c r="S8" s="23">
        <v>269684.0</v>
      </c>
      <c r="T8" s="24"/>
      <c r="U8" s="25"/>
      <c r="V8" s="26">
        <f t="shared" si="5"/>
        <v>59</v>
      </c>
      <c r="W8" s="2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9">
        <v>7.0</v>
      </c>
      <c r="E9" s="9">
        <v>7.0</v>
      </c>
      <c r="F9" s="10"/>
      <c r="G9" s="11">
        <v>112.0</v>
      </c>
      <c r="H9" s="12"/>
      <c r="I9" s="13">
        <f t="shared" si="1"/>
        <v>152</v>
      </c>
      <c r="J9" s="12"/>
      <c r="K9" s="11">
        <v>264.0</v>
      </c>
      <c r="L9" s="13">
        <f t="shared" si="2"/>
        <v>0</v>
      </c>
      <c r="M9" s="13">
        <f t="shared" si="3"/>
        <v>264</v>
      </c>
      <c r="N9" s="8"/>
      <c r="O9" s="8">
        <v>13.555</v>
      </c>
      <c r="P9" s="8">
        <v>14.888</v>
      </c>
      <c r="Q9" s="8">
        <f t="shared" si="4"/>
        <v>199.101</v>
      </c>
      <c r="R9" s="14">
        <v>276710.0</v>
      </c>
      <c r="S9" s="14">
        <v>276799.0</v>
      </c>
      <c r="T9" s="14">
        <v>276799.0</v>
      </c>
      <c r="U9" s="15">
        <v>276915.0</v>
      </c>
      <c r="V9" s="16">
        <f t="shared" si="5"/>
        <v>89</v>
      </c>
      <c r="W9" s="16">
        <f t="shared" si="6"/>
        <v>116</v>
      </c>
    </row>
    <row r="10" ht="15.75" customHeight="1">
      <c r="A10" s="7">
        <v>9.0</v>
      </c>
      <c r="B10" s="8" t="s">
        <v>23</v>
      </c>
      <c r="C10" s="8" t="s">
        <v>33</v>
      </c>
      <c r="D10" s="9">
        <v>7.0</v>
      </c>
      <c r="E10" s="9">
        <v>7.0</v>
      </c>
      <c r="F10" s="10"/>
      <c r="G10" s="11">
        <v>117.0</v>
      </c>
      <c r="H10" s="12"/>
      <c r="I10" s="13">
        <f t="shared" si="1"/>
        <v>126</v>
      </c>
      <c r="J10" s="12"/>
      <c r="K10" s="11">
        <v>243.0</v>
      </c>
      <c r="L10" s="13">
        <f t="shared" si="2"/>
        <v>0</v>
      </c>
      <c r="M10" s="13">
        <f t="shared" si="3"/>
        <v>243</v>
      </c>
      <c r="N10" s="8"/>
      <c r="O10" s="8">
        <v>13.555</v>
      </c>
      <c r="P10" s="8">
        <v>14.888</v>
      </c>
      <c r="Q10" s="8">
        <f t="shared" si="4"/>
        <v>199.101</v>
      </c>
      <c r="R10" s="14">
        <v>352248.0</v>
      </c>
      <c r="S10" s="14">
        <v>352335.0</v>
      </c>
      <c r="T10" s="14">
        <v>352335.0</v>
      </c>
      <c r="U10" s="15">
        <v>352452.0</v>
      </c>
      <c r="V10" s="16">
        <f t="shared" si="5"/>
        <v>87</v>
      </c>
      <c r="W10" s="16">
        <f t="shared" si="6"/>
        <v>117</v>
      </c>
    </row>
    <row r="11" ht="15.75" customHeight="1">
      <c r="A11" s="7">
        <v>10.0</v>
      </c>
      <c r="B11" s="8" t="s">
        <v>23</v>
      </c>
      <c r="C11" s="17" t="s">
        <v>34</v>
      </c>
      <c r="D11" s="18">
        <v>3.0</v>
      </c>
      <c r="E11" s="18">
        <v>3.0</v>
      </c>
      <c r="F11" s="19"/>
      <c r="G11" s="20">
        <v>133.0</v>
      </c>
      <c r="H11" s="21"/>
      <c r="I11" s="22">
        <f t="shared" si="1"/>
        <v>0</v>
      </c>
      <c r="J11" s="21"/>
      <c r="K11" s="21"/>
      <c r="L11" s="22">
        <f t="shared" si="2"/>
        <v>0</v>
      </c>
      <c r="M11" s="22">
        <f t="shared" si="3"/>
        <v>133</v>
      </c>
      <c r="N11" s="18" t="s">
        <v>35</v>
      </c>
      <c r="O11" s="17">
        <v>13.555</v>
      </c>
      <c r="P11" s="17">
        <v>14.888</v>
      </c>
      <c r="Q11" s="17">
        <f t="shared" si="4"/>
        <v>85.329</v>
      </c>
      <c r="R11" s="23">
        <v>332848.0</v>
      </c>
      <c r="S11" s="23">
        <v>332935.0</v>
      </c>
      <c r="T11" s="24"/>
      <c r="U11" s="25"/>
      <c r="V11" s="26">
        <f t="shared" si="5"/>
        <v>87</v>
      </c>
      <c r="W11" s="2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9">
        <v>7.0</v>
      </c>
      <c r="E12" s="9">
        <v>7.0</v>
      </c>
      <c r="F12" s="10"/>
      <c r="G12" s="11">
        <v>99.0</v>
      </c>
      <c r="H12" s="12"/>
      <c r="I12" s="13">
        <f t="shared" si="1"/>
        <v>156</v>
      </c>
      <c r="J12" s="12"/>
      <c r="K12" s="11">
        <v>255.0</v>
      </c>
      <c r="L12" s="13">
        <f t="shared" si="2"/>
        <v>0</v>
      </c>
      <c r="M12" s="13">
        <f t="shared" si="3"/>
        <v>255</v>
      </c>
      <c r="N12" s="8"/>
      <c r="O12" s="8">
        <v>13.555</v>
      </c>
      <c r="P12" s="8">
        <v>14.888</v>
      </c>
      <c r="Q12" s="8">
        <f t="shared" si="4"/>
        <v>199.101</v>
      </c>
      <c r="R12" s="14">
        <v>366389.0</v>
      </c>
      <c r="S12" s="14">
        <v>366490.0</v>
      </c>
      <c r="T12" s="14">
        <v>366490.0</v>
      </c>
      <c r="U12" s="15">
        <v>366591.0</v>
      </c>
      <c r="V12" s="16">
        <f t="shared" si="5"/>
        <v>101</v>
      </c>
      <c r="W12" s="16">
        <f t="shared" si="6"/>
        <v>101</v>
      </c>
    </row>
    <row r="13" ht="15.75" customHeight="1">
      <c r="A13" s="7">
        <v>12.0</v>
      </c>
      <c r="B13" s="8" t="s">
        <v>23</v>
      </c>
      <c r="C13" s="8" t="s">
        <v>37</v>
      </c>
      <c r="D13" s="9">
        <v>7.0</v>
      </c>
      <c r="E13" s="9">
        <v>7.0</v>
      </c>
      <c r="F13" s="10"/>
      <c r="G13" s="11">
        <v>119.0</v>
      </c>
      <c r="H13" s="12"/>
      <c r="I13" s="13">
        <f t="shared" si="1"/>
        <v>125</v>
      </c>
      <c r="J13" s="12"/>
      <c r="K13" s="11">
        <v>244.0</v>
      </c>
      <c r="L13" s="13">
        <f t="shared" si="2"/>
        <v>0</v>
      </c>
      <c r="M13" s="13">
        <f t="shared" si="3"/>
        <v>244</v>
      </c>
      <c r="N13" s="8"/>
      <c r="O13" s="8">
        <v>13.555</v>
      </c>
      <c r="P13" s="8">
        <v>14.888</v>
      </c>
      <c r="Q13" s="8">
        <f t="shared" si="4"/>
        <v>199.101</v>
      </c>
      <c r="R13" s="14">
        <v>270700.0</v>
      </c>
      <c r="S13" s="14">
        <v>270801.0</v>
      </c>
      <c r="T13" s="14">
        <v>270801.0</v>
      </c>
      <c r="U13" s="15">
        <v>270903.0</v>
      </c>
      <c r="V13" s="16">
        <f t="shared" si="5"/>
        <v>101</v>
      </c>
      <c r="W13" s="16">
        <f t="shared" si="6"/>
        <v>102</v>
      </c>
    </row>
    <row r="14" ht="15.75" customHeight="1">
      <c r="A14" s="7">
        <v>13.0</v>
      </c>
      <c r="B14" s="8" t="s">
        <v>23</v>
      </c>
      <c r="C14" s="8" t="s">
        <v>38</v>
      </c>
      <c r="D14" s="9">
        <v>7.0</v>
      </c>
      <c r="E14" s="9">
        <v>7.0</v>
      </c>
      <c r="F14" s="10"/>
      <c r="G14" s="11">
        <v>99.0</v>
      </c>
      <c r="H14" s="12"/>
      <c r="I14" s="13">
        <f t="shared" si="1"/>
        <v>111</v>
      </c>
      <c r="J14" s="12"/>
      <c r="K14" s="11">
        <v>210.0</v>
      </c>
      <c r="L14" s="13">
        <f t="shared" si="2"/>
        <v>0</v>
      </c>
      <c r="M14" s="13">
        <f t="shared" si="3"/>
        <v>210</v>
      </c>
      <c r="N14" s="8"/>
      <c r="O14" s="8">
        <v>13.555</v>
      </c>
      <c r="P14" s="8">
        <v>14.888</v>
      </c>
      <c r="Q14" s="8">
        <f t="shared" si="4"/>
        <v>199.101</v>
      </c>
      <c r="R14" s="14">
        <v>364634.0</v>
      </c>
      <c r="S14" s="14">
        <v>364722.0</v>
      </c>
      <c r="T14" s="14">
        <v>364722.0</v>
      </c>
      <c r="U14" s="15">
        <v>364838.0</v>
      </c>
      <c r="V14" s="16">
        <f t="shared" si="5"/>
        <v>88</v>
      </c>
      <c r="W14" s="16">
        <f t="shared" si="6"/>
        <v>116</v>
      </c>
    </row>
    <row r="15" ht="15.75" customHeight="1">
      <c r="A15" s="7">
        <v>14.0</v>
      </c>
      <c r="B15" s="8" t="s">
        <v>23</v>
      </c>
      <c r="C15" s="8" t="s">
        <v>39</v>
      </c>
      <c r="D15" s="9">
        <v>7.0</v>
      </c>
      <c r="E15" s="9">
        <v>7.0</v>
      </c>
      <c r="F15" s="10"/>
      <c r="G15" s="11">
        <v>122.0</v>
      </c>
      <c r="H15" s="12"/>
      <c r="I15" s="13">
        <f t="shared" si="1"/>
        <v>146</v>
      </c>
      <c r="J15" s="12"/>
      <c r="K15" s="11">
        <v>268.0</v>
      </c>
      <c r="L15" s="13">
        <f t="shared" si="2"/>
        <v>0</v>
      </c>
      <c r="M15" s="13">
        <f t="shared" si="3"/>
        <v>268</v>
      </c>
      <c r="N15" s="8"/>
      <c r="O15" s="8">
        <v>13.555</v>
      </c>
      <c r="P15" s="8">
        <v>14.888</v>
      </c>
      <c r="Q15" s="8">
        <f t="shared" si="4"/>
        <v>199.101</v>
      </c>
      <c r="R15" s="14">
        <v>312649.0</v>
      </c>
      <c r="S15" s="14">
        <v>312735.0</v>
      </c>
      <c r="T15" s="14">
        <v>312735.0</v>
      </c>
      <c r="U15" s="15">
        <v>312852.0</v>
      </c>
      <c r="V15" s="16">
        <f t="shared" si="5"/>
        <v>86</v>
      </c>
      <c r="W15" s="16">
        <f t="shared" si="6"/>
        <v>117</v>
      </c>
    </row>
    <row r="16" ht="15.75" customHeight="1">
      <c r="A16" s="7">
        <v>15.0</v>
      </c>
      <c r="B16" s="8" t="s">
        <v>23</v>
      </c>
      <c r="C16" s="8" t="s">
        <v>40</v>
      </c>
      <c r="D16" s="9">
        <v>7.0</v>
      </c>
      <c r="E16" s="9">
        <v>7.0</v>
      </c>
      <c r="F16" s="10"/>
      <c r="G16" s="11">
        <v>141.0</v>
      </c>
      <c r="H16" s="12"/>
      <c r="I16" s="13">
        <f t="shared" si="1"/>
        <v>128</v>
      </c>
      <c r="J16" s="12"/>
      <c r="K16" s="11">
        <v>269.0</v>
      </c>
      <c r="L16" s="13">
        <f t="shared" si="2"/>
        <v>0</v>
      </c>
      <c r="M16" s="13">
        <f t="shared" si="3"/>
        <v>269</v>
      </c>
      <c r="N16" s="8"/>
      <c r="O16" s="8">
        <v>13.555</v>
      </c>
      <c r="P16" s="8">
        <v>14.888</v>
      </c>
      <c r="Q16" s="8">
        <f t="shared" si="4"/>
        <v>199.101</v>
      </c>
      <c r="R16" s="14">
        <v>410581.0</v>
      </c>
      <c r="S16" s="14">
        <v>410682.0</v>
      </c>
      <c r="T16" s="14">
        <v>410682.0</v>
      </c>
      <c r="U16" s="15">
        <v>410784.0</v>
      </c>
      <c r="V16" s="16">
        <f t="shared" si="5"/>
        <v>101</v>
      </c>
      <c r="W16" s="16">
        <f t="shared" si="6"/>
        <v>102</v>
      </c>
    </row>
    <row r="17" ht="15.75" customHeight="1">
      <c r="A17" s="7">
        <v>16.0</v>
      </c>
      <c r="B17" s="8" t="s">
        <v>23</v>
      </c>
      <c r="C17" s="27" t="s">
        <v>41</v>
      </c>
      <c r="D17" s="28"/>
      <c r="E17" s="28"/>
      <c r="F17" s="29"/>
      <c r="G17" s="30"/>
      <c r="H17" s="30"/>
      <c r="I17" s="31">
        <f t="shared" si="1"/>
        <v>0</v>
      </c>
      <c r="J17" s="30"/>
      <c r="K17" s="30"/>
      <c r="L17" s="31">
        <f t="shared" si="2"/>
        <v>0</v>
      </c>
      <c r="M17" s="31">
        <f t="shared" si="3"/>
        <v>0</v>
      </c>
      <c r="N17" s="28" t="s">
        <v>42</v>
      </c>
      <c r="O17" s="27">
        <v>13.555</v>
      </c>
      <c r="P17" s="27">
        <v>14.888</v>
      </c>
      <c r="Q17" s="27">
        <f t="shared" si="4"/>
        <v>0</v>
      </c>
      <c r="R17" s="32"/>
      <c r="S17" s="32"/>
      <c r="T17" s="32"/>
      <c r="U17" s="33"/>
      <c r="V17" s="34">
        <f t="shared" si="5"/>
        <v>0</v>
      </c>
      <c r="W17" s="34">
        <f t="shared" si="6"/>
        <v>0</v>
      </c>
    </row>
    <row r="18" ht="15.75" customHeight="1">
      <c r="A18" s="7">
        <v>17.0</v>
      </c>
      <c r="B18" s="8" t="s">
        <v>23</v>
      </c>
      <c r="C18" s="27" t="s">
        <v>43</v>
      </c>
      <c r="D18" s="28"/>
      <c r="E18" s="28"/>
      <c r="F18" s="29"/>
      <c r="G18" s="30"/>
      <c r="H18" s="30"/>
      <c r="I18" s="31">
        <f t="shared" si="1"/>
        <v>0</v>
      </c>
      <c r="J18" s="30"/>
      <c r="K18" s="30"/>
      <c r="L18" s="31">
        <f t="shared" si="2"/>
        <v>0</v>
      </c>
      <c r="M18" s="31">
        <f t="shared" si="3"/>
        <v>0</v>
      </c>
      <c r="N18" s="28" t="s">
        <v>42</v>
      </c>
      <c r="O18" s="27">
        <v>13.555</v>
      </c>
      <c r="P18" s="27">
        <v>14.888</v>
      </c>
      <c r="Q18" s="27">
        <f t="shared" si="4"/>
        <v>0</v>
      </c>
      <c r="R18" s="32"/>
      <c r="S18" s="32"/>
      <c r="T18" s="32"/>
      <c r="U18" s="33"/>
      <c r="V18" s="34">
        <f t="shared" si="5"/>
        <v>0</v>
      </c>
      <c r="W18" s="34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9">
        <v>7.0</v>
      </c>
      <c r="E19" s="9">
        <v>7.0</v>
      </c>
      <c r="F19" s="10"/>
      <c r="G19" s="11">
        <v>141.0</v>
      </c>
      <c r="H19" s="12"/>
      <c r="I19" s="13">
        <f t="shared" si="1"/>
        <v>146</v>
      </c>
      <c r="J19" s="12"/>
      <c r="K19" s="11">
        <v>287.0</v>
      </c>
      <c r="L19" s="13">
        <f t="shared" si="2"/>
        <v>0</v>
      </c>
      <c r="M19" s="13">
        <f t="shared" si="3"/>
        <v>287</v>
      </c>
      <c r="N19" s="8"/>
      <c r="O19" s="8">
        <v>13.555</v>
      </c>
      <c r="P19" s="8">
        <v>14.888</v>
      </c>
      <c r="Q19" s="8">
        <f t="shared" si="4"/>
        <v>199.101</v>
      </c>
      <c r="R19" s="14">
        <v>285898.0</v>
      </c>
      <c r="S19" s="14">
        <v>285986.0</v>
      </c>
      <c r="T19" s="14">
        <v>285986.0</v>
      </c>
      <c r="U19" s="15">
        <v>286102.0</v>
      </c>
      <c r="V19" s="16">
        <f t="shared" si="5"/>
        <v>88</v>
      </c>
      <c r="W19" s="16">
        <f t="shared" si="6"/>
        <v>116</v>
      </c>
    </row>
    <row r="20" ht="15.75" customHeight="1">
      <c r="A20" s="7">
        <v>19.0</v>
      </c>
      <c r="B20" s="8" t="s">
        <v>23</v>
      </c>
      <c r="C20" s="8" t="s">
        <v>45</v>
      </c>
      <c r="D20" s="9">
        <v>7.0</v>
      </c>
      <c r="E20" s="9">
        <v>7.0</v>
      </c>
      <c r="F20" s="10"/>
      <c r="G20" s="11">
        <v>124.0</v>
      </c>
      <c r="H20" s="12"/>
      <c r="I20" s="13">
        <f t="shared" si="1"/>
        <v>127</v>
      </c>
      <c r="J20" s="12"/>
      <c r="K20" s="11">
        <v>251.0</v>
      </c>
      <c r="L20" s="13">
        <f t="shared" si="2"/>
        <v>0</v>
      </c>
      <c r="M20" s="13">
        <f t="shared" si="3"/>
        <v>251</v>
      </c>
      <c r="N20" s="8"/>
      <c r="O20" s="8">
        <v>13.555</v>
      </c>
      <c r="P20" s="8">
        <v>14.888</v>
      </c>
      <c r="Q20" s="8">
        <f t="shared" si="4"/>
        <v>199.101</v>
      </c>
      <c r="R20" s="14">
        <v>284293.0</v>
      </c>
      <c r="S20" s="14">
        <v>284394.0</v>
      </c>
      <c r="T20" s="14">
        <v>284394.0</v>
      </c>
      <c r="U20" s="15">
        <v>284496.0</v>
      </c>
      <c r="V20" s="16">
        <f t="shared" si="5"/>
        <v>101</v>
      </c>
      <c r="W20" s="16">
        <f t="shared" si="6"/>
        <v>102</v>
      </c>
    </row>
    <row r="21" ht="15.75" customHeight="1">
      <c r="A21" s="7">
        <v>20.0</v>
      </c>
      <c r="B21" s="8" t="s">
        <v>23</v>
      </c>
      <c r="C21" s="8" t="s">
        <v>46</v>
      </c>
      <c r="D21" s="9">
        <v>7.0</v>
      </c>
      <c r="E21" s="9">
        <v>7.0</v>
      </c>
      <c r="F21" s="10"/>
      <c r="G21" s="11">
        <v>108.0</v>
      </c>
      <c r="H21" s="12"/>
      <c r="I21" s="13">
        <f t="shared" si="1"/>
        <v>158</v>
      </c>
      <c r="J21" s="12"/>
      <c r="K21" s="11">
        <v>266.0</v>
      </c>
      <c r="L21" s="13">
        <f t="shared" si="2"/>
        <v>0</v>
      </c>
      <c r="M21" s="13">
        <f t="shared" si="3"/>
        <v>266</v>
      </c>
      <c r="N21" s="8"/>
      <c r="O21" s="8">
        <v>13.555</v>
      </c>
      <c r="P21" s="8">
        <v>14.888</v>
      </c>
      <c r="Q21" s="8">
        <f t="shared" si="4"/>
        <v>199.101</v>
      </c>
      <c r="R21" s="14">
        <v>274363.0</v>
      </c>
      <c r="S21" s="14">
        <v>274453.0</v>
      </c>
      <c r="T21" s="14">
        <v>274453.0</v>
      </c>
      <c r="U21" s="15">
        <v>274571.0</v>
      </c>
      <c r="V21" s="16">
        <f t="shared" si="5"/>
        <v>90</v>
      </c>
      <c r="W21" s="16">
        <f t="shared" si="6"/>
        <v>118</v>
      </c>
    </row>
    <row r="22" ht="15.75" customHeight="1">
      <c r="A22" s="7">
        <v>21.0</v>
      </c>
      <c r="B22" s="8" t="s">
        <v>23</v>
      </c>
      <c r="C22" s="8" t="s">
        <v>47</v>
      </c>
      <c r="D22" s="9">
        <v>7.0</v>
      </c>
      <c r="E22" s="9">
        <v>7.0</v>
      </c>
      <c r="F22" s="10"/>
      <c r="G22" s="11">
        <v>93.0</v>
      </c>
      <c r="H22" s="12"/>
      <c r="I22" s="13">
        <f t="shared" si="1"/>
        <v>152</v>
      </c>
      <c r="J22" s="12"/>
      <c r="K22" s="11">
        <v>245.0</v>
      </c>
      <c r="L22" s="13">
        <f t="shared" si="2"/>
        <v>0</v>
      </c>
      <c r="M22" s="13">
        <f t="shared" si="3"/>
        <v>245</v>
      </c>
      <c r="N22" s="8"/>
      <c r="O22" s="8">
        <v>13.555</v>
      </c>
      <c r="P22" s="8">
        <v>14.888</v>
      </c>
      <c r="Q22" s="8">
        <f t="shared" si="4"/>
        <v>199.101</v>
      </c>
      <c r="R22" s="14">
        <v>280196.0</v>
      </c>
      <c r="S22" s="14">
        <v>280284.0</v>
      </c>
      <c r="T22" s="14">
        <v>280284.0</v>
      </c>
      <c r="U22" s="15">
        <v>280404.0</v>
      </c>
      <c r="V22" s="16">
        <f t="shared" si="5"/>
        <v>88</v>
      </c>
      <c r="W22" s="16">
        <f t="shared" si="6"/>
        <v>120</v>
      </c>
    </row>
    <row r="23" ht="15.75" customHeight="1">
      <c r="A23" s="7">
        <v>22.0</v>
      </c>
      <c r="B23" s="8" t="s">
        <v>23</v>
      </c>
      <c r="C23" s="8" t="s">
        <v>48</v>
      </c>
      <c r="D23" s="9">
        <v>7.0</v>
      </c>
      <c r="E23" s="9">
        <v>7.0</v>
      </c>
      <c r="F23" s="10"/>
      <c r="G23" s="11">
        <v>73.0</v>
      </c>
      <c r="H23" s="11">
        <v>45.0</v>
      </c>
      <c r="I23" s="13">
        <f t="shared" si="1"/>
        <v>132</v>
      </c>
      <c r="J23" s="12"/>
      <c r="K23" s="11">
        <v>205.0</v>
      </c>
      <c r="L23" s="13">
        <f t="shared" si="2"/>
        <v>45</v>
      </c>
      <c r="M23" s="13">
        <f t="shared" si="3"/>
        <v>250</v>
      </c>
      <c r="N23" s="8"/>
      <c r="O23" s="8">
        <v>13.555</v>
      </c>
      <c r="P23" s="8">
        <v>14.888</v>
      </c>
      <c r="Q23" s="8">
        <f t="shared" si="4"/>
        <v>199.101</v>
      </c>
      <c r="R23" s="14">
        <v>275565.0</v>
      </c>
      <c r="S23" s="14">
        <v>275655.0</v>
      </c>
      <c r="T23" s="14">
        <v>275655.0</v>
      </c>
      <c r="U23" s="15">
        <v>275774.0</v>
      </c>
      <c r="V23" s="16">
        <f t="shared" si="5"/>
        <v>90</v>
      </c>
      <c r="W23" s="16">
        <f t="shared" si="6"/>
        <v>119</v>
      </c>
    </row>
    <row r="24" ht="15.75" customHeight="1">
      <c r="A24" s="7">
        <v>23.0</v>
      </c>
      <c r="B24" s="8" t="s">
        <v>23</v>
      </c>
      <c r="C24" s="8" t="s">
        <v>49</v>
      </c>
      <c r="D24" s="9">
        <v>7.0</v>
      </c>
      <c r="E24" s="9">
        <v>7.0</v>
      </c>
      <c r="F24" s="10"/>
      <c r="G24" s="11">
        <v>127.0</v>
      </c>
      <c r="H24" s="12"/>
      <c r="I24" s="13">
        <f t="shared" si="1"/>
        <v>175</v>
      </c>
      <c r="J24" s="12"/>
      <c r="K24" s="11">
        <v>302.0</v>
      </c>
      <c r="L24" s="13">
        <f t="shared" si="2"/>
        <v>0</v>
      </c>
      <c r="M24" s="13">
        <f t="shared" si="3"/>
        <v>302</v>
      </c>
      <c r="N24" s="8"/>
      <c r="O24" s="8">
        <v>13.555</v>
      </c>
      <c r="P24" s="8">
        <v>14.888</v>
      </c>
      <c r="Q24" s="8">
        <f t="shared" si="4"/>
        <v>199.101</v>
      </c>
      <c r="R24" s="14">
        <v>275231.0</v>
      </c>
      <c r="S24" s="14">
        <v>275318.0</v>
      </c>
      <c r="T24" s="14">
        <v>275318.0</v>
      </c>
      <c r="U24" s="15">
        <v>275434.0</v>
      </c>
      <c r="V24" s="16">
        <f t="shared" si="5"/>
        <v>87</v>
      </c>
      <c r="W24" s="16">
        <f t="shared" si="6"/>
        <v>116</v>
      </c>
    </row>
    <row r="25" ht="15.75" customHeight="1">
      <c r="A25" s="7">
        <v>24.0</v>
      </c>
      <c r="B25" s="8" t="s">
        <v>23</v>
      </c>
      <c r="C25" s="17" t="s">
        <v>50</v>
      </c>
      <c r="D25" s="18">
        <v>3.0</v>
      </c>
      <c r="E25" s="18">
        <v>3.0</v>
      </c>
      <c r="F25" s="19"/>
      <c r="G25" s="20">
        <v>100.0</v>
      </c>
      <c r="H25" s="21"/>
      <c r="I25" s="22">
        <f t="shared" si="1"/>
        <v>0</v>
      </c>
      <c r="J25" s="21"/>
      <c r="K25" s="21"/>
      <c r="L25" s="22">
        <f t="shared" si="2"/>
        <v>0</v>
      </c>
      <c r="M25" s="22">
        <f t="shared" si="3"/>
        <v>100</v>
      </c>
      <c r="N25" s="18" t="s">
        <v>35</v>
      </c>
      <c r="O25" s="17">
        <v>13.555</v>
      </c>
      <c r="P25" s="17">
        <v>14.888</v>
      </c>
      <c r="Q25" s="17">
        <f t="shared" si="4"/>
        <v>85.329</v>
      </c>
      <c r="R25" s="23">
        <v>314619.0</v>
      </c>
      <c r="S25" s="23">
        <v>314707.0</v>
      </c>
      <c r="T25" s="24"/>
      <c r="U25" s="25"/>
      <c r="V25" s="26">
        <f t="shared" si="5"/>
        <v>88</v>
      </c>
      <c r="W25" s="2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9">
        <v>7.0</v>
      </c>
      <c r="E26" s="9">
        <v>7.0</v>
      </c>
      <c r="F26" s="10"/>
      <c r="G26" s="11">
        <v>107.0</v>
      </c>
      <c r="H26" s="12"/>
      <c r="I26" s="13">
        <f t="shared" si="1"/>
        <v>132</v>
      </c>
      <c r="J26" s="12"/>
      <c r="K26" s="11">
        <v>239.0</v>
      </c>
      <c r="L26" s="13">
        <f t="shared" si="2"/>
        <v>0</v>
      </c>
      <c r="M26" s="13">
        <f t="shared" si="3"/>
        <v>239</v>
      </c>
      <c r="N26" s="8"/>
      <c r="O26" s="8">
        <v>13.555</v>
      </c>
      <c r="P26" s="8">
        <v>14.888</v>
      </c>
      <c r="Q26" s="8">
        <f t="shared" si="4"/>
        <v>199.101</v>
      </c>
      <c r="R26" s="14">
        <v>308030.0</v>
      </c>
      <c r="S26" s="14">
        <v>308118.0</v>
      </c>
      <c r="T26" s="14">
        <v>308118.0</v>
      </c>
      <c r="U26" s="15">
        <v>308234.0</v>
      </c>
      <c r="V26" s="16">
        <f t="shared" si="5"/>
        <v>88</v>
      </c>
      <c r="W26" s="16">
        <f t="shared" si="6"/>
        <v>116</v>
      </c>
    </row>
    <row r="27" ht="15.75" customHeight="1">
      <c r="A27" s="7">
        <v>26.0</v>
      </c>
      <c r="B27" s="8" t="s">
        <v>23</v>
      </c>
      <c r="C27" s="8" t="s">
        <v>52</v>
      </c>
      <c r="D27" s="9">
        <v>7.0</v>
      </c>
      <c r="E27" s="9">
        <v>7.0</v>
      </c>
      <c r="F27" s="10"/>
      <c r="G27" s="11">
        <v>95.0</v>
      </c>
      <c r="H27" s="12"/>
      <c r="I27" s="13">
        <f t="shared" si="1"/>
        <v>173</v>
      </c>
      <c r="J27" s="12"/>
      <c r="K27" s="11">
        <v>268.0</v>
      </c>
      <c r="L27" s="13">
        <f t="shared" si="2"/>
        <v>0</v>
      </c>
      <c r="M27" s="13">
        <f t="shared" si="3"/>
        <v>268</v>
      </c>
      <c r="N27" s="8"/>
      <c r="O27" s="8">
        <v>13.555</v>
      </c>
      <c r="P27" s="8">
        <v>14.888</v>
      </c>
      <c r="Q27" s="8">
        <f t="shared" si="4"/>
        <v>199.101</v>
      </c>
      <c r="R27" s="14">
        <v>272097.0</v>
      </c>
      <c r="S27" s="14">
        <v>272184.0</v>
      </c>
      <c r="T27" s="14">
        <v>272184.0</v>
      </c>
      <c r="U27" s="15">
        <v>272299.0</v>
      </c>
      <c r="V27" s="16">
        <f t="shared" si="5"/>
        <v>87</v>
      </c>
      <c r="W27" s="16">
        <f t="shared" si="6"/>
        <v>115</v>
      </c>
    </row>
    <row r="28" ht="15.75" customHeight="1">
      <c r="A28" s="7">
        <v>27.0</v>
      </c>
      <c r="B28" s="8" t="s">
        <v>23</v>
      </c>
      <c r="C28" s="8" t="s">
        <v>53</v>
      </c>
      <c r="D28" s="9">
        <v>7.0</v>
      </c>
      <c r="E28" s="9">
        <v>7.0</v>
      </c>
      <c r="F28" s="10"/>
      <c r="G28" s="11">
        <v>124.0</v>
      </c>
      <c r="H28" s="12"/>
      <c r="I28" s="13">
        <f t="shared" si="1"/>
        <v>134</v>
      </c>
      <c r="J28" s="12"/>
      <c r="K28" s="11">
        <v>258.0</v>
      </c>
      <c r="L28" s="13">
        <f t="shared" si="2"/>
        <v>0</v>
      </c>
      <c r="M28" s="13">
        <f t="shared" si="3"/>
        <v>258</v>
      </c>
      <c r="N28" s="8"/>
      <c r="O28" s="8">
        <v>13.555</v>
      </c>
      <c r="P28" s="8">
        <v>14.888</v>
      </c>
      <c r="Q28" s="8">
        <f t="shared" si="4"/>
        <v>199.101</v>
      </c>
      <c r="R28" s="14">
        <v>267890.0</v>
      </c>
      <c r="S28" s="14">
        <v>267978.0</v>
      </c>
      <c r="T28" s="14">
        <v>267978.0</v>
      </c>
      <c r="U28" s="15">
        <v>268097.0</v>
      </c>
      <c r="V28" s="16">
        <f t="shared" si="5"/>
        <v>88</v>
      </c>
      <c r="W28" s="16">
        <f t="shared" si="6"/>
        <v>119</v>
      </c>
    </row>
    <row r="29" ht="15.75" customHeight="1">
      <c r="A29" s="7">
        <v>28.0</v>
      </c>
      <c r="B29" s="8" t="s">
        <v>23</v>
      </c>
      <c r="C29" s="8" t="s">
        <v>54</v>
      </c>
      <c r="D29" s="9">
        <v>7.0</v>
      </c>
      <c r="E29" s="9">
        <v>7.0</v>
      </c>
      <c r="F29" s="10"/>
      <c r="G29" s="11">
        <v>111.0</v>
      </c>
      <c r="H29" s="12"/>
      <c r="I29" s="13">
        <f t="shared" si="1"/>
        <v>138</v>
      </c>
      <c r="J29" s="12"/>
      <c r="K29" s="11">
        <v>249.0</v>
      </c>
      <c r="L29" s="13">
        <f t="shared" si="2"/>
        <v>0</v>
      </c>
      <c r="M29" s="13">
        <f t="shared" si="3"/>
        <v>249</v>
      </c>
      <c r="N29" s="8"/>
      <c r="O29" s="8">
        <v>13.555</v>
      </c>
      <c r="P29" s="8">
        <v>14.888</v>
      </c>
      <c r="Q29" s="8">
        <f t="shared" si="4"/>
        <v>199.101</v>
      </c>
      <c r="R29" s="14">
        <v>263489.0</v>
      </c>
      <c r="S29" s="14">
        <v>263576.0</v>
      </c>
      <c r="T29" s="14">
        <v>263576.0</v>
      </c>
      <c r="U29" s="15">
        <v>263695.0</v>
      </c>
      <c r="V29" s="16">
        <f t="shared" si="5"/>
        <v>87</v>
      </c>
      <c r="W29" s="16">
        <f t="shared" si="6"/>
        <v>119</v>
      </c>
    </row>
    <row r="30" ht="15.75" customHeight="1">
      <c r="A30" s="7">
        <v>29.0</v>
      </c>
      <c r="B30" s="8" t="s">
        <v>23</v>
      </c>
      <c r="C30" s="8" t="s">
        <v>55</v>
      </c>
      <c r="D30" s="9">
        <v>7.0</v>
      </c>
      <c r="E30" s="9">
        <v>7.0</v>
      </c>
      <c r="F30" s="10"/>
      <c r="G30" s="11">
        <v>105.0</v>
      </c>
      <c r="H30" s="12"/>
      <c r="I30" s="13">
        <f t="shared" si="1"/>
        <v>133</v>
      </c>
      <c r="J30" s="12"/>
      <c r="K30" s="11">
        <v>238.0</v>
      </c>
      <c r="L30" s="13">
        <f t="shared" si="2"/>
        <v>0</v>
      </c>
      <c r="M30" s="13">
        <f t="shared" si="3"/>
        <v>238</v>
      </c>
      <c r="N30" s="8"/>
      <c r="O30" s="8">
        <v>13.555</v>
      </c>
      <c r="P30" s="8">
        <v>14.888</v>
      </c>
      <c r="Q30" s="8">
        <f t="shared" si="4"/>
        <v>199.101</v>
      </c>
      <c r="R30" s="14">
        <v>270867.0</v>
      </c>
      <c r="S30" s="14">
        <v>270968.0</v>
      </c>
      <c r="T30" s="14">
        <v>270968.0</v>
      </c>
      <c r="U30" s="15">
        <v>271069.0</v>
      </c>
      <c r="V30" s="16">
        <f t="shared" si="5"/>
        <v>101</v>
      </c>
      <c r="W30" s="16">
        <f t="shared" si="6"/>
        <v>101</v>
      </c>
    </row>
    <row r="31" ht="15.75" customHeight="1">
      <c r="A31" s="7">
        <v>30.0</v>
      </c>
      <c r="B31" s="8" t="s">
        <v>23</v>
      </c>
      <c r="C31" s="8" t="s">
        <v>56</v>
      </c>
      <c r="D31" s="9">
        <v>7.0</v>
      </c>
      <c r="E31" s="9">
        <v>7.0</v>
      </c>
      <c r="F31" s="10"/>
      <c r="G31" s="11">
        <v>100.0</v>
      </c>
      <c r="H31" s="12"/>
      <c r="I31" s="13">
        <f t="shared" si="1"/>
        <v>143</v>
      </c>
      <c r="J31" s="12"/>
      <c r="K31" s="11">
        <v>243.0</v>
      </c>
      <c r="L31" s="13">
        <f t="shared" si="2"/>
        <v>0</v>
      </c>
      <c r="M31" s="13">
        <f t="shared" si="3"/>
        <v>243</v>
      </c>
      <c r="N31" s="8"/>
      <c r="O31" s="8">
        <v>13.555</v>
      </c>
      <c r="P31" s="8">
        <v>14.888</v>
      </c>
      <c r="Q31" s="8">
        <f t="shared" si="4"/>
        <v>199.101</v>
      </c>
      <c r="R31" s="14">
        <v>272352.0</v>
      </c>
      <c r="S31" s="14">
        <v>272439.0</v>
      </c>
      <c r="T31" s="14">
        <v>272439.0</v>
      </c>
      <c r="U31" s="15">
        <v>272555.0</v>
      </c>
      <c r="V31" s="16">
        <f t="shared" si="5"/>
        <v>87</v>
      </c>
      <c r="W31" s="16">
        <f t="shared" si="6"/>
        <v>116</v>
      </c>
    </row>
    <row r="32" ht="15.75" customHeight="1">
      <c r="A32" s="35"/>
      <c r="B32" s="35"/>
      <c r="C32" s="36"/>
      <c r="D32" s="37" t="s">
        <v>57</v>
      </c>
      <c r="E32" s="38">
        <f>SUM(M:M)</f>
        <v>6536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5205.069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>
        <f>E32/E33</f>
        <v>1.255699012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>
        <f>AVERAGEIF(Q:Q,"&gt;0",Q:Q)</f>
        <v>185.8953214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3011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75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3086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3435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15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3450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6446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90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9">
        <v>7.0</v>
      </c>
      <c r="E2" s="9">
        <v>7.0</v>
      </c>
      <c r="F2" s="10"/>
      <c r="G2" s="52">
        <v>76.0</v>
      </c>
      <c r="H2" s="53"/>
      <c r="I2" s="13">
        <f t="shared" ref="I2:I31" si="1">max(0,K2-G2)</f>
        <v>137</v>
      </c>
      <c r="J2" s="53"/>
      <c r="K2" s="52">
        <v>213.0</v>
      </c>
      <c r="L2" s="13">
        <f t="shared" ref="L2:L31" si="2">J2+H2</f>
        <v>0</v>
      </c>
      <c r="M2" s="13">
        <f t="shared" ref="M2:M31" si="3">G2+H2+I2+J2</f>
        <v>213</v>
      </c>
      <c r="N2" s="8"/>
      <c r="O2" s="8">
        <v>13.555</v>
      </c>
      <c r="P2" s="8">
        <v>14.888</v>
      </c>
      <c r="Q2" s="8">
        <f t="shared" ref="Q2:Q31" si="4">(O2*D2)+(P2*E2)</f>
        <v>199.101</v>
      </c>
      <c r="R2" s="54">
        <v>293141.0</v>
      </c>
      <c r="S2" s="54">
        <v>293228.0</v>
      </c>
      <c r="T2" s="54">
        <v>293228.0</v>
      </c>
      <c r="U2" s="55">
        <v>293344.0</v>
      </c>
      <c r="V2" s="16">
        <f t="shared" ref="V2:V31" si="5">S2-R2</f>
        <v>87</v>
      </c>
      <c r="W2" s="16">
        <f t="shared" ref="W2:W31" si="6">U2-T2</f>
        <v>116</v>
      </c>
    </row>
    <row r="3" ht="15.75" customHeight="1">
      <c r="A3" s="7">
        <v>2.0</v>
      </c>
      <c r="B3" s="8" t="s">
        <v>23</v>
      </c>
      <c r="C3" s="8" t="s">
        <v>25</v>
      </c>
      <c r="D3" s="9">
        <v>7.0</v>
      </c>
      <c r="E3" s="9">
        <v>7.0</v>
      </c>
      <c r="F3" s="9"/>
      <c r="G3" s="52">
        <v>85.0</v>
      </c>
      <c r="H3" s="53"/>
      <c r="I3" s="13">
        <f t="shared" si="1"/>
        <v>130</v>
      </c>
      <c r="J3" s="53"/>
      <c r="K3" s="52">
        <v>215.0</v>
      </c>
      <c r="L3" s="13">
        <f t="shared" si="2"/>
        <v>0</v>
      </c>
      <c r="M3" s="13">
        <f t="shared" si="3"/>
        <v>215</v>
      </c>
      <c r="N3" s="8"/>
      <c r="O3" s="8">
        <v>13.555</v>
      </c>
      <c r="P3" s="8">
        <v>14.888</v>
      </c>
      <c r="Q3" s="8">
        <f t="shared" si="4"/>
        <v>199.101</v>
      </c>
      <c r="R3" s="54">
        <v>274341.0</v>
      </c>
      <c r="S3" s="54">
        <v>274428.0</v>
      </c>
      <c r="T3" s="54">
        <v>274428.0</v>
      </c>
      <c r="U3" s="55">
        <v>274544.0</v>
      </c>
      <c r="V3" s="16">
        <f t="shared" si="5"/>
        <v>87</v>
      </c>
      <c r="W3" s="16">
        <f t="shared" si="6"/>
        <v>116</v>
      </c>
    </row>
    <row r="4" ht="15.75" customHeight="1">
      <c r="A4" s="7">
        <v>3.0</v>
      </c>
      <c r="B4" s="8" t="s">
        <v>23</v>
      </c>
      <c r="C4" s="8" t="s">
        <v>26</v>
      </c>
      <c r="D4" s="9">
        <v>7.0</v>
      </c>
      <c r="E4" s="9">
        <v>7.0</v>
      </c>
      <c r="F4" s="9"/>
      <c r="G4" s="52">
        <v>94.0</v>
      </c>
      <c r="H4" s="53"/>
      <c r="I4" s="13">
        <f t="shared" si="1"/>
        <v>148</v>
      </c>
      <c r="J4" s="53"/>
      <c r="K4" s="52">
        <v>242.0</v>
      </c>
      <c r="L4" s="13">
        <f t="shared" si="2"/>
        <v>0</v>
      </c>
      <c r="M4" s="13">
        <f t="shared" si="3"/>
        <v>242</v>
      </c>
      <c r="N4" s="8"/>
      <c r="O4" s="8">
        <v>13.555</v>
      </c>
      <c r="P4" s="8">
        <v>14.888</v>
      </c>
      <c r="Q4" s="8">
        <f t="shared" si="4"/>
        <v>199.101</v>
      </c>
      <c r="R4" s="54">
        <v>457953.0</v>
      </c>
      <c r="S4" s="54">
        <v>458039.0</v>
      </c>
      <c r="T4" s="54">
        <v>458039.0</v>
      </c>
      <c r="U4" s="55">
        <v>458155.0</v>
      </c>
      <c r="V4" s="16">
        <f t="shared" si="5"/>
        <v>86</v>
      </c>
      <c r="W4" s="16">
        <f t="shared" si="6"/>
        <v>116</v>
      </c>
    </row>
    <row r="5" ht="15.75" customHeight="1">
      <c r="A5" s="7">
        <v>4.0</v>
      </c>
      <c r="B5" s="8" t="s">
        <v>23</v>
      </c>
      <c r="C5" s="8" t="s">
        <v>27</v>
      </c>
      <c r="D5" s="9">
        <v>7.0</v>
      </c>
      <c r="E5" s="9">
        <v>7.0</v>
      </c>
      <c r="F5" s="9"/>
      <c r="G5" s="52">
        <v>101.0</v>
      </c>
      <c r="H5" s="53"/>
      <c r="I5" s="13">
        <f t="shared" si="1"/>
        <v>106</v>
      </c>
      <c r="J5" s="53"/>
      <c r="K5" s="52">
        <v>207.0</v>
      </c>
      <c r="L5" s="13">
        <f t="shared" si="2"/>
        <v>0</v>
      </c>
      <c r="M5" s="13">
        <f t="shared" si="3"/>
        <v>207</v>
      </c>
      <c r="N5" s="8"/>
      <c r="O5" s="8">
        <v>13.555</v>
      </c>
      <c r="P5" s="8">
        <v>14.888</v>
      </c>
      <c r="Q5" s="8">
        <f t="shared" si="4"/>
        <v>199.101</v>
      </c>
      <c r="R5" s="54">
        <v>269745.0</v>
      </c>
      <c r="S5" s="54">
        <v>269846.0</v>
      </c>
      <c r="T5" s="54">
        <v>269846.0</v>
      </c>
      <c r="U5" s="56"/>
      <c r="V5" s="16">
        <f t="shared" si="5"/>
        <v>101</v>
      </c>
      <c r="W5" s="16">
        <f t="shared" si="6"/>
        <v>-269846</v>
      </c>
    </row>
    <row r="6" ht="15.75" customHeight="1">
      <c r="A6" s="7">
        <v>5.0</v>
      </c>
      <c r="B6" s="8" t="s">
        <v>23</v>
      </c>
      <c r="C6" s="8" t="s">
        <v>28</v>
      </c>
      <c r="D6" s="9">
        <v>7.0</v>
      </c>
      <c r="E6" s="9">
        <v>7.0</v>
      </c>
      <c r="F6" s="9"/>
      <c r="G6" s="52">
        <v>99.0</v>
      </c>
      <c r="H6" s="53"/>
      <c r="I6" s="13">
        <f t="shared" si="1"/>
        <v>141</v>
      </c>
      <c r="J6" s="53"/>
      <c r="K6" s="52">
        <v>240.0</v>
      </c>
      <c r="L6" s="13">
        <f t="shared" si="2"/>
        <v>0</v>
      </c>
      <c r="M6" s="13">
        <f t="shared" si="3"/>
        <v>240</v>
      </c>
      <c r="N6" s="8"/>
      <c r="O6" s="8">
        <v>13.555</v>
      </c>
      <c r="P6" s="8">
        <v>14.888</v>
      </c>
      <c r="Q6" s="8">
        <f t="shared" si="4"/>
        <v>199.101</v>
      </c>
      <c r="R6" s="54">
        <v>279472.0</v>
      </c>
      <c r="S6" s="54">
        <v>279559.0</v>
      </c>
      <c r="T6" s="54">
        <v>279559.0</v>
      </c>
      <c r="U6" s="55">
        <v>279675.0</v>
      </c>
      <c r="V6" s="16">
        <f t="shared" si="5"/>
        <v>87</v>
      </c>
      <c r="W6" s="16">
        <f t="shared" si="6"/>
        <v>116</v>
      </c>
    </row>
    <row r="7" ht="15.75" customHeight="1">
      <c r="A7" s="7">
        <v>6.0</v>
      </c>
      <c r="B7" s="8" t="s">
        <v>23</v>
      </c>
      <c r="C7" s="8" t="s">
        <v>29</v>
      </c>
      <c r="D7" s="9">
        <v>7.0</v>
      </c>
      <c r="E7" s="9">
        <v>7.0</v>
      </c>
      <c r="F7" s="9"/>
      <c r="G7" s="52">
        <v>118.0</v>
      </c>
      <c r="H7" s="53"/>
      <c r="I7" s="13">
        <f t="shared" si="1"/>
        <v>96</v>
      </c>
      <c r="J7" s="53"/>
      <c r="K7" s="52">
        <v>214.0</v>
      </c>
      <c r="L7" s="13">
        <f t="shared" si="2"/>
        <v>0</v>
      </c>
      <c r="M7" s="13">
        <f t="shared" si="3"/>
        <v>214</v>
      </c>
      <c r="N7" s="8"/>
      <c r="O7" s="8">
        <v>13.555</v>
      </c>
      <c r="P7" s="8">
        <v>14.888</v>
      </c>
      <c r="Q7" s="8">
        <f t="shared" si="4"/>
        <v>199.101</v>
      </c>
      <c r="R7" s="54">
        <v>276778.0</v>
      </c>
      <c r="S7" s="54">
        <v>276879.0</v>
      </c>
      <c r="T7" s="54">
        <v>276879.0</v>
      </c>
      <c r="U7" s="55">
        <v>276981.0</v>
      </c>
      <c r="V7" s="16">
        <f t="shared" si="5"/>
        <v>101</v>
      </c>
      <c r="W7" s="16">
        <f t="shared" si="6"/>
        <v>102</v>
      </c>
    </row>
    <row r="8" ht="15.75" customHeight="1">
      <c r="A8" s="7">
        <v>7.0</v>
      </c>
      <c r="B8" s="8" t="s">
        <v>23</v>
      </c>
      <c r="C8" s="57" t="s">
        <v>30</v>
      </c>
      <c r="D8" s="58"/>
      <c r="E8" s="58"/>
      <c r="F8" s="58"/>
      <c r="G8" s="59"/>
      <c r="H8" s="59"/>
      <c r="I8" s="60">
        <f t="shared" si="1"/>
        <v>0</v>
      </c>
      <c r="J8" s="59"/>
      <c r="K8" s="59"/>
      <c r="L8" s="60">
        <f t="shared" si="2"/>
        <v>0</v>
      </c>
      <c r="M8" s="60">
        <f t="shared" si="3"/>
        <v>0</v>
      </c>
      <c r="N8" s="58" t="s">
        <v>67</v>
      </c>
      <c r="O8" s="57">
        <v>13.555</v>
      </c>
      <c r="P8" s="57">
        <v>14.888</v>
      </c>
      <c r="Q8" s="57">
        <f t="shared" si="4"/>
        <v>0</v>
      </c>
      <c r="R8" s="61"/>
      <c r="S8" s="61"/>
      <c r="T8" s="61"/>
      <c r="U8" s="62"/>
      <c r="V8" s="63">
        <f t="shared" si="5"/>
        <v>0</v>
      </c>
      <c r="W8" s="63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9">
        <v>7.0</v>
      </c>
      <c r="E9" s="9">
        <v>7.0</v>
      </c>
      <c r="F9" s="9"/>
      <c r="G9" s="52">
        <v>104.0</v>
      </c>
      <c r="H9" s="53"/>
      <c r="I9" s="13">
        <f t="shared" si="1"/>
        <v>188</v>
      </c>
      <c r="J9" s="53"/>
      <c r="K9" s="52">
        <v>292.0</v>
      </c>
      <c r="L9" s="13">
        <f t="shared" si="2"/>
        <v>0</v>
      </c>
      <c r="M9" s="13">
        <f t="shared" si="3"/>
        <v>292</v>
      </c>
      <c r="N9" s="8"/>
      <c r="O9" s="8">
        <v>13.555</v>
      </c>
      <c r="P9" s="8">
        <v>14.888</v>
      </c>
      <c r="Q9" s="8">
        <f t="shared" si="4"/>
        <v>199.101</v>
      </c>
      <c r="R9" s="54">
        <v>276932.0</v>
      </c>
      <c r="S9" s="54">
        <v>277020.0</v>
      </c>
      <c r="T9" s="54">
        <v>277020.0</v>
      </c>
      <c r="U9" s="55">
        <v>277136.0</v>
      </c>
      <c r="V9" s="16">
        <f t="shared" si="5"/>
        <v>88</v>
      </c>
      <c r="W9" s="16">
        <f t="shared" si="6"/>
        <v>116</v>
      </c>
    </row>
    <row r="10" ht="15.75" customHeight="1">
      <c r="A10" s="7">
        <v>9.0</v>
      </c>
      <c r="B10" s="8" t="s">
        <v>23</v>
      </c>
      <c r="C10" s="8" t="s">
        <v>33</v>
      </c>
      <c r="D10" s="9">
        <v>7.0</v>
      </c>
      <c r="E10" s="9">
        <v>7.0</v>
      </c>
      <c r="F10" s="9"/>
      <c r="G10" s="52">
        <v>131.0</v>
      </c>
      <c r="H10" s="53"/>
      <c r="I10" s="13">
        <f t="shared" si="1"/>
        <v>151</v>
      </c>
      <c r="J10" s="53"/>
      <c r="K10" s="52">
        <v>282.0</v>
      </c>
      <c r="L10" s="13">
        <f t="shared" si="2"/>
        <v>0</v>
      </c>
      <c r="M10" s="13">
        <f t="shared" si="3"/>
        <v>282</v>
      </c>
      <c r="N10" s="8"/>
      <c r="O10" s="8">
        <v>13.555</v>
      </c>
      <c r="P10" s="8">
        <v>14.888</v>
      </c>
      <c r="Q10" s="8">
        <f t="shared" si="4"/>
        <v>199.101</v>
      </c>
      <c r="R10" s="54">
        <v>352461.0</v>
      </c>
      <c r="S10" s="54">
        <v>352548.0</v>
      </c>
      <c r="T10" s="54">
        <v>352548.0</v>
      </c>
      <c r="U10" s="55">
        <v>352665.0</v>
      </c>
      <c r="V10" s="16">
        <f t="shared" si="5"/>
        <v>87</v>
      </c>
      <c r="W10" s="16">
        <f t="shared" si="6"/>
        <v>117</v>
      </c>
    </row>
    <row r="11" ht="15.75" customHeight="1">
      <c r="A11" s="7">
        <v>10.0</v>
      </c>
      <c r="B11" s="8" t="s">
        <v>23</v>
      </c>
      <c r="C11" s="8" t="s">
        <v>34</v>
      </c>
      <c r="D11" s="9">
        <v>7.0</v>
      </c>
      <c r="E11" s="9">
        <v>7.0</v>
      </c>
      <c r="F11" s="9"/>
      <c r="G11" s="52">
        <v>130.0</v>
      </c>
      <c r="H11" s="53"/>
      <c r="I11" s="13">
        <f t="shared" si="1"/>
        <v>97</v>
      </c>
      <c r="J11" s="53"/>
      <c r="K11" s="52">
        <v>227.0</v>
      </c>
      <c r="L11" s="13">
        <f t="shared" si="2"/>
        <v>0</v>
      </c>
      <c r="M11" s="13">
        <f t="shared" si="3"/>
        <v>227</v>
      </c>
      <c r="N11" s="8"/>
      <c r="O11" s="8">
        <v>13.555</v>
      </c>
      <c r="P11" s="8">
        <v>14.888</v>
      </c>
      <c r="Q11" s="8">
        <f t="shared" si="4"/>
        <v>199.101</v>
      </c>
      <c r="R11" s="54">
        <v>332944.0</v>
      </c>
      <c r="S11" s="54">
        <v>333031.0</v>
      </c>
      <c r="T11" s="54">
        <v>333031.0</v>
      </c>
      <c r="U11" s="55">
        <v>333146.0</v>
      </c>
      <c r="V11" s="16">
        <f t="shared" si="5"/>
        <v>87</v>
      </c>
      <c r="W11" s="16">
        <f t="shared" si="6"/>
        <v>115</v>
      </c>
    </row>
    <row r="12" ht="15.75" customHeight="1">
      <c r="A12" s="7">
        <v>11.0</v>
      </c>
      <c r="B12" s="8" t="s">
        <v>23</v>
      </c>
      <c r="C12" s="8" t="s">
        <v>36</v>
      </c>
      <c r="D12" s="9">
        <v>7.0</v>
      </c>
      <c r="E12" s="9">
        <v>7.0</v>
      </c>
      <c r="F12" s="9"/>
      <c r="G12" s="52">
        <v>142.0</v>
      </c>
      <c r="H12" s="52">
        <v>11.0</v>
      </c>
      <c r="I12" s="13">
        <f t="shared" si="1"/>
        <v>126</v>
      </c>
      <c r="J12" s="53"/>
      <c r="K12" s="52">
        <v>268.0</v>
      </c>
      <c r="L12" s="13">
        <f t="shared" si="2"/>
        <v>11</v>
      </c>
      <c r="M12" s="13">
        <f t="shared" si="3"/>
        <v>279</v>
      </c>
      <c r="N12" s="8"/>
      <c r="O12" s="8">
        <v>13.555</v>
      </c>
      <c r="P12" s="8">
        <v>14.888</v>
      </c>
      <c r="Q12" s="8">
        <f t="shared" si="4"/>
        <v>199.101</v>
      </c>
      <c r="R12" s="54">
        <v>366596.0</v>
      </c>
      <c r="S12" s="54">
        <v>366697.0</v>
      </c>
      <c r="T12" s="54">
        <v>366697.0</v>
      </c>
      <c r="U12" s="55">
        <v>366801.0</v>
      </c>
      <c r="V12" s="16">
        <f t="shared" si="5"/>
        <v>101</v>
      </c>
      <c r="W12" s="16">
        <f t="shared" si="6"/>
        <v>104</v>
      </c>
    </row>
    <row r="13" ht="15.75" customHeight="1">
      <c r="A13" s="7">
        <v>12.0</v>
      </c>
      <c r="B13" s="8" t="s">
        <v>23</v>
      </c>
      <c r="C13" s="8" t="s">
        <v>37</v>
      </c>
      <c r="D13" s="9">
        <v>7.0</v>
      </c>
      <c r="E13" s="9">
        <v>7.0</v>
      </c>
      <c r="F13" s="9"/>
      <c r="G13" s="52">
        <v>99.0</v>
      </c>
      <c r="H13" s="53"/>
      <c r="I13" s="13">
        <f t="shared" si="1"/>
        <v>136</v>
      </c>
      <c r="J13" s="53"/>
      <c r="K13" s="52">
        <v>235.0</v>
      </c>
      <c r="L13" s="13">
        <f t="shared" si="2"/>
        <v>0</v>
      </c>
      <c r="M13" s="13">
        <f t="shared" si="3"/>
        <v>235</v>
      </c>
      <c r="N13" s="8"/>
      <c r="O13" s="8">
        <v>13.555</v>
      </c>
      <c r="P13" s="8">
        <v>14.888</v>
      </c>
      <c r="Q13" s="8">
        <f t="shared" si="4"/>
        <v>199.101</v>
      </c>
      <c r="R13" s="54">
        <v>270908.0</v>
      </c>
      <c r="S13" s="54">
        <v>271009.0</v>
      </c>
      <c r="T13" s="54">
        <v>271009.0</v>
      </c>
      <c r="U13" s="55">
        <v>271111.0</v>
      </c>
      <c r="V13" s="16">
        <f t="shared" si="5"/>
        <v>101</v>
      </c>
      <c r="W13" s="16">
        <f t="shared" si="6"/>
        <v>102</v>
      </c>
    </row>
    <row r="14" ht="15.75" customHeight="1">
      <c r="A14" s="7">
        <v>13.0</v>
      </c>
      <c r="B14" s="8" t="s">
        <v>23</v>
      </c>
      <c r="C14" s="8" t="s">
        <v>38</v>
      </c>
      <c r="D14" s="9">
        <v>7.0</v>
      </c>
      <c r="E14" s="9">
        <v>7.0</v>
      </c>
      <c r="F14" s="9"/>
      <c r="G14" s="52">
        <v>98.0</v>
      </c>
      <c r="H14" s="53"/>
      <c r="I14" s="13">
        <f t="shared" si="1"/>
        <v>106</v>
      </c>
      <c r="J14" s="53"/>
      <c r="K14" s="52">
        <v>204.0</v>
      </c>
      <c r="L14" s="13">
        <f t="shared" si="2"/>
        <v>0</v>
      </c>
      <c r="M14" s="13">
        <f t="shared" si="3"/>
        <v>204</v>
      </c>
      <c r="N14" s="8"/>
      <c r="O14" s="8">
        <v>13.555</v>
      </c>
      <c r="P14" s="8">
        <v>14.888</v>
      </c>
      <c r="Q14" s="8">
        <f t="shared" si="4"/>
        <v>199.101</v>
      </c>
      <c r="R14" s="54">
        <v>364851.0</v>
      </c>
      <c r="S14" s="54">
        <v>364938.0</v>
      </c>
      <c r="T14" s="54">
        <v>364938.0</v>
      </c>
      <c r="U14" s="55">
        <v>365054.0</v>
      </c>
      <c r="V14" s="16">
        <f t="shared" si="5"/>
        <v>87</v>
      </c>
      <c r="W14" s="16">
        <f t="shared" si="6"/>
        <v>116</v>
      </c>
    </row>
    <row r="15" ht="15.75" customHeight="1">
      <c r="A15" s="7">
        <v>14.0</v>
      </c>
      <c r="B15" s="8" t="s">
        <v>23</v>
      </c>
      <c r="C15" s="8" t="s">
        <v>39</v>
      </c>
      <c r="D15" s="9">
        <v>7.0</v>
      </c>
      <c r="E15" s="9">
        <v>7.0</v>
      </c>
      <c r="F15" s="9"/>
      <c r="G15" s="52">
        <v>99.0</v>
      </c>
      <c r="H15" s="53"/>
      <c r="I15" s="13">
        <f t="shared" si="1"/>
        <v>155</v>
      </c>
      <c r="J15" s="53"/>
      <c r="K15" s="52">
        <v>254.0</v>
      </c>
      <c r="L15" s="13">
        <f t="shared" si="2"/>
        <v>0</v>
      </c>
      <c r="M15" s="13">
        <f t="shared" si="3"/>
        <v>254</v>
      </c>
      <c r="N15" s="8"/>
      <c r="O15" s="8">
        <v>13.555</v>
      </c>
      <c r="P15" s="8">
        <v>14.888</v>
      </c>
      <c r="Q15" s="8">
        <f t="shared" si="4"/>
        <v>199.101</v>
      </c>
      <c r="R15" s="54">
        <v>312858.0</v>
      </c>
      <c r="S15" s="54">
        <v>312946.0</v>
      </c>
      <c r="T15" s="54">
        <v>312946.0</v>
      </c>
      <c r="U15" s="55">
        <v>313061.0</v>
      </c>
      <c r="V15" s="16">
        <f t="shared" si="5"/>
        <v>88</v>
      </c>
      <c r="W15" s="16">
        <f t="shared" si="6"/>
        <v>115</v>
      </c>
    </row>
    <row r="16" ht="15.75" customHeight="1">
      <c r="A16" s="7">
        <v>15.0</v>
      </c>
      <c r="B16" s="8" t="s">
        <v>23</v>
      </c>
      <c r="C16" s="8" t="s">
        <v>40</v>
      </c>
      <c r="D16" s="9">
        <v>7.0</v>
      </c>
      <c r="E16" s="9">
        <v>7.0</v>
      </c>
      <c r="F16" s="9"/>
      <c r="G16" s="52">
        <v>153.0</v>
      </c>
      <c r="H16" s="53"/>
      <c r="I16" s="13">
        <f t="shared" si="1"/>
        <v>145</v>
      </c>
      <c r="J16" s="53"/>
      <c r="K16" s="52">
        <v>298.0</v>
      </c>
      <c r="L16" s="13">
        <f t="shared" si="2"/>
        <v>0</v>
      </c>
      <c r="M16" s="13">
        <f t="shared" si="3"/>
        <v>298</v>
      </c>
      <c r="N16" s="8"/>
      <c r="O16" s="8">
        <v>13.555</v>
      </c>
      <c r="P16" s="8">
        <v>14.888</v>
      </c>
      <c r="Q16" s="8">
        <f t="shared" si="4"/>
        <v>199.101</v>
      </c>
      <c r="R16" s="54">
        <v>410797.0</v>
      </c>
      <c r="S16" s="54">
        <v>410898.0</v>
      </c>
      <c r="T16" s="54">
        <v>410898.0</v>
      </c>
      <c r="U16" s="55">
        <v>411000.0</v>
      </c>
      <c r="V16" s="16">
        <f t="shared" si="5"/>
        <v>101</v>
      </c>
      <c r="W16" s="16">
        <f t="shared" si="6"/>
        <v>102</v>
      </c>
    </row>
    <row r="17" ht="15.75" customHeight="1">
      <c r="A17" s="7">
        <v>16.0</v>
      </c>
      <c r="B17" s="8" t="s">
        <v>23</v>
      </c>
      <c r="C17" s="27" t="s">
        <v>41</v>
      </c>
      <c r="D17" s="28"/>
      <c r="E17" s="28"/>
      <c r="F17" s="28"/>
      <c r="G17" s="64"/>
      <c r="H17" s="64"/>
      <c r="I17" s="31">
        <f t="shared" si="1"/>
        <v>0</v>
      </c>
      <c r="J17" s="64"/>
      <c r="K17" s="64"/>
      <c r="L17" s="31">
        <f t="shared" si="2"/>
        <v>0</v>
      </c>
      <c r="M17" s="31">
        <f t="shared" si="3"/>
        <v>0</v>
      </c>
      <c r="N17" s="28" t="s">
        <v>68</v>
      </c>
      <c r="O17" s="27">
        <v>13.555</v>
      </c>
      <c r="P17" s="27">
        <v>14.888</v>
      </c>
      <c r="Q17" s="27">
        <f t="shared" si="4"/>
        <v>0</v>
      </c>
      <c r="R17" s="65"/>
      <c r="S17" s="65"/>
      <c r="T17" s="65"/>
      <c r="U17" s="66"/>
      <c r="V17" s="34">
        <f t="shared" si="5"/>
        <v>0</v>
      </c>
      <c r="W17" s="34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9">
        <v>7.0</v>
      </c>
      <c r="E18" s="9">
        <v>7.0</v>
      </c>
      <c r="F18" s="9"/>
      <c r="G18" s="52">
        <v>117.0</v>
      </c>
      <c r="H18" s="53"/>
      <c r="I18" s="13">
        <f t="shared" si="1"/>
        <v>130</v>
      </c>
      <c r="J18" s="53"/>
      <c r="K18" s="52">
        <v>247.0</v>
      </c>
      <c r="L18" s="13">
        <f t="shared" si="2"/>
        <v>0</v>
      </c>
      <c r="M18" s="13">
        <f t="shared" si="3"/>
        <v>247</v>
      </c>
      <c r="N18" s="8"/>
      <c r="O18" s="8">
        <v>13.555</v>
      </c>
      <c r="P18" s="8">
        <v>14.888</v>
      </c>
      <c r="Q18" s="8">
        <f t="shared" si="4"/>
        <v>199.101</v>
      </c>
      <c r="R18" s="54">
        <v>268095.0</v>
      </c>
      <c r="S18" s="54">
        <v>268199.0</v>
      </c>
      <c r="T18" s="54">
        <v>268199.0</v>
      </c>
      <c r="U18" s="55">
        <v>268296.0</v>
      </c>
      <c r="V18" s="16">
        <f t="shared" si="5"/>
        <v>104</v>
      </c>
      <c r="W18" s="16">
        <f t="shared" si="6"/>
        <v>97</v>
      </c>
    </row>
    <row r="19" ht="15.75" customHeight="1">
      <c r="A19" s="7">
        <v>18.0</v>
      </c>
      <c r="B19" s="8" t="s">
        <v>23</v>
      </c>
      <c r="C19" s="8" t="s">
        <v>44</v>
      </c>
      <c r="D19" s="9">
        <v>7.0</v>
      </c>
      <c r="E19" s="9">
        <v>7.0</v>
      </c>
      <c r="F19" s="9"/>
      <c r="G19" s="52">
        <v>95.0</v>
      </c>
      <c r="H19" s="53"/>
      <c r="I19" s="13">
        <f t="shared" si="1"/>
        <v>122</v>
      </c>
      <c r="J19" s="53"/>
      <c r="K19" s="52">
        <v>217.0</v>
      </c>
      <c r="L19" s="13">
        <f t="shared" si="2"/>
        <v>0</v>
      </c>
      <c r="M19" s="13">
        <f t="shared" si="3"/>
        <v>217</v>
      </c>
      <c r="N19" s="8"/>
      <c r="O19" s="8">
        <v>13.555</v>
      </c>
      <c r="P19" s="8">
        <v>14.888</v>
      </c>
      <c r="Q19" s="8">
        <f t="shared" si="4"/>
        <v>199.101</v>
      </c>
      <c r="R19" s="54">
        <v>286127.0</v>
      </c>
      <c r="S19" s="54">
        <v>286214.0</v>
      </c>
      <c r="T19" s="54">
        <v>286214.0</v>
      </c>
      <c r="U19" s="55">
        <v>286331.0</v>
      </c>
      <c r="V19" s="16">
        <f t="shared" si="5"/>
        <v>87</v>
      </c>
      <c r="W19" s="16">
        <f t="shared" si="6"/>
        <v>117</v>
      </c>
    </row>
    <row r="20" ht="15.75" customHeight="1">
      <c r="A20" s="7">
        <v>19.0</v>
      </c>
      <c r="B20" s="8" t="s">
        <v>23</v>
      </c>
      <c r="C20" s="8" t="s">
        <v>45</v>
      </c>
      <c r="D20" s="9">
        <v>7.0</v>
      </c>
      <c r="E20" s="9">
        <v>7.0</v>
      </c>
      <c r="F20" s="9"/>
      <c r="G20" s="52">
        <v>141.0</v>
      </c>
      <c r="H20" s="53"/>
      <c r="I20" s="13">
        <f t="shared" si="1"/>
        <v>133</v>
      </c>
      <c r="J20" s="53"/>
      <c r="K20" s="52">
        <v>274.0</v>
      </c>
      <c r="L20" s="13">
        <f t="shared" si="2"/>
        <v>0</v>
      </c>
      <c r="M20" s="13">
        <f t="shared" si="3"/>
        <v>274</v>
      </c>
      <c r="N20" s="8"/>
      <c r="O20" s="8">
        <v>13.555</v>
      </c>
      <c r="P20" s="8">
        <v>14.888</v>
      </c>
      <c r="Q20" s="8">
        <f t="shared" si="4"/>
        <v>199.101</v>
      </c>
      <c r="R20" s="54">
        <v>284517.0</v>
      </c>
      <c r="S20" s="54">
        <v>284618.0</v>
      </c>
      <c r="T20" s="54">
        <v>284618.0</v>
      </c>
      <c r="U20" s="55">
        <v>284720.0</v>
      </c>
      <c r="V20" s="16">
        <f t="shared" si="5"/>
        <v>101</v>
      </c>
      <c r="W20" s="16">
        <f t="shared" si="6"/>
        <v>102</v>
      </c>
    </row>
    <row r="21" ht="15.75" customHeight="1">
      <c r="A21" s="7">
        <v>20.0</v>
      </c>
      <c r="B21" s="8" t="s">
        <v>23</v>
      </c>
      <c r="C21" s="8" t="s">
        <v>46</v>
      </c>
      <c r="D21" s="9">
        <v>7.0</v>
      </c>
      <c r="E21" s="9">
        <v>7.0</v>
      </c>
      <c r="F21" s="9"/>
      <c r="G21" s="52">
        <v>102.0</v>
      </c>
      <c r="H21" s="53"/>
      <c r="I21" s="13">
        <f t="shared" si="1"/>
        <v>112</v>
      </c>
      <c r="J21" s="53"/>
      <c r="K21" s="52">
        <v>214.0</v>
      </c>
      <c r="L21" s="13">
        <f t="shared" si="2"/>
        <v>0</v>
      </c>
      <c r="M21" s="13">
        <f t="shared" si="3"/>
        <v>214</v>
      </c>
      <c r="N21" s="8"/>
      <c r="O21" s="8">
        <v>13.555</v>
      </c>
      <c r="P21" s="8">
        <v>14.888</v>
      </c>
      <c r="Q21" s="8">
        <f t="shared" si="4"/>
        <v>199.101</v>
      </c>
      <c r="R21" s="54">
        <v>274580.0</v>
      </c>
      <c r="S21" s="54">
        <v>274670.0</v>
      </c>
      <c r="T21" s="54">
        <v>274670.0</v>
      </c>
      <c r="U21" s="55">
        <v>274790.0</v>
      </c>
      <c r="V21" s="16">
        <f t="shared" si="5"/>
        <v>90</v>
      </c>
      <c r="W21" s="16">
        <f t="shared" si="6"/>
        <v>120</v>
      </c>
    </row>
    <row r="22" ht="15.75" customHeight="1">
      <c r="A22" s="7">
        <v>21.0</v>
      </c>
      <c r="B22" s="8" t="s">
        <v>23</v>
      </c>
      <c r="C22" s="8" t="s">
        <v>47</v>
      </c>
      <c r="D22" s="9">
        <v>7.0</v>
      </c>
      <c r="E22" s="9">
        <v>7.0</v>
      </c>
      <c r="F22" s="9"/>
      <c r="G22" s="52">
        <v>105.0</v>
      </c>
      <c r="H22" s="53"/>
      <c r="I22" s="13">
        <f t="shared" si="1"/>
        <v>130</v>
      </c>
      <c r="J22" s="53"/>
      <c r="K22" s="52">
        <v>235.0</v>
      </c>
      <c r="L22" s="13">
        <f t="shared" si="2"/>
        <v>0</v>
      </c>
      <c r="M22" s="13">
        <f t="shared" si="3"/>
        <v>235</v>
      </c>
      <c r="N22" s="8"/>
      <c r="O22" s="8">
        <v>13.555</v>
      </c>
      <c r="P22" s="8">
        <v>14.888</v>
      </c>
      <c r="Q22" s="8">
        <f t="shared" si="4"/>
        <v>199.101</v>
      </c>
      <c r="R22" s="54">
        <v>280414.0</v>
      </c>
      <c r="S22" s="54">
        <v>280501.0</v>
      </c>
      <c r="T22" s="54">
        <v>280501.0</v>
      </c>
      <c r="U22" s="55">
        <v>280621.0</v>
      </c>
      <c r="V22" s="16">
        <f t="shared" si="5"/>
        <v>87</v>
      </c>
      <c r="W22" s="16">
        <f t="shared" si="6"/>
        <v>120</v>
      </c>
    </row>
    <row r="23" ht="15.75" customHeight="1">
      <c r="A23" s="7">
        <v>22.0</v>
      </c>
      <c r="B23" s="8" t="s">
        <v>23</v>
      </c>
      <c r="C23" s="8" t="s">
        <v>48</v>
      </c>
      <c r="D23" s="9">
        <v>7.0</v>
      </c>
      <c r="E23" s="9">
        <v>7.0</v>
      </c>
      <c r="F23" s="9"/>
      <c r="G23" s="52">
        <v>71.0</v>
      </c>
      <c r="H23" s="53"/>
      <c r="I23" s="13">
        <f t="shared" si="1"/>
        <v>108</v>
      </c>
      <c r="J23" s="53"/>
      <c r="K23" s="52">
        <v>179.0</v>
      </c>
      <c r="L23" s="13">
        <f t="shared" si="2"/>
        <v>0</v>
      </c>
      <c r="M23" s="13">
        <f t="shared" si="3"/>
        <v>179</v>
      </c>
      <c r="N23" s="8"/>
      <c r="O23" s="8">
        <v>13.555</v>
      </c>
      <c r="P23" s="8">
        <v>14.888</v>
      </c>
      <c r="Q23" s="8">
        <f t="shared" si="4"/>
        <v>199.101</v>
      </c>
      <c r="R23" s="54">
        <v>275781.0</v>
      </c>
      <c r="S23" s="54">
        <v>275876.0</v>
      </c>
      <c r="T23" s="54">
        <v>275876.0</v>
      </c>
      <c r="U23" s="55">
        <v>275996.0</v>
      </c>
      <c r="V23" s="16">
        <f t="shared" si="5"/>
        <v>95</v>
      </c>
      <c r="W23" s="16">
        <f t="shared" si="6"/>
        <v>120</v>
      </c>
    </row>
    <row r="24" ht="15.75" customHeight="1">
      <c r="A24" s="7">
        <v>23.0</v>
      </c>
      <c r="B24" s="8" t="s">
        <v>23</v>
      </c>
      <c r="C24" s="8" t="s">
        <v>49</v>
      </c>
      <c r="D24" s="9">
        <v>7.0</v>
      </c>
      <c r="E24" s="9">
        <v>7.0</v>
      </c>
      <c r="F24" s="9"/>
      <c r="G24" s="52">
        <v>134.0</v>
      </c>
      <c r="H24" s="53"/>
      <c r="I24" s="13">
        <f t="shared" si="1"/>
        <v>137</v>
      </c>
      <c r="J24" s="53"/>
      <c r="K24" s="52">
        <v>271.0</v>
      </c>
      <c r="L24" s="13">
        <f t="shared" si="2"/>
        <v>0</v>
      </c>
      <c r="M24" s="13">
        <f t="shared" si="3"/>
        <v>271</v>
      </c>
      <c r="N24" s="8"/>
      <c r="O24" s="8">
        <v>13.555</v>
      </c>
      <c r="P24" s="8">
        <v>14.888</v>
      </c>
      <c r="Q24" s="8">
        <f t="shared" si="4"/>
        <v>199.101</v>
      </c>
      <c r="R24" s="54">
        <v>275449.0</v>
      </c>
      <c r="S24" s="54">
        <v>275536.0</v>
      </c>
      <c r="T24" s="54">
        <v>275536.0</v>
      </c>
      <c r="U24" s="55">
        <v>275651.0</v>
      </c>
      <c r="V24" s="16">
        <f t="shared" si="5"/>
        <v>87</v>
      </c>
      <c r="W24" s="16">
        <f t="shared" si="6"/>
        <v>115</v>
      </c>
    </row>
    <row r="25" ht="15.75" customHeight="1">
      <c r="A25" s="7">
        <v>24.0</v>
      </c>
      <c r="B25" s="8" t="s">
        <v>23</v>
      </c>
      <c r="C25" s="8" t="s">
        <v>50</v>
      </c>
      <c r="D25" s="9">
        <v>7.0</v>
      </c>
      <c r="E25" s="9">
        <v>7.0</v>
      </c>
      <c r="F25" s="9"/>
      <c r="G25" s="52">
        <v>104.0</v>
      </c>
      <c r="H25" s="53"/>
      <c r="I25" s="13">
        <f t="shared" si="1"/>
        <v>150</v>
      </c>
      <c r="J25" s="53"/>
      <c r="K25" s="52">
        <v>254.0</v>
      </c>
      <c r="L25" s="13">
        <f t="shared" si="2"/>
        <v>0</v>
      </c>
      <c r="M25" s="13">
        <f t="shared" si="3"/>
        <v>254</v>
      </c>
      <c r="N25" s="8"/>
      <c r="O25" s="8">
        <v>13.555</v>
      </c>
      <c r="P25" s="8">
        <v>14.888</v>
      </c>
      <c r="Q25" s="8">
        <f t="shared" si="4"/>
        <v>199.101</v>
      </c>
      <c r="R25" s="54">
        <v>314708.0</v>
      </c>
      <c r="S25" s="54">
        <v>314797.0</v>
      </c>
      <c r="T25" s="54">
        <v>314797.0</v>
      </c>
      <c r="U25" s="55">
        <v>314913.0</v>
      </c>
      <c r="V25" s="16">
        <f t="shared" si="5"/>
        <v>89</v>
      </c>
      <c r="W25" s="16">
        <f t="shared" si="6"/>
        <v>116</v>
      </c>
    </row>
    <row r="26" ht="15.75" customHeight="1">
      <c r="A26" s="7">
        <v>25.0</v>
      </c>
      <c r="B26" s="8" t="s">
        <v>23</v>
      </c>
      <c r="C26" s="8" t="s">
        <v>51</v>
      </c>
      <c r="D26" s="9">
        <v>7.0</v>
      </c>
      <c r="E26" s="9">
        <v>7.0</v>
      </c>
      <c r="F26" s="9"/>
      <c r="G26" s="52">
        <v>131.0</v>
      </c>
      <c r="H26" s="53"/>
      <c r="I26" s="13">
        <f t="shared" si="1"/>
        <v>117</v>
      </c>
      <c r="J26" s="53"/>
      <c r="K26" s="52">
        <v>248.0</v>
      </c>
      <c r="L26" s="13">
        <f t="shared" si="2"/>
        <v>0</v>
      </c>
      <c r="M26" s="13">
        <f t="shared" si="3"/>
        <v>248</v>
      </c>
      <c r="N26" s="8"/>
      <c r="O26" s="8">
        <v>13.555</v>
      </c>
      <c r="P26" s="8">
        <v>14.888</v>
      </c>
      <c r="Q26" s="8">
        <f t="shared" si="4"/>
        <v>199.101</v>
      </c>
      <c r="R26" s="54">
        <v>308249.0</v>
      </c>
      <c r="S26" s="54">
        <v>308337.0</v>
      </c>
      <c r="T26" s="54">
        <v>308337.0</v>
      </c>
      <c r="U26" s="55">
        <v>308453.0</v>
      </c>
      <c r="V26" s="16">
        <f t="shared" si="5"/>
        <v>88</v>
      </c>
      <c r="W26" s="16">
        <f t="shared" si="6"/>
        <v>116</v>
      </c>
    </row>
    <row r="27" ht="15.75" customHeight="1">
      <c r="A27" s="7">
        <v>26.0</v>
      </c>
      <c r="B27" s="8" t="s">
        <v>23</v>
      </c>
      <c r="C27" s="8" t="s">
        <v>52</v>
      </c>
      <c r="D27" s="9">
        <v>7.0</v>
      </c>
      <c r="E27" s="9">
        <v>7.0</v>
      </c>
      <c r="F27" s="9"/>
      <c r="G27" s="52">
        <v>97.0</v>
      </c>
      <c r="H27" s="53"/>
      <c r="I27" s="13">
        <f t="shared" si="1"/>
        <v>152</v>
      </c>
      <c r="J27" s="53"/>
      <c r="K27" s="52">
        <v>249.0</v>
      </c>
      <c r="L27" s="13">
        <f t="shared" si="2"/>
        <v>0</v>
      </c>
      <c r="M27" s="13">
        <f t="shared" si="3"/>
        <v>249</v>
      </c>
      <c r="N27" s="8"/>
      <c r="O27" s="8">
        <v>13.555</v>
      </c>
      <c r="P27" s="8">
        <v>14.888</v>
      </c>
      <c r="Q27" s="8">
        <f t="shared" si="4"/>
        <v>199.101</v>
      </c>
      <c r="R27" s="54">
        <v>272308.0</v>
      </c>
      <c r="S27" s="54">
        <v>272395.0</v>
      </c>
      <c r="T27" s="54">
        <v>272395.0</v>
      </c>
      <c r="U27" s="55">
        <v>272511.0</v>
      </c>
      <c r="V27" s="16">
        <f t="shared" si="5"/>
        <v>87</v>
      </c>
      <c r="W27" s="16">
        <f t="shared" si="6"/>
        <v>116</v>
      </c>
    </row>
    <row r="28" ht="15.75" customHeight="1">
      <c r="A28" s="7">
        <v>27.0</v>
      </c>
      <c r="B28" s="8" t="s">
        <v>23</v>
      </c>
      <c r="C28" s="8" t="s">
        <v>53</v>
      </c>
      <c r="D28" s="9">
        <v>7.0</v>
      </c>
      <c r="E28" s="9">
        <v>7.0</v>
      </c>
      <c r="F28" s="9"/>
      <c r="G28" s="52">
        <v>100.0</v>
      </c>
      <c r="H28" s="53"/>
      <c r="I28" s="13">
        <f t="shared" si="1"/>
        <v>159</v>
      </c>
      <c r="J28" s="53"/>
      <c r="K28" s="52">
        <v>259.0</v>
      </c>
      <c r="L28" s="13">
        <f t="shared" si="2"/>
        <v>0</v>
      </c>
      <c r="M28" s="13">
        <f t="shared" si="3"/>
        <v>259</v>
      </c>
      <c r="N28" s="8"/>
      <c r="O28" s="8">
        <v>13.555</v>
      </c>
      <c r="P28" s="8">
        <v>14.888</v>
      </c>
      <c r="Q28" s="8">
        <f t="shared" si="4"/>
        <v>199.101</v>
      </c>
      <c r="R28" s="54">
        <v>268104.0</v>
      </c>
      <c r="S28" s="54">
        <v>268192.0</v>
      </c>
      <c r="T28" s="54">
        <v>268192.0</v>
      </c>
      <c r="U28" s="55">
        <v>268309.0</v>
      </c>
      <c r="V28" s="16">
        <f t="shared" si="5"/>
        <v>88</v>
      </c>
      <c r="W28" s="16">
        <f t="shared" si="6"/>
        <v>117</v>
      </c>
    </row>
    <row r="29" ht="15.75" customHeight="1">
      <c r="A29" s="7">
        <v>28.0</v>
      </c>
      <c r="B29" s="8" t="s">
        <v>23</v>
      </c>
      <c r="C29" s="8" t="s">
        <v>54</v>
      </c>
      <c r="D29" s="9">
        <v>7.0</v>
      </c>
      <c r="E29" s="9">
        <v>7.0</v>
      </c>
      <c r="F29" s="9"/>
      <c r="G29" s="52">
        <v>111.0</v>
      </c>
      <c r="H29" s="53"/>
      <c r="I29" s="13">
        <f t="shared" si="1"/>
        <v>151</v>
      </c>
      <c r="J29" s="53"/>
      <c r="K29" s="52">
        <v>262.0</v>
      </c>
      <c r="L29" s="13">
        <f t="shared" si="2"/>
        <v>0</v>
      </c>
      <c r="M29" s="13">
        <f t="shared" si="3"/>
        <v>262</v>
      </c>
      <c r="N29" s="8"/>
      <c r="O29" s="8">
        <v>13.555</v>
      </c>
      <c r="P29" s="8">
        <v>14.888</v>
      </c>
      <c r="Q29" s="8">
        <f t="shared" si="4"/>
        <v>199.101</v>
      </c>
      <c r="R29" s="54">
        <v>263701.0</v>
      </c>
      <c r="S29" s="54">
        <v>263788.0</v>
      </c>
      <c r="T29" s="54">
        <v>263788.0</v>
      </c>
      <c r="U29" s="55">
        <v>263904.0</v>
      </c>
      <c r="V29" s="16">
        <f t="shared" si="5"/>
        <v>87</v>
      </c>
      <c r="W29" s="16">
        <f t="shared" si="6"/>
        <v>116</v>
      </c>
    </row>
    <row r="30" ht="15.75" customHeight="1">
      <c r="A30" s="7">
        <v>29.0</v>
      </c>
      <c r="B30" s="8" t="s">
        <v>23</v>
      </c>
      <c r="C30" s="8" t="s">
        <v>55</v>
      </c>
      <c r="D30" s="9">
        <v>7.0</v>
      </c>
      <c r="E30" s="9">
        <v>7.0</v>
      </c>
      <c r="F30" s="9"/>
      <c r="G30" s="52">
        <v>114.0</v>
      </c>
      <c r="H30" s="53"/>
      <c r="I30" s="13">
        <f t="shared" si="1"/>
        <v>123</v>
      </c>
      <c r="J30" s="53"/>
      <c r="K30" s="52">
        <v>237.0</v>
      </c>
      <c r="L30" s="13">
        <f t="shared" si="2"/>
        <v>0</v>
      </c>
      <c r="M30" s="13">
        <f t="shared" si="3"/>
        <v>237</v>
      </c>
      <c r="N30" s="8"/>
      <c r="O30" s="8">
        <v>13.555</v>
      </c>
      <c r="P30" s="8">
        <v>14.888</v>
      </c>
      <c r="Q30" s="8">
        <f t="shared" si="4"/>
        <v>199.101</v>
      </c>
      <c r="R30" s="54">
        <v>271081.0</v>
      </c>
      <c r="S30" s="54">
        <v>271182.0</v>
      </c>
      <c r="T30" s="54">
        <v>271182.0</v>
      </c>
      <c r="U30" s="55">
        <v>271284.0</v>
      </c>
      <c r="V30" s="16">
        <f t="shared" si="5"/>
        <v>101</v>
      </c>
      <c r="W30" s="16">
        <f t="shared" si="6"/>
        <v>102</v>
      </c>
    </row>
    <row r="31" ht="15.75" customHeight="1">
      <c r="A31" s="7">
        <v>30.0</v>
      </c>
      <c r="B31" s="8" t="s">
        <v>23</v>
      </c>
      <c r="C31" s="8" t="s">
        <v>56</v>
      </c>
      <c r="D31" s="9">
        <v>7.0</v>
      </c>
      <c r="E31" s="9">
        <v>7.0</v>
      </c>
      <c r="F31" s="9"/>
      <c r="G31" s="52">
        <v>130.0</v>
      </c>
      <c r="H31" s="53"/>
      <c r="I31" s="13">
        <f t="shared" si="1"/>
        <v>131</v>
      </c>
      <c r="J31" s="53"/>
      <c r="K31" s="52">
        <v>261.0</v>
      </c>
      <c r="L31" s="13">
        <f t="shared" si="2"/>
        <v>0</v>
      </c>
      <c r="M31" s="13">
        <f t="shared" si="3"/>
        <v>261</v>
      </c>
      <c r="N31" s="8"/>
      <c r="O31" s="8">
        <v>13.555</v>
      </c>
      <c r="P31" s="8">
        <v>14.888</v>
      </c>
      <c r="Q31" s="8">
        <f t="shared" si="4"/>
        <v>199.101</v>
      </c>
      <c r="R31" s="54">
        <v>272557.0</v>
      </c>
      <c r="S31" s="54">
        <v>272644.0</v>
      </c>
      <c r="T31" s="54">
        <v>272644.0</v>
      </c>
      <c r="U31" s="55">
        <v>272760.0</v>
      </c>
      <c r="V31" s="16">
        <f t="shared" si="5"/>
        <v>87</v>
      </c>
      <c r="W31" s="16">
        <f t="shared" si="6"/>
        <v>116</v>
      </c>
    </row>
    <row r="32" ht="15.75" customHeight="1">
      <c r="A32" s="35"/>
      <c r="B32" s="35"/>
      <c r="C32" s="36"/>
      <c r="D32" s="37" t="s">
        <v>57</v>
      </c>
      <c r="E32" s="38">
        <f>SUM(M:M)</f>
        <v>6809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5574.828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>
        <f>E32/E33</f>
        <v>1.221382974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>
        <f>AVERAGEIF(Q:Q,"&gt;0",Q:Q)</f>
        <v>199.101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3081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11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3092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3717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3717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6798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11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7" t="s">
        <v>17</v>
      </c>
      <c r="S1" s="68" t="s">
        <v>18</v>
      </c>
      <c r="T1" s="68" t="s">
        <v>19</v>
      </c>
      <c r="U1" s="68" t="s">
        <v>20</v>
      </c>
      <c r="V1" s="69" t="s">
        <v>21</v>
      </c>
      <c r="W1" s="69" t="s">
        <v>22</v>
      </c>
      <c r="X1" s="70"/>
      <c r="Y1" s="70"/>
      <c r="Z1" s="70"/>
      <c r="AA1" s="70"/>
      <c r="AB1" s="70"/>
    </row>
    <row r="2" ht="15.75" customHeight="1">
      <c r="A2" s="7">
        <v>1.0</v>
      </c>
      <c r="B2" s="8" t="s">
        <v>23</v>
      </c>
      <c r="C2" s="8" t="s">
        <v>24</v>
      </c>
      <c r="D2" s="9">
        <v>7.0</v>
      </c>
      <c r="E2" s="9">
        <v>7.0</v>
      </c>
      <c r="F2" s="71"/>
      <c r="G2" s="72">
        <v>103.0</v>
      </c>
      <c r="H2" s="71"/>
      <c r="I2" s="73">
        <f t="shared" ref="I2:I31" si="1">max(0,K2-G2)</f>
        <v>160</v>
      </c>
      <c r="J2" s="71"/>
      <c r="K2" s="72">
        <v>263.0</v>
      </c>
      <c r="L2" s="73">
        <f t="shared" ref="L2:L31" si="2">J2+H2</f>
        <v>0</v>
      </c>
      <c r="M2" s="73">
        <f t="shared" ref="M2:M31" si="3">G2+H2+I2+J2</f>
        <v>263</v>
      </c>
      <c r="N2" s="8"/>
      <c r="O2" s="8">
        <v>13.555</v>
      </c>
      <c r="P2" s="8">
        <v>14.888</v>
      </c>
      <c r="Q2" s="8">
        <f t="shared" ref="Q2:Q31" si="4">(O2*D2)+(P2*E2)</f>
        <v>199.101</v>
      </c>
      <c r="R2" s="74">
        <v>293350.0</v>
      </c>
      <c r="S2" s="74">
        <v>293437.0</v>
      </c>
      <c r="T2" s="74">
        <v>293437.0</v>
      </c>
      <c r="U2" s="75">
        <v>293553.0</v>
      </c>
      <c r="V2" s="76">
        <f t="shared" ref="V2:V31" si="5">S2-R2</f>
        <v>87</v>
      </c>
      <c r="W2" s="76">
        <f t="shared" ref="W2:W31" si="6">U2-T2</f>
        <v>116</v>
      </c>
      <c r="X2" s="70"/>
      <c r="Y2" s="70"/>
      <c r="Z2" s="70"/>
      <c r="AA2" s="70"/>
      <c r="AB2" s="70"/>
    </row>
    <row r="3" ht="15.75" customHeight="1">
      <c r="A3" s="7">
        <v>2.0</v>
      </c>
      <c r="B3" s="8" t="s">
        <v>23</v>
      </c>
      <c r="C3" s="8" t="s">
        <v>25</v>
      </c>
      <c r="D3" s="9">
        <v>7.0</v>
      </c>
      <c r="E3" s="9">
        <v>7.0</v>
      </c>
      <c r="F3" s="71"/>
      <c r="G3" s="72">
        <v>104.0</v>
      </c>
      <c r="H3" s="71"/>
      <c r="I3" s="73">
        <f t="shared" si="1"/>
        <v>175</v>
      </c>
      <c r="J3" s="71"/>
      <c r="K3" s="72">
        <v>279.0</v>
      </c>
      <c r="L3" s="73">
        <f t="shared" si="2"/>
        <v>0</v>
      </c>
      <c r="M3" s="73">
        <f t="shared" si="3"/>
        <v>279</v>
      </c>
      <c r="N3" s="8"/>
      <c r="O3" s="8">
        <v>13.555</v>
      </c>
      <c r="P3" s="8">
        <v>14.888</v>
      </c>
      <c r="Q3" s="8">
        <f t="shared" si="4"/>
        <v>199.101</v>
      </c>
      <c r="R3" s="74">
        <v>274548.0</v>
      </c>
      <c r="S3" s="74">
        <v>274635.0</v>
      </c>
      <c r="T3" s="74">
        <v>274635.0</v>
      </c>
      <c r="U3" s="75">
        <v>274752.0</v>
      </c>
      <c r="V3" s="76">
        <f t="shared" si="5"/>
        <v>87</v>
      </c>
      <c r="W3" s="76">
        <f t="shared" si="6"/>
        <v>117</v>
      </c>
      <c r="X3" s="70"/>
      <c r="Y3" s="70"/>
      <c r="Z3" s="70"/>
      <c r="AA3" s="70"/>
      <c r="AB3" s="70"/>
    </row>
    <row r="4" ht="15.75" customHeight="1">
      <c r="A4" s="7">
        <v>3.0</v>
      </c>
      <c r="B4" s="8" t="s">
        <v>23</v>
      </c>
      <c r="C4" s="8" t="s">
        <v>26</v>
      </c>
      <c r="D4" s="9">
        <v>7.0</v>
      </c>
      <c r="E4" s="9">
        <v>7.0</v>
      </c>
      <c r="F4" s="71"/>
      <c r="G4" s="72">
        <v>107.0</v>
      </c>
      <c r="H4" s="71"/>
      <c r="I4" s="73">
        <f t="shared" si="1"/>
        <v>135</v>
      </c>
      <c r="J4" s="71"/>
      <c r="K4" s="72">
        <v>242.0</v>
      </c>
      <c r="L4" s="73">
        <f t="shared" si="2"/>
        <v>0</v>
      </c>
      <c r="M4" s="73">
        <f t="shared" si="3"/>
        <v>242</v>
      </c>
      <c r="N4" s="8"/>
      <c r="O4" s="8">
        <v>13.555</v>
      </c>
      <c r="P4" s="8">
        <v>14.888</v>
      </c>
      <c r="Q4" s="8">
        <f t="shared" si="4"/>
        <v>199.101</v>
      </c>
      <c r="R4" s="74">
        <v>458174.0</v>
      </c>
      <c r="S4" s="74">
        <v>458260.0</v>
      </c>
      <c r="T4" s="74">
        <v>458260.0</v>
      </c>
      <c r="U4" s="75">
        <v>458376.0</v>
      </c>
      <c r="V4" s="76">
        <f t="shared" si="5"/>
        <v>86</v>
      </c>
      <c r="W4" s="76">
        <f t="shared" si="6"/>
        <v>116</v>
      </c>
      <c r="X4" s="70"/>
      <c r="Y4" s="70"/>
      <c r="Z4" s="70"/>
      <c r="AA4" s="70"/>
      <c r="AB4" s="70"/>
    </row>
    <row r="5" ht="15.75" customHeight="1">
      <c r="A5" s="7">
        <v>4.0</v>
      </c>
      <c r="B5" s="8" t="s">
        <v>23</v>
      </c>
      <c r="C5" s="8" t="s">
        <v>27</v>
      </c>
      <c r="D5" s="9">
        <v>7.0</v>
      </c>
      <c r="E5" s="9">
        <v>7.0</v>
      </c>
      <c r="F5" s="71"/>
      <c r="G5" s="72">
        <v>136.0</v>
      </c>
      <c r="H5" s="71"/>
      <c r="I5" s="73">
        <f t="shared" si="1"/>
        <v>94</v>
      </c>
      <c r="J5" s="71"/>
      <c r="K5" s="72">
        <v>230.0</v>
      </c>
      <c r="L5" s="73">
        <f t="shared" si="2"/>
        <v>0</v>
      </c>
      <c r="M5" s="73">
        <f t="shared" si="3"/>
        <v>230</v>
      </c>
      <c r="N5" s="8"/>
      <c r="O5" s="8">
        <v>13.555</v>
      </c>
      <c r="P5" s="8">
        <v>14.888</v>
      </c>
      <c r="Q5" s="8">
        <f t="shared" si="4"/>
        <v>199.101</v>
      </c>
      <c r="R5" s="74">
        <v>269959.0</v>
      </c>
      <c r="S5" s="74">
        <v>270060.0</v>
      </c>
      <c r="T5" s="74">
        <v>270060.0</v>
      </c>
      <c r="U5" s="75">
        <v>270162.0</v>
      </c>
      <c r="V5" s="76">
        <f t="shared" si="5"/>
        <v>101</v>
      </c>
      <c r="W5" s="76">
        <f t="shared" si="6"/>
        <v>102</v>
      </c>
      <c r="X5" s="70"/>
      <c r="Y5" s="70"/>
      <c r="Z5" s="70"/>
      <c r="AA5" s="70"/>
      <c r="AB5" s="70"/>
    </row>
    <row r="6" ht="15.75" customHeight="1">
      <c r="A6" s="7">
        <v>5.0</v>
      </c>
      <c r="B6" s="8" t="s">
        <v>23</v>
      </c>
      <c r="C6" s="8" t="s">
        <v>28</v>
      </c>
      <c r="D6" s="9">
        <v>7.0</v>
      </c>
      <c r="E6" s="9">
        <v>7.0</v>
      </c>
      <c r="F6" s="71"/>
      <c r="G6" s="72">
        <v>100.0</v>
      </c>
      <c r="H6" s="71"/>
      <c r="I6" s="73">
        <f t="shared" si="1"/>
        <v>114</v>
      </c>
      <c r="J6" s="72">
        <v>20.0</v>
      </c>
      <c r="K6" s="72">
        <v>214.0</v>
      </c>
      <c r="L6" s="73">
        <f t="shared" si="2"/>
        <v>20</v>
      </c>
      <c r="M6" s="73">
        <f t="shared" si="3"/>
        <v>234</v>
      </c>
      <c r="N6" s="8"/>
      <c r="O6" s="8">
        <v>13.555</v>
      </c>
      <c r="P6" s="8">
        <v>14.888</v>
      </c>
      <c r="Q6" s="8">
        <f t="shared" si="4"/>
        <v>199.101</v>
      </c>
      <c r="R6" s="74">
        <v>279688.0</v>
      </c>
      <c r="S6" s="74">
        <v>279775.0</v>
      </c>
      <c r="T6" s="74">
        <v>279775.0</v>
      </c>
      <c r="U6" s="75">
        <v>279891.0</v>
      </c>
      <c r="V6" s="76">
        <f t="shared" si="5"/>
        <v>87</v>
      </c>
      <c r="W6" s="76">
        <f t="shared" si="6"/>
        <v>116</v>
      </c>
      <c r="X6" s="70"/>
      <c r="Y6" s="70"/>
      <c r="Z6" s="70"/>
      <c r="AA6" s="70"/>
      <c r="AB6" s="70"/>
    </row>
    <row r="7" ht="15.75" customHeight="1">
      <c r="A7" s="7">
        <v>6.0</v>
      </c>
      <c r="B7" s="8" t="s">
        <v>23</v>
      </c>
      <c r="C7" s="8" t="s">
        <v>29</v>
      </c>
      <c r="D7" s="9">
        <v>7.0</v>
      </c>
      <c r="E7" s="9">
        <v>7.0</v>
      </c>
      <c r="F7" s="71"/>
      <c r="G7" s="72">
        <v>130.0</v>
      </c>
      <c r="H7" s="71"/>
      <c r="I7" s="73">
        <f t="shared" si="1"/>
        <v>112</v>
      </c>
      <c r="J7" s="71"/>
      <c r="K7" s="72">
        <v>242.0</v>
      </c>
      <c r="L7" s="73">
        <f t="shared" si="2"/>
        <v>0</v>
      </c>
      <c r="M7" s="73">
        <f t="shared" si="3"/>
        <v>242</v>
      </c>
      <c r="N7" s="8"/>
      <c r="O7" s="8">
        <v>13.555</v>
      </c>
      <c r="P7" s="8">
        <v>14.888</v>
      </c>
      <c r="Q7" s="8">
        <f t="shared" si="4"/>
        <v>199.101</v>
      </c>
      <c r="R7" s="74">
        <v>276993.0</v>
      </c>
      <c r="S7" s="74">
        <v>277095.0</v>
      </c>
      <c r="T7" s="74">
        <v>277095.0</v>
      </c>
      <c r="U7" s="75">
        <v>277197.0</v>
      </c>
      <c r="V7" s="76">
        <f t="shared" si="5"/>
        <v>102</v>
      </c>
      <c r="W7" s="76">
        <f t="shared" si="6"/>
        <v>102</v>
      </c>
      <c r="X7" s="70"/>
      <c r="Y7" s="70"/>
      <c r="Z7" s="70"/>
      <c r="AA7" s="70"/>
      <c r="AB7" s="70"/>
    </row>
    <row r="8" ht="15.75" customHeight="1">
      <c r="A8" s="7">
        <v>7.0</v>
      </c>
      <c r="B8" s="8" t="s">
        <v>23</v>
      </c>
      <c r="C8" s="8" t="s">
        <v>30</v>
      </c>
      <c r="D8" s="9">
        <v>7.0</v>
      </c>
      <c r="E8" s="9">
        <v>7.0</v>
      </c>
      <c r="F8" s="71"/>
      <c r="G8" s="72">
        <v>91.0</v>
      </c>
      <c r="H8" s="71"/>
      <c r="I8" s="73">
        <f t="shared" si="1"/>
        <v>79</v>
      </c>
      <c r="J8" s="72">
        <v>40.0</v>
      </c>
      <c r="K8" s="72">
        <v>170.0</v>
      </c>
      <c r="L8" s="73">
        <f t="shared" si="2"/>
        <v>40</v>
      </c>
      <c r="M8" s="73">
        <f t="shared" si="3"/>
        <v>210</v>
      </c>
      <c r="N8" s="8"/>
      <c r="O8" s="8">
        <v>13.555</v>
      </c>
      <c r="P8" s="8">
        <v>14.888</v>
      </c>
      <c r="Q8" s="8">
        <f t="shared" si="4"/>
        <v>199.101</v>
      </c>
      <c r="R8" s="74">
        <v>269698.0</v>
      </c>
      <c r="S8" s="74">
        <v>269786.0</v>
      </c>
      <c r="T8" s="74">
        <v>269786.0</v>
      </c>
      <c r="U8" s="75">
        <v>269902.0</v>
      </c>
      <c r="V8" s="76">
        <f t="shared" si="5"/>
        <v>88</v>
      </c>
      <c r="W8" s="76">
        <f t="shared" si="6"/>
        <v>116</v>
      </c>
      <c r="X8" s="70"/>
      <c r="Y8" s="70"/>
      <c r="Z8" s="70"/>
      <c r="AA8" s="70"/>
      <c r="AB8" s="70"/>
    </row>
    <row r="9" ht="15.75" customHeight="1">
      <c r="A9" s="7">
        <v>8.0</v>
      </c>
      <c r="B9" s="8" t="s">
        <v>23</v>
      </c>
      <c r="C9" s="8" t="s">
        <v>32</v>
      </c>
      <c r="D9" s="9">
        <v>7.0</v>
      </c>
      <c r="E9" s="9">
        <v>7.0</v>
      </c>
      <c r="F9" s="71"/>
      <c r="G9" s="72">
        <v>132.0</v>
      </c>
      <c r="H9" s="71"/>
      <c r="I9" s="73">
        <f t="shared" si="1"/>
        <v>163</v>
      </c>
      <c r="J9" s="71"/>
      <c r="K9" s="72">
        <v>295.0</v>
      </c>
      <c r="L9" s="73">
        <f t="shared" si="2"/>
        <v>0</v>
      </c>
      <c r="M9" s="73">
        <f t="shared" si="3"/>
        <v>295</v>
      </c>
      <c r="N9" s="8"/>
      <c r="O9" s="8">
        <v>13.555</v>
      </c>
      <c r="P9" s="8">
        <v>14.888</v>
      </c>
      <c r="Q9" s="8">
        <f t="shared" si="4"/>
        <v>199.101</v>
      </c>
      <c r="R9" s="74">
        <v>277153.0</v>
      </c>
      <c r="S9" s="74">
        <v>277241.0</v>
      </c>
      <c r="T9" s="74">
        <v>277241.0</v>
      </c>
      <c r="U9" s="75">
        <v>277357.0</v>
      </c>
      <c r="V9" s="76">
        <f t="shared" si="5"/>
        <v>88</v>
      </c>
      <c r="W9" s="76">
        <f t="shared" si="6"/>
        <v>116</v>
      </c>
      <c r="X9" s="70"/>
      <c r="Y9" s="70"/>
      <c r="Z9" s="70"/>
      <c r="AA9" s="70"/>
      <c r="AB9" s="70"/>
    </row>
    <row r="10" ht="15.75" customHeight="1">
      <c r="A10" s="7">
        <v>9.0</v>
      </c>
      <c r="B10" s="8" t="s">
        <v>23</v>
      </c>
      <c r="C10" s="8" t="s">
        <v>33</v>
      </c>
      <c r="D10" s="9">
        <v>7.0</v>
      </c>
      <c r="E10" s="9">
        <v>7.0</v>
      </c>
      <c r="F10" s="71"/>
      <c r="G10" s="72">
        <v>113.0</v>
      </c>
      <c r="H10" s="71"/>
      <c r="I10" s="73">
        <f t="shared" si="1"/>
        <v>151</v>
      </c>
      <c r="J10" s="71"/>
      <c r="K10" s="72">
        <v>264.0</v>
      </c>
      <c r="L10" s="73">
        <f t="shared" si="2"/>
        <v>0</v>
      </c>
      <c r="M10" s="73">
        <f t="shared" si="3"/>
        <v>264</v>
      </c>
      <c r="N10" s="8"/>
      <c r="O10" s="8">
        <v>13.555</v>
      </c>
      <c r="P10" s="8">
        <v>14.888</v>
      </c>
      <c r="Q10" s="8">
        <f t="shared" si="4"/>
        <v>199.101</v>
      </c>
      <c r="R10" s="74">
        <v>352674.0</v>
      </c>
      <c r="S10" s="74">
        <v>352761.0</v>
      </c>
      <c r="T10" s="74">
        <v>352761.0</v>
      </c>
      <c r="U10" s="75">
        <v>352878.0</v>
      </c>
      <c r="V10" s="76">
        <f t="shared" si="5"/>
        <v>87</v>
      </c>
      <c r="W10" s="76">
        <f t="shared" si="6"/>
        <v>117</v>
      </c>
      <c r="X10" s="70"/>
      <c r="Y10" s="70"/>
      <c r="Z10" s="70"/>
      <c r="AA10" s="70"/>
      <c r="AB10" s="70"/>
    </row>
    <row r="11" ht="15.75" customHeight="1">
      <c r="A11" s="7">
        <v>10.0</v>
      </c>
      <c r="B11" s="8" t="s">
        <v>23</v>
      </c>
      <c r="C11" s="8" t="s">
        <v>34</v>
      </c>
      <c r="D11" s="9">
        <v>7.0</v>
      </c>
      <c r="E11" s="9">
        <v>7.0</v>
      </c>
      <c r="F11" s="71"/>
      <c r="G11" s="72">
        <v>102.0</v>
      </c>
      <c r="H11" s="71"/>
      <c r="I11" s="73">
        <f t="shared" si="1"/>
        <v>92</v>
      </c>
      <c r="J11" s="71"/>
      <c r="K11" s="72">
        <v>194.0</v>
      </c>
      <c r="L11" s="73">
        <f t="shared" si="2"/>
        <v>0</v>
      </c>
      <c r="M11" s="73">
        <f t="shared" si="3"/>
        <v>194</v>
      </c>
      <c r="N11" s="8"/>
      <c r="O11" s="8">
        <v>13.555</v>
      </c>
      <c r="P11" s="8">
        <v>14.888</v>
      </c>
      <c r="Q11" s="8">
        <f t="shared" si="4"/>
        <v>199.101</v>
      </c>
      <c r="R11" s="74">
        <v>333154.0</v>
      </c>
      <c r="S11" s="74">
        <v>333241.0</v>
      </c>
      <c r="T11" s="74">
        <v>333241.0</v>
      </c>
      <c r="U11" s="75">
        <v>333356.0</v>
      </c>
      <c r="V11" s="76">
        <f t="shared" si="5"/>
        <v>87</v>
      </c>
      <c r="W11" s="76">
        <f t="shared" si="6"/>
        <v>115</v>
      </c>
      <c r="X11" s="70"/>
      <c r="Y11" s="70"/>
      <c r="Z11" s="70"/>
      <c r="AA11" s="70"/>
      <c r="AB11" s="70"/>
    </row>
    <row r="12" ht="15.75" customHeight="1">
      <c r="A12" s="7">
        <v>11.0</v>
      </c>
      <c r="B12" s="8" t="s">
        <v>23</v>
      </c>
      <c r="C12" s="8" t="s">
        <v>36</v>
      </c>
      <c r="D12" s="9">
        <v>7.0</v>
      </c>
      <c r="E12" s="9">
        <v>7.0</v>
      </c>
      <c r="F12" s="71"/>
      <c r="G12" s="72">
        <v>91.0</v>
      </c>
      <c r="H12" s="71"/>
      <c r="I12" s="73">
        <f t="shared" si="1"/>
        <v>126</v>
      </c>
      <c r="J12" s="71"/>
      <c r="K12" s="72">
        <v>217.0</v>
      </c>
      <c r="L12" s="73">
        <f t="shared" si="2"/>
        <v>0</v>
      </c>
      <c r="M12" s="73">
        <f t="shared" si="3"/>
        <v>217</v>
      </c>
      <c r="N12" s="8"/>
      <c r="O12" s="8">
        <v>13.555</v>
      </c>
      <c r="P12" s="8">
        <v>14.888</v>
      </c>
      <c r="Q12" s="8">
        <f t="shared" si="4"/>
        <v>199.101</v>
      </c>
      <c r="R12" s="74">
        <v>366806.0</v>
      </c>
      <c r="S12" s="74">
        <v>366907.0</v>
      </c>
      <c r="T12" s="74">
        <v>366907.0</v>
      </c>
      <c r="U12" s="75">
        <v>367008.0</v>
      </c>
      <c r="V12" s="76">
        <f t="shared" si="5"/>
        <v>101</v>
      </c>
      <c r="W12" s="76">
        <f t="shared" si="6"/>
        <v>101</v>
      </c>
      <c r="X12" s="70"/>
      <c r="Y12" s="70"/>
      <c r="Z12" s="70"/>
      <c r="AA12" s="70"/>
      <c r="AB12" s="70"/>
    </row>
    <row r="13" ht="15.75" customHeight="1">
      <c r="A13" s="7">
        <v>12.0</v>
      </c>
      <c r="B13" s="8" t="s">
        <v>23</v>
      </c>
      <c r="C13" s="8" t="s">
        <v>37</v>
      </c>
      <c r="D13" s="9">
        <v>7.0</v>
      </c>
      <c r="E13" s="9">
        <v>7.0</v>
      </c>
      <c r="F13" s="71"/>
      <c r="G13" s="72">
        <v>101.0</v>
      </c>
      <c r="H13" s="71"/>
      <c r="I13" s="73">
        <f t="shared" si="1"/>
        <v>161</v>
      </c>
      <c r="J13" s="71"/>
      <c r="K13" s="72">
        <v>262.0</v>
      </c>
      <c r="L13" s="73">
        <f t="shared" si="2"/>
        <v>0</v>
      </c>
      <c r="M13" s="73">
        <f t="shared" si="3"/>
        <v>262</v>
      </c>
      <c r="N13" s="8"/>
      <c r="O13" s="8">
        <v>13.555</v>
      </c>
      <c r="P13" s="8">
        <v>14.888</v>
      </c>
      <c r="Q13" s="8">
        <f t="shared" si="4"/>
        <v>199.101</v>
      </c>
      <c r="R13" s="74">
        <v>271116.0</v>
      </c>
      <c r="S13" s="74">
        <v>271217.0</v>
      </c>
      <c r="T13" s="74">
        <v>271217.0</v>
      </c>
      <c r="U13" s="75">
        <v>271319.0</v>
      </c>
      <c r="V13" s="76">
        <f t="shared" si="5"/>
        <v>101</v>
      </c>
      <c r="W13" s="76">
        <f t="shared" si="6"/>
        <v>102</v>
      </c>
      <c r="X13" s="70"/>
      <c r="Y13" s="70"/>
      <c r="Z13" s="70"/>
      <c r="AA13" s="70"/>
      <c r="AB13" s="70"/>
    </row>
    <row r="14" ht="15.75" customHeight="1">
      <c r="A14" s="7">
        <v>13.0</v>
      </c>
      <c r="B14" s="8" t="s">
        <v>23</v>
      </c>
      <c r="C14" s="8" t="s">
        <v>38</v>
      </c>
      <c r="D14" s="9">
        <v>7.0</v>
      </c>
      <c r="E14" s="9">
        <v>7.0</v>
      </c>
      <c r="F14" s="71"/>
      <c r="G14" s="72">
        <v>142.0</v>
      </c>
      <c r="H14" s="71"/>
      <c r="I14" s="73">
        <f t="shared" si="1"/>
        <v>130</v>
      </c>
      <c r="J14" s="71"/>
      <c r="K14" s="72">
        <v>272.0</v>
      </c>
      <c r="L14" s="73">
        <f t="shared" si="2"/>
        <v>0</v>
      </c>
      <c r="M14" s="73">
        <f t="shared" si="3"/>
        <v>272</v>
      </c>
      <c r="N14" s="8"/>
      <c r="O14" s="8">
        <v>13.555</v>
      </c>
      <c r="P14" s="8">
        <v>14.888</v>
      </c>
      <c r="Q14" s="8">
        <f t="shared" si="4"/>
        <v>199.101</v>
      </c>
      <c r="R14" s="74">
        <v>365069.0</v>
      </c>
      <c r="S14" s="74">
        <v>365156.0</v>
      </c>
      <c r="T14" s="74">
        <v>365156.0</v>
      </c>
      <c r="U14" s="75">
        <v>365271.0</v>
      </c>
      <c r="V14" s="76">
        <f t="shared" si="5"/>
        <v>87</v>
      </c>
      <c r="W14" s="76">
        <f t="shared" si="6"/>
        <v>115</v>
      </c>
      <c r="X14" s="70"/>
      <c r="Y14" s="70"/>
      <c r="Z14" s="70"/>
      <c r="AA14" s="70"/>
      <c r="AB14" s="70"/>
    </row>
    <row r="15" ht="15.75" customHeight="1">
      <c r="A15" s="7">
        <v>14.0</v>
      </c>
      <c r="B15" s="8" t="s">
        <v>23</v>
      </c>
      <c r="C15" s="8" t="s">
        <v>39</v>
      </c>
      <c r="D15" s="9">
        <v>7.0</v>
      </c>
      <c r="E15" s="9">
        <v>7.0</v>
      </c>
      <c r="F15" s="71"/>
      <c r="G15" s="72">
        <v>113.0</v>
      </c>
      <c r="H15" s="71"/>
      <c r="I15" s="73">
        <f t="shared" si="1"/>
        <v>166</v>
      </c>
      <c r="J15" s="71"/>
      <c r="K15" s="72">
        <v>279.0</v>
      </c>
      <c r="L15" s="73">
        <f t="shared" si="2"/>
        <v>0</v>
      </c>
      <c r="M15" s="73">
        <f t="shared" si="3"/>
        <v>279</v>
      </c>
      <c r="N15" s="8"/>
      <c r="O15" s="8">
        <v>13.555</v>
      </c>
      <c r="P15" s="8">
        <v>14.888</v>
      </c>
      <c r="Q15" s="8">
        <f t="shared" si="4"/>
        <v>199.101</v>
      </c>
      <c r="R15" s="74">
        <v>313063.0</v>
      </c>
      <c r="S15" s="74">
        <v>313150.0</v>
      </c>
      <c r="T15" s="74">
        <v>313150.0</v>
      </c>
      <c r="U15" s="75">
        <v>313265.0</v>
      </c>
      <c r="V15" s="76">
        <f t="shared" si="5"/>
        <v>87</v>
      </c>
      <c r="W15" s="76">
        <f t="shared" si="6"/>
        <v>115</v>
      </c>
      <c r="X15" s="70"/>
      <c r="Y15" s="70"/>
      <c r="Z15" s="70"/>
      <c r="AA15" s="70"/>
      <c r="AB15" s="70"/>
    </row>
    <row r="16" ht="15.75" customHeight="1">
      <c r="A16" s="7">
        <v>15.0</v>
      </c>
      <c r="B16" s="8" t="s">
        <v>23</v>
      </c>
      <c r="C16" s="8" t="s">
        <v>40</v>
      </c>
      <c r="D16" s="9">
        <v>7.0</v>
      </c>
      <c r="E16" s="9">
        <v>7.0</v>
      </c>
      <c r="F16" s="71"/>
      <c r="G16" s="72">
        <v>139.0</v>
      </c>
      <c r="H16" s="71"/>
      <c r="I16" s="73">
        <f t="shared" si="1"/>
        <v>155</v>
      </c>
      <c r="J16" s="71"/>
      <c r="K16" s="72">
        <v>294.0</v>
      </c>
      <c r="L16" s="73">
        <f t="shared" si="2"/>
        <v>0</v>
      </c>
      <c r="M16" s="73">
        <f t="shared" si="3"/>
        <v>294</v>
      </c>
      <c r="N16" s="8"/>
      <c r="O16" s="8">
        <v>13.555</v>
      </c>
      <c r="P16" s="8">
        <v>14.888</v>
      </c>
      <c r="Q16" s="8">
        <f t="shared" si="4"/>
        <v>199.101</v>
      </c>
      <c r="R16" s="74">
        <v>411012.0</v>
      </c>
      <c r="S16" s="74">
        <v>411113.0</v>
      </c>
      <c r="T16" s="74">
        <v>411113.0</v>
      </c>
      <c r="U16" s="75">
        <v>411215.0</v>
      </c>
      <c r="V16" s="76">
        <f t="shared" si="5"/>
        <v>101</v>
      </c>
      <c r="W16" s="76">
        <f t="shared" si="6"/>
        <v>102</v>
      </c>
      <c r="X16" s="70"/>
      <c r="Y16" s="70"/>
      <c r="Z16" s="70"/>
      <c r="AA16" s="70"/>
      <c r="AB16" s="70"/>
    </row>
    <row r="17" ht="15.75" customHeight="1">
      <c r="A17" s="7">
        <v>16.0</v>
      </c>
      <c r="B17" s="8" t="s">
        <v>23</v>
      </c>
      <c r="C17" s="27" t="s">
        <v>41</v>
      </c>
      <c r="D17" s="28"/>
      <c r="E17" s="28"/>
      <c r="F17" s="77"/>
      <c r="G17" s="77"/>
      <c r="H17" s="77"/>
      <c r="I17" s="78">
        <f t="shared" si="1"/>
        <v>0</v>
      </c>
      <c r="J17" s="77"/>
      <c r="K17" s="77"/>
      <c r="L17" s="78">
        <f t="shared" si="2"/>
        <v>0</v>
      </c>
      <c r="M17" s="78">
        <f t="shared" si="3"/>
        <v>0</v>
      </c>
      <c r="N17" s="28" t="s">
        <v>68</v>
      </c>
      <c r="O17" s="27">
        <v>13.555</v>
      </c>
      <c r="P17" s="27">
        <v>14.888</v>
      </c>
      <c r="Q17" s="27">
        <f t="shared" si="4"/>
        <v>0</v>
      </c>
      <c r="R17" s="79"/>
      <c r="S17" s="79"/>
      <c r="T17" s="79"/>
      <c r="U17" s="80"/>
      <c r="V17" s="81">
        <f t="shared" si="5"/>
        <v>0</v>
      </c>
      <c r="W17" s="81">
        <f t="shared" si="6"/>
        <v>0</v>
      </c>
      <c r="X17" s="70"/>
      <c r="Y17" s="70"/>
      <c r="Z17" s="70"/>
      <c r="AA17" s="70"/>
      <c r="AB17" s="70"/>
    </row>
    <row r="18" ht="15.75" customHeight="1">
      <c r="A18" s="7">
        <v>17.0</v>
      </c>
      <c r="B18" s="8" t="s">
        <v>23</v>
      </c>
      <c r="C18" s="8" t="s">
        <v>43</v>
      </c>
      <c r="D18" s="9">
        <v>7.0</v>
      </c>
      <c r="E18" s="9">
        <v>7.0</v>
      </c>
      <c r="F18" s="71"/>
      <c r="G18" s="72">
        <v>134.0</v>
      </c>
      <c r="H18" s="71"/>
      <c r="I18" s="73">
        <f t="shared" si="1"/>
        <v>133</v>
      </c>
      <c r="J18" s="71"/>
      <c r="K18" s="72">
        <v>267.0</v>
      </c>
      <c r="L18" s="73">
        <f t="shared" si="2"/>
        <v>0</v>
      </c>
      <c r="M18" s="73">
        <f t="shared" si="3"/>
        <v>267</v>
      </c>
      <c r="N18" s="8"/>
      <c r="O18" s="8">
        <v>13.555</v>
      </c>
      <c r="P18" s="8">
        <v>14.888</v>
      </c>
      <c r="Q18" s="8">
        <f t="shared" si="4"/>
        <v>199.101</v>
      </c>
      <c r="R18" s="74">
        <v>268307.0</v>
      </c>
      <c r="S18" s="74">
        <v>268408.0</v>
      </c>
      <c r="T18" s="74">
        <v>268408.0</v>
      </c>
      <c r="U18" s="75">
        <v>268510.0</v>
      </c>
      <c r="V18" s="76">
        <f t="shared" si="5"/>
        <v>101</v>
      </c>
      <c r="W18" s="76">
        <f t="shared" si="6"/>
        <v>102</v>
      </c>
      <c r="X18" s="70"/>
      <c r="Y18" s="70"/>
      <c r="Z18" s="70"/>
      <c r="AA18" s="70"/>
      <c r="AB18" s="70"/>
    </row>
    <row r="19" ht="15.75" customHeight="1">
      <c r="A19" s="7">
        <v>18.0</v>
      </c>
      <c r="B19" s="8" t="s">
        <v>23</v>
      </c>
      <c r="C19" s="8" t="s">
        <v>44</v>
      </c>
      <c r="D19" s="9">
        <v>7.0</v>
      </c>
      <c r="E19" s="9">
        <v>7.0</v>
      </c>
      <c r="F19" s="71"/>
      <c r="G19" s="72">
        <v>128.0</v>
      </c>
      <c r="H19" s="71"/>
      <c r="I19" s="73">
        <f t="shared" si="1"/>
        <v>126</v>
      </c>
      <c r="J19" s="71"/>
      <c r="K19" s="72">
        <v>254.0</v>
      </c>
      <c r="L19" s="73">
        <f t="shared" si="2"/>
        <v>0</v>
      </c>
      <c r="M19" s="73">
        <f t="shared" si="3"/>
        <v>254</v>
      </c>
      <c r="N19" s="8"/>
      <c r="O19" s="8">
        <v>13.555</v>
      </c>
      <c r="P19" s="8">
        <v>14.888</v>
      </c>
      <c r="Q19" s="8">
        <f t="shared" si="4"/>
        <v>199.101</v>
      </c>
      <c r="R19" s="74">
        <v>286358.0</v>
      </c>
      <c r="S19" s="74">
        <v>286446.0</v>
      </c>
      <c r="T19" s="74">
        <v>286446.0</v>
      </c>
      <c r="U19" s="75">
        <v>286562.0</v>
      </c>
      <c r="V19" s="76">
        <f t="shared" si="5"/>
        <v>88</v>
      </c>
      <c r="W19" s="76">
        <f t="shared" si="6"/>
        <v>116</v>
      </c>
      <c r="X19" s="70"/>
      <c r="Y19" s="70"/>
      <c r="Z19" s="70"/>
      <c r="AA19" s="70"/>
      <c r="AB19" s="70"/>
    </row>
    <row r="20" ht="15.75" customHeight="1">
      <c r="A20" s="7">
        <v>19.0</v>
      </c>
      <c r="B20" s="8" t="s">
        <v>23</v>
      </c>
      <c r="C20" s="8" t="s">
        <v>45</v>
      </c>
      <c r="D20" s="9">
        <v>7.0</v>
      </c>
      <c r="E20" s="9">
        <v>7.0</v>
      </c>
      <c r="F20" s="71"/>
      <c r="G20" s="72">
        <v>158.0</v>
      </c>
      <c r="H20" s="71"/>
      <c r="I20" s="73">
        <f t="shared" si="1"/>
        <v>120</v>
      </c>
      <c r="J20" s="71"/>
      <c r="K20" s="72">
        <v>278.0</v>
      </c>
      <c r="L20" s="73">
        <f t="shared" si="2"/>
        <v>0</v>
      </c>
      <c r="M20" s="73">
        <f t="shared" si="3"/>
        <v>278</v>
      </c>
      <c r="N20" s="8"/>
      <c r="O20" s="8">
        <v>13.555</v>
      </c>
      <c r="P20" s="8">
        <v>14.888</v>
      </c>
      <c r="Q20" s="8">
        <f t="shared" si="4"/>
        <v>199.101</v>
      </c>
      <c r="R20" s="74">
        <v>284725.0</v>
      </c>
      <c r="S20" s="74">
        <v>284826.0</v>
      </c>
      <c r="T20" s="74">
        <v>284826.0</v>
      </c>
      <c r="U20" s="75">
        <v>284928.0</v>
      </c>
      <c r="V20" s="76">
        <f t="shared" si="5"/>
        <v>101</v>
      </c>
      <c r="W20" s="76">
        <f t="shared" si="6"/>
        <v>102</v>
      </c>
      <c r="X20" s="70"/>
      <c r="Y20" s="70"/>
      <c r="Z20" s="70"/>
      <c r="AA20" s="70"/>
      <c r="AB20" s="70"/>
    </row>
    <row r="21" ht="15.75" customHeight="1">
      <c r="A21" s="7">
        <v>20.0</v>
      </c>
      <c r="B21" s="8" t="s">
        <v>23</v>
      </c>
      <c r="C21" s="8" t="s">
        <v>46</v>
      </c>
      <c r="D21" s="9">
        <v>7.0</v>
      </c>
      <c r="E21" s="9">
        <v>7.0</v>
      </c>
      <c r="F21" s="71"/>
      <c r="G21" s="72">
        <v>111.0</v>
      </c>
      <c r="H21" s="71"/>
      <c r="I21" s="73">
        <f t="shared" si="1"/>
        <v>111</v>
      </c>
      <c r="J21" s="71"/>
      <c r="K21" s="72">
        <v>222.0</v>
      </c>
      <c r="L21" s="73">
        <f t="shared" si="2"/>
        <v>0</v>
      </c>
      <c r="M21" s="73">
        <f t="shared" si="3"/>
        <v>222</v>
      </c>
      <c r="N21" s="8"/>
      <c r="O21" s="8">
        <v>13.555</v>
      </c>
      <c r="P21" s="8">
        <v>14.888</v>
      </c>
      <c r="Q21" s="8">
        <f t="shared" si="4"/>
        <v>199.101</v>
      </c>
      <c r="R21" s="74">
        <v>274800.0</v>
      </c>
      <c r="S21" s="74">
        <v>274890.0</v>
      </c>
      <c r="T21" s="74">
        <v>274890.0</v>
      </c>
      <c r="U21" s="75">
        <v>275010.0</v>
      </c>
      <c r="V21" s="76">
        <f t="shared" si="5"/>
        <v>90</v>
      </c>
      <c r="W21" s="76">
        <f t="shared" si="6"/>
        <v>120</v>
      </c>
      <c r="X21" s="70"/>
      <c r="Y21" s="70"/>
      <c r="Z21" s="70"/>
      <c r="AA21" s="70"/>
      <c r="AB21" s="70"/>
    </row>
    <row r="22" ht="15.75" customHeight="1">
      <c r="A22" s="7">
        <v>21.0</v>
      </c>
      <c r="B22" s="8" t="s">
        <v>23</v>
      </c>
      <c r="C22" s="82" t="s">
        <v>47</v>
      </c>
      <c r="D22" s="83">
        <v>4.0</v>
      </c>
      <c r="E22" s="83">
        <v>4.0</v>
      </c>
      <c r="F22" s="84"/>
      <c r="G22" s="84"/>
      <c r="H22" s="84"/>
      <c r="I22" s="85">
        <f t="shared" si="1"/>
        <v>149</v>
      </c>
      <c r="J22" s="84"/>
      <c r="K22" s="86">
        <v>149.0</v>
      </c>
      <c r="L22" s="85">
        <f t="shared" si="2"/>
        <v>0</v>
      </c>
      <c r="M22" s="85">
        <f t="shared" si="3"/>
        <v>149</v>
      </c>
      <c r="N22" s="83" t="s">
        <v>69</v>
      </c>
      <c r="O22" s="82">
        <v>13.555</v>
      </c>
      <c r="P22" s="82">
        <v>14.888</v>
      </c>
      <c r="Q22" s="82">
        <f t="shared" si="4"/>
        <v>113.772</v>
      </c>
      <c r="R22" s="87"/>
      <c r="S22" s="87"/>
      <c r="T22" s="88">
        <v>280638.0</v>
      </c>
      <c r="U22" s="89">
        <v>280757.0</v>
      </c>
      <c r="V22" s="90">
        <f t="shared" si="5"/>
        <v>0</v>
      </c>
      <c r="W22" s="90">
        <f t="shared" si="6"/>
        <v>119</v>
      </c>
      <c r="X22" s="70"/>
      <c r="Y22" s="70"/>
      <c r="Z22" s="70"/>
      <c r="AA22" s="70"/>
      <c r="AB22" s="70"/>
    </row>
    <row r="23" ht="15.75" customHeight="1">
      <c r="A23" s="7">
        <v>22.0</v>
      </c>
      <c r="B23" s="8" t="s">
        <v>23</v>
      </c>
      <c r="C23" s="8" t="s">
        <v>48</v>
      </c>
      <c r="D23" s="9">
        <v>7.0</v>
      </c>
      <c r="E23" s="9">
        <v>7.0</v>
      </c>
      <c r="F23" s="71"/>
      <c r="G23" s="72">
        <v>110.0</v>
      </c>
      <c r="H23" s="71"/>
      <c r="I23" s="73">
        <f t="shared" si="1"/>
        <v>137</v>
      </c>
      <c r="J23" s="71"/>
      <c r="K23" s="72">
        <v>247.0</v>
      </c>
      <c r="L23" s="73">
        <f t="shared" si="2"/>
        <v>0</v>
      </c>
      <c r="M23" s="73">
        <f t="shared" si="3"/>
        <v>247</v>
      </c>
      <c r="N23" s="8"/>
      <c r="O23" s="8">
        <v>13.555</v>
      </c>
      <c r="P23" s="8">
        <v>14.888</v>
      </c>
      <c r="Q23" s="8">
        <f t="shared" si="4"/>
        <v>199.101</v>
      </c>
      <c r="R23" s="74">
        <v>276010.0</v>
      </c>
      <c r="S23" s="74">
        <v>276100.0</v>
      </c>
      <c r="T23" s="74">
        <v>276100.0</v>
      </c>
      <c r="U23" s="75">
        <v>276218.0</v>
      </c>
      <c r="V23" s="76">
        <f t="shared" si="5"/>
        <v>90</v>
      </c>
      <c r="W23" s="76">
        <f t="shared" si="6"/>
        <v>118</v>
      </c>
      <c r="X23" s="70"/>
      <c r="Y23" s="70"/>
      <c r="Z23" s="70"/>
      <c r="AA23" s="70"/>
      <c r="AB23" s="70"/>
    </row>
    <row r="24" ht="15.75" customHeight="1">
      <c r="A24" s="7">
        <v>23.0</v>
      </c>
      <c r="B24" s="8" t="s">
        <v>23</v>
      </c>
      <c r="C24" s="8" t="s">
        <v>49</v>
      </c>
      <c r="D24" s="9">
        <v>7.0</v>
      </c>
      <c r="E24" s="9">
        <v>7.0</v>
      </c>
      <c r="F24" s="71"/>
      <c r="G24" s="72">
        <v>134.0</v>
      </c>
      <c r="H24" s="71"/>
      <c r="I24" s="73">
        <f t="shared" si="1"/>
        <v>141</v>
      </c>
      <c r="J24" s="71"/>
      <c r="K24" s="72">
        <v>275.0</v>
      </c>
      <c r="L24" s="73">
        <f t="shared" si="2"/>
        <v>0</v>
      </c>
      <c r="M24" s="73">
        <f t="shared" si="3"/>
        <v>275</v>
      </c>
      <c r="N24" s="8"/>
      <c r="O24" s="8">
        <v>13.555</v>
      </c>
      <c r="P24" s="8">
        <v>14.888</v>
      </c>
      <c r="Q24" s="8">
        <f t="shared" si="4"/>
        <v>199.101</v>
      </c>
      <c r="R24" s="74">
        <v>275671.0</v>
      </c>
      <c r="S24" s="74">
        <v>275758.0</v>
      </c>
      <c r="T24" s="74">
        <v>275758.0</v>
      </c>
      <c r="U24" s="75">
        <v>275874.0</v>
      </c>
      <c r="V24" s="76">
        <f t="shared" si="5"/>
        <v>87</v>
      </c>
      <c r="W24" s="76">
        <f t="shared" si="6"/>
        <v>116</v>
      </c>
      <c r="X24" s="70"/>
      <c r="Y24" s="70"/>
      <c r="Z24" s="70"/>
      <c r="AA24" s="70"/>
      <c r="AB24" s="70"/>
    </row>
    <row r="25" ht="15.75" customHeight="1">
      <c r="A25" s="7">
        <v>24.0</v>
      </c>
      <c r="B25" s="8" t="s">
        <v>23</v>
      </c>
      <c r="C25" s="8" t="s">
        <v>50</v>
      </c>
      <c r="D25" s="9">
        <v>7.0</v>
      </c>
      <c r="E25" s="9">
        <v>7.0</v>
      </c>
      <c r="F25" s="71"/>
      <c r="G25" s="72">
        <v>90.0</v>
      </c>
      <c r="H25" s="71"/>
      <c r="I25" s="73">
        <f t="shared" si="1"/>
        <v>173</v>
      </c>
      <c r="J25" s="71"/>
      <c r="K25" s="72">
        <v>263.0</v>
      </c>
      <c r="L25" s="73">
        <f t="shared" si="2"/>
        <v>0</v>
      </c>
      <c r="M25" s="73">
        <f t="shared" si="3"/>
        <v>263</v>
      </c>
      <c r="N25" s="8"/>
      <c r="O25" s="8">
        <v>13.555</v>
      </c>
      <c r="P25" s="8">
        <v>14.888</v>
      </c>
      <c r="Q25" s="8">
        <f t="shared" si="4"/>
        <v>199.101</v>
      </c>
      <c r="R25" s="74">
        <v>314913.0</v>
      </c>
      <c r="S25" s="74">
        <v>315001.0</v>
      </c>
      <c r="T25" s="74">
        <v>315001.0</v>
      </c>
      <c r="U25" s="75">
        <v>315117.0</v>
      </c>
      <c r="V25" s="76">
        <f t="shared" si="5"/>
        <v>88</v>
      </c>
      <c r="W25" s="76">
        <f t="shared" si="6"/>
        <v>116</v>
      </c>
      <c r="X25" s="70"/>
      <c r="Y25" s="70"/>
      <c r="Z25" s="70"/>
      <c r="AA25" s="70"/>
      <c r="AB25" s="70"/>
    </row>
    <row r="26" ht="15.75" customHeight="1">
      <c r="A26" s="7">
        <v>25.0</v>
      </c>
      <c r="B26" s="8" t="s">
        <v>23</v>
      </c>
      <c r="C26" s="8" t="s">
        <v>51</v>
      </c>
      <c r="D26" s="9">
        <v>7.0</v>
      </c>
      <c r="E26" s="9">
        <v>7.0</v>
      </c>
      <c r="F26" s="71"/>
      <c r="G26" s="72">
        <v>117.0</v>
      </c>
      <c r="H26" s="71"/>
      <c r="I26" s="73">
        <f t="shared" si="1"/>
        <v>132</v>
      </c>
      <c r="J26" s="71"/>
      <c r="K26" s="72">
        <v>249.0</v>
      </c>
      <c r="L26" s="73">
        <f t="shared" si="2"/>
        <v>0</v>
      </c>
      <c r="M26" s="73">
        <f t="shared" si="3"/>
        <v>249</v>
      </c>
      <c r="N26" s="8"/>
      <c r="O26" s="8">
        <v>13.555</v>
      </c>
      <c r="P26" s="8">
        <v>14.888</v>
      </c>
      <c r="Q26" s="8">
        <f t="shared" si="4"/>
        <v>199.101</v>
      </c>
      <c r="R26" s="74">
        <v>308469.0</v>
      </c>
      <c r="S26" s="74">
        <v>308557.0</v>
      </c>
      <c r="T26" s="74">
        <v>308557.0</v>
      </c>
      <c r="U26" s="75">
        <v>308673.0</v>
      </c>
      <c r="V26" s="76">
        <f t="shared" si="5"/>
        <v>88</v>
      </c>
      <c r="W26" s="76">
        <f t="shared" si="6"/>
        <v>116</v>
      </c>
      <c r="X26" s="70"/>
      <c r="Y26" s="70"/>
      <c r="Z26" s="70"/>
      <c r="AA26" s="70"/>
      <c r="AB26" s="70"/>
    </row>
    <row r="27" ht="15.75" customHeight="1">
      <c r="A27" s="7">
        <v>26.0</v>
      </c>
      <c r="B27" s="8" t="s">
        <v>23</v>
      </c>
      <c r="C27" s="8" t="s">
        <v>52</v>
      </c>
      <c r="D27" s="9">
        <v>7.0</v>
      </c>
      <c r="E27" s="9">
        <v>7.0</v>
      </c>
      <c r="F27" s="71"/>
      <c r="G27" s="72">
        <v>93.0</v>
      </c>
      <c r="H27" s="71"/>
      <c r="I27" s="73">
        <f t="shared" si="1"/>
        <v>171</v>
      </c>
      <c r="J27" s="71"/>
      <c r="K27" s="72">
        <v>264.0</v>
      </c>
      <c r="L27" s="73">
        <f t="shared" si="2"/>
        <v>0</v>
      </c>
      <c r="M27" s="73">
        <f t="shared" si="3"/>
        <v>264</v>
      </c>
      <c r="N27" s="8"/>
      <c r="O27" s="8">
        <v>13.555</v>
      </c>
      <c r="P27" s="8">
        <v>14.888</v>
      </c>
      <c r="Q27" s="8">
        <f t="shared" si="4"/>
        <v>199.101</v>
      </c>
      <c r="R27" s="74">
        <v>272521.0</v>
      </c>
      <c r="S27" s="74">
        <v>272608.0</v>
      </c>
      <c r="T27" s="74">
        <v>272608.0</v>
      </c>
      <c r="U27" s="75">
        <v>272724.0</v>
      </c>
      <c r="V27" s="76">
        <f t="shared" si="5"/>
        <v>87</v>
      </c>
      <c r="W27" s="76">
        <f t="shared" si="6"/>
        <v>116</v>
      </c>
      <c r="X27" s="70"/>
      <c r="Y27" s="70"/>
      <c r="Z27" s="70"/>
      <c r="AA27" s="70"/>
      <c r="AB27" s="70"/>
    </row>
    <row r="28" ht="15.75" customHeight="1">
      <c r="A28" s="7">
        <v>27.0</v>
      </c>
      <c r="B28" s="8" t="s">
        <v>23</v>
      </c>
      <c r="C28" s="17" t="s">
        <v>53</v>
      </c>
      <c r="D28" s="18">
        <v>2.0</v>
      </c>
      <c r="E28" s="18">
        <v>2.0</v>
      </c>
      <c r="F28" s="91"/>
      <c r="G28" s="92">
        <v>63.0</v>
      </c>
      <c r="H28" s="91"/>
      <c r="I28" s="93">
        <f t="shared" si="1"/>
        <v>0</v>
      </c>
      <c r="J28" s="91"/>
      <c r="K28" s="91"/>
      <c r="L28" s="93">
        <f t="shared" si="2"/>
        <v>0</v>
      </c>
      <c r="M28" s="93">
        <f t="shared" si="3"/>
        <v>63</v>
      </c>
      <c r="N28" s="18" t="s">
        <v>70</v>
      </c>
      <c r="O28" s="17">
        <v>13.555</v>
      </c>
      <c r="P28" s="17">
        <v>14.888</v>
      </c>
      <c r="Q28" s="17">
        <f t="shared" si="4"/>
        <v>56.886</v>
      </c>
      <c r="R28" s="94">
        <v>268317.0</v>
      </c>
      <c r="S28" s="94">
        <v>268379.0</v>
      </c>
      <c r="T28" s="95"/>
      <c r="U28" s="96"/>
      <c r="V28" s="97">
        <f t="shared" si="5"/>
        <v>62</v>
      </c>
      <c r="W28" s="97">
        <f t="shared" si="6"/>
        <v>0</v>
      </c>
      <c r="X28" s="70"/>
      <c r="Y28" s="70"/>
      <c r="Z28" s="70"/>
      <c r="AA28" s="70"/>
      <c r="AB28" s="70"/>
    </row>
    <row r="29" ht="15.75" customHeight="1">
      <c r="A29" s="7">
        <v>28.0</v>
      </c>
      <c r="B29" s="8" t="s">
        <v>23</v>
      </c>
      <c r="C29" s="8" t="s">
        <v>54</v>
      </c>
      <c r="D29" s="9">
        <v>7.0</v>
      </c>
      <c r="E29" s="9">
        <v>7.0</v>
      </c>
      <c r="F29" s="71"/>
      <c r="G29" s="72">
        <v>121.0</v>
      </c>
      <c r="H29" s="71"/>
      <c r="I29" s="73">
        <f t="shared" si="1"/>
        <v>123</v>
      </c>
      <c r="J29" s="71"/>
      <c r="K29" s="72">
        <v>244.0</v>
      </c>
      <c r="L29" s="73">
        <f t="shared" si="2"/>
        <v>0</v>
      </c>
      <c r="M29" s="73">
        <f t="shared" si="3"/>
        <v>244</v>
      </c>
      <c r="N29" s="8"/>
      <c r="O29" s="8">
        <v>13.555</v>
      </c>
      <c r="P29" s="8">
        <v>14.888</v>
      </c>
      <c r="Q29" s="8">
        <f t="shared" si="4"/>
        <v>199.101</v>
      </c>
      <c r="R29" s="74">
        <v>263914.0</v>
      </c>
      <c r="S29" s="74">
        <v>264001.0</v>
      </c>
      <c r="T29" s="74">
        <v>264001.0</v>
      </c>
      <c r="U29" s="75">
        <v>264117.0</v>
      </c>
      <c r="V29" s="76">
        <f t="shared" si="5"/>
        <v>87</v>
      </c>
      <c r="W29" s="76">
        <f t="shared" si="6"/>
        <v>116</v>
      </c>
      <c r="X29" s="70"/>
      <c r="Y29" s="70"/>
      <c r="Z29" s="70"/>
      <c r="AA29" s="70"/>
      <c r="AB29" s="70"/>
    </row>
    <row r="30" ht="15.75" customHeight="1">
      <c r="A30" s="7">
        <v>29.0</v>
      </c>
      <c r="B30" s="8" t="s">
        <v>23</v>
      </c>
      <c r="C30" s="8" t="s">
        <v>55</v>
      </c>
      <c r="D30" s="9">
        <v>7.0</v>
      </c>
      <c r="E30" s="9">
        <v>7.0</v>
      </c>
      <c r="F30" s="71"/>
      <c r="G30" s="72">
        <v>159.0</v>
      </c>
      <c r="H30" s="71"/>
      <c r="I30" s="73">
        <f t="shared" si="1"/>
        <v>88</v>
      </c>
      <c r="J30" s="71"/>
      <c r="K30" s="72">
        <v>247.0</v>
      </c>
      <c r="L30" s="73">
        <f t="shared" si="2"/>
        <v>0</v>
      </c>
      <c r="M30" s="73">
        <f t="shared" si="3"/>
        <v>247</v>
      </c>
      <c r="N30" s="8"/>
      <c r="O30" s="8">
        <v>13.555</v>
      </c>
      <c r="P30" s="8">
        <v>14.888</v>
      </c>
      <c r="Q30" s="8">
        <f t="shared" si="4"/>
        <v>199.101</v>
      </c>
      <c r="R30" s="74">
        <v>271295.0</v>
      </c>
      <c r="S30" s="74">
        <v>271396.0</v>
      </c>
      <c r="T30" s="74">
        <v>271396.0</v>
      </c>
      <c r="U30" s="75">
        <v>271498.0</v>
      </c>
      <c r="V30" s="76">
        <f t="shared" si="5"/>
        <v>101</v>
      </c>
      <c r="W30" s="76">
        <f t="shared" si="6"/>
        <v>102</v>
      </c>
      <c r="X30" s="70"/>
      <c r="Y30" s="70"/>
      <c r="Z30" s="70"/>
      <c r="AA30" s="70"/>
      <c r="AB30" s="70"/>
    </row>
    <row r="31" ht="15.75" customHeight="1">
      <c r="A31" s="7">
        <v>30.0</v>
      </c>
      <c r="B31" s="8" t="s">
        <v>23</v>
      </c>
      <c r="C31" s="8" t="s">
        <v>56</v>
      </c>
      <c r="D31" s="9">
        <v>7.0</v>
      </c>
      <c r="E31" s="9">
        <v>7.0</v>
      </c>
      <c r="F31" s="71"/>
      <c r="G31" s="72">
        <v>133.0</v>
      </c>
      <c r="H31" s="71"/>
      <c r="I31" s="73">
        <f t="shared" si="1"/>
        <v>157</v>
      </c>
      <c r="J31" s="71"/>
      <c r="K31" s="72">
        <v>290.0</v>
      </c>
      <c r="L31" s="73">
        <f t="shared" si="2"/>
        <v>0</v>
      </c>
      <c r="M31" s="73">
        <f t="shared" si="3"/>
        <v>290</v>
      </c>
      <c r="N31" s="8"/>
      <c r="O31" s="8">
        <v>13.555</v>
      </c>
      <c r="P31" s="8">
        <v>14.888</v>
      </c>
      <c r="Q31" s="8">
        <f t="shared" si="4"/>
        <v>199.101</v>
      </c>
      <c r="R31" s="74">
        <v>272762.0</v>
      </c>
      <c r="S31" s="74">
        <v>272849.0</v>
      </c>
      <c r="T31" s="74">
        <v>272849.0</v>
      </c>
      <c r="U31" s="75">
        <v>272966.0</v>
      </c>
      <c r="V31" s="76">
        <f t="shared" si="5"/>
        <v>87</v>
      </c>
      <c r="W31" s="76">
        <f t="shared" si="6"/>
        <v>117</v>
      </c>
      <c r="X31" s="70"/>
      <c r="Y31" s="70"/>
      <c r="Z31" s="70"/>
      <c r="AA31" s="70"/>
      <c r="AB31" s="70"/>
    </row>
    <row r="32" ht="15.75" customHeight="1">
      <c r="A32" s="98"/>
      <c r="B32" s="98"/>
      <c r="C32" s="99"/>
      <c r="D32" s="100" t="s">
        <v>57</v>
      </c>
      <c r="E32" s="100">
        <f>SUM(M:M)</f>
        <v>7089</v>
      </c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</row>
    <row r="33" ht="15.75" customHeight="1">
      <c r="A33" s="98"/>
      <c r="B33" s="98"/>
      <c r="C33" s="99"/>
      <c r="D33" s="100" t="s">
        <v>58</v>
      </c>
      <c r="E33" s="100">
        <f>SUM(Q:Q)</f>
        <v>5546.385</v>
      </c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</row>
    <row r="34" ht="15.75" customHeight="1">
      <c r="A34" s="98"/>
      <c r="B34" s="98"/>
      <c r="C34" s="99"/>
      <c r="D34" s="100" t="s">
        <v>59</v>
      </c>
      <c r="E34" s="100">
        <f>E32/E33</f>
        <v>1.278129809</v>
      </c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</row>
    <row r="35" ht="15.75" customHeight="1">
      <c r="A35" s="98"/>
      <c r="B35" s="98"/>
      <c r="C35" s="98"/>
      <c r="D35" s="101"/>
      <c r="E35" s="101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</row>
    <row r="36" ht="15.75" customHeight="1">
      <c r="A36" s="98"/>
      <c r="B36" s="98"/>
      <c r="C36" s="99"/>
      <c r="D36" s="102" t="s">
        <v>60</v>
      </c>
      <c r="E36" s="102">
        <f>AVERAGEIF(Q:Q,"&gt;0",Q:Q)</f>
        <v>191.2546552</v>
      </c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</row>
    <row r="37" ht="15.75" customHeight="1">
      <c r="A37" s="98"/>
      <c r="B37" s="98"/>
      <c r="C37" s="98"/>
      <c r="D37" s="101"/>
      <c r="E37" s="101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</row>
    <row r="38" ht="15.75" customHeight="1">
      <c r="A38" s="98"/>
      <c r="B38" s="98"/>
      <c r="C38" s="98"/>
      <c r="D38" s="103" t="s">
        <v>61</v>
      </c>
      <c r="E38" s="104">
        <f>SUM(G:G)</f>
        <v>3255</v>
      </c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</row>
    <row r="39" ht="15.75" customHeight="1">
      <c r="A39" s="98"/>
      <c r="B39" s="98"/>
      <c r="C39" s="98"/>
      <c r="D39" s="103" t="s">
        <v>62</v>
      </c>
      <c r="E39" s="104">
        <f>SUM(H:H)</f>
        <v>0</v>
      </c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</row>
    <row r="40" ht="15.75" customHeight="1">
      <c r="A40" s="98"/>
      <c r="B40" s="98"/>
      <c r="C40" s="99"/>
      <c r="D40" s="103" t="s">
        <v>63</v>
      </c>
      <c r="E40" s="104">
        <f>E39+E38</f>
        <v>3255</v>
      </c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</row>
    <row r="41" ht="15.75" customHeight="1">
      <c r="A41" s="98"/>
      <c r="B41" s="98"/>
      <c r="C41" s="98"/>
      <c r="D41" s="101"/>
      <c r="E41" s="101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</row>
    <row r="42" ht="15.75" customHeight="1">
      <c r="A42" s="98"/>
      <c r="B42" s="98"/>
      <c r="C42" s="98"/>
      <c r="D42" s="105" t="s">
        <v>64</v>
      </c>
      <c r="E42" s="3">
        <f>SUM(I:I)</f>
        <v>3774</v>
      </c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</row>
    <row r="43" ht="15.75" customHeight="1">
      <c r="A43" s="98"/>
      <c r="B43" s="98"/>
      <c r="C43" s="98"/>
      <c r="D43" s="105" t="s">
        <v>65</v>
      </c>
      <c r="E43" s="3">
        <f>SUM(J:J)</f>
        <v>60</v>
      </c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</row>
    <row r="44" ht="15.75" customHeight="1">
      <c r="A44" s="98"/>
      <c r="B44" s="98"/>
      <c r="C44" s="99"/>
      <c r="D44" s="105" t="s">
        <v>66</v>
      </c>
      <c r="E44" s="3">
        <f>E43+E42</f>
        <v>3834</v>
      </c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</row>
    <row r="45" ht="15.75" customHeight="1">
      <c r="A45" s="98"/>
      <c r="B45" s="98"/>
      <c r="C45" s="98"/>
      <c r="D45" s="101"/>
      <c r="E45" s="101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</row>
    <row r="46" ht="15.75" customHeight="1">
      <c r="A46" s="98"/>
      <c r="B46" s="98"/>
      <c r="C46" s="99"/>
      <c r="D46" s="106" t="s">
        <v>10</v>
      </c>
      <c r="E46" s="107">
        <f t="shared" ref="E46:E47" si="7">E42+E38</f>
        <v>7029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</row>
    <row r="47" ht="15.75" customHeight="1">
      <c r="A47" s="98"/>
      <c r="B47" s="98"/>
      <c r="C47" s="98"/>
      <c r="D47" s="106" t="s">
        <v>11</v>
      </c>
      <c r="E47" s="107">
        <f t="shared" si="7"/>
        <v>60</v>
      </c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</row>
    <row r="48" ht="15.7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</row>
    <row r="49" ht="15.7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</row>
    <row r="50" ht="15.7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</row>
    <row r="51" ht="15.7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</row>
    <row r="52" ht="15.7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</row>
    <row r="53" ht="15.7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</row>
    <row r="54" ht="15.7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</row>
    <row r="55" ht="15.7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</row>
    <row r="56" ht="15.7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</row>
    <row r="57" ht="15.7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</row>
    <row r="58" ht="15.7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</row>
    <row r="59" ht="15.7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</row>
    <row r="60" ht="15.7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</row>
    <row r="61" ht="15.7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</row>
    <row r="62" ht="15.7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</row>
    <row r="63" ht="15.7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</row>
    <row r="64" ht="15.7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</row>
    <row r="101" ht="15.7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</row>
    <row r="102" ht="15.7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</row>
    <row r="103" ht="15.7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</row>
    <row r="104" ht="15.7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</row>
    <row r="105" ht="15.7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</row>
    <row r="106" ht="15.7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</row>
    <row r="107" ht="15.7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</row>
    <row r="108" ht="15.7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</row>
    <row r="109" ht="15.7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</row>
    <row r="110" ht="15.7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</row>
    <row r="111" ht="15.7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</row>
    <row r="112" ht="15.7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</row>
    <row r="113" ht="15.7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</row>
    <row r="114" ht="15.7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</row>
    <row r="115" ht="15.7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</row>
    <row r="116" ht="15.7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</row>
    <row r="117" ht="15.7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</row>
    <row r="118" ht="15.7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</row>
    <row r="119" ht="15.7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</row>
    <row r="120" ht="15.7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</row>
    <row r="121" ht="15.7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</row>
    <row r="122" ht="15.7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</row>
    <row r="123" ht="15.7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</row>
    <row r="124" ht="15.7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</row>
    <row r="125" ht="15.7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</row>
    <row r="126" ht="15.7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</row>
    <row r="127" ht="15.7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</row>
    <row r="128" ht="15.7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</row>
    <row r="129" ht="15.7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</row>
    <row r="130" ht="15.7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</row>
    <row r="131" ht="15.7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</row>
    <row r="132" ht="15.7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</row>
    <row r="133" ht="15.7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</row>
    <row r="134" ht="15.7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</row>
    <row r="135" ht="15.7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</row>
    <row r="136" ht="15.7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</row>
    <row r="137" ht="15.7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</row>
    <row r="1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</row>
    <row r="139" ht="15.7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</row>
    <row r="140" ht="15.7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</row>
    <row r="141" ht="15.7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</row>
    <row r="142" ht="15.7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</row>
    <row r="143" ht="15.7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</row>
    <row r="144" ht="15.7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</row>
    <row r="145" ht="15.7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</row>
    <row r="146" ht="15.7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</row>
    <row r="147" ht="15.7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</row>
    <row r="148" ht="15.7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</row>
    <row r="149" ht="15.7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</row>
    <row r="150" ht="15.7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</row>
    <row r="151" ht="15.7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</row>
    <row r="152" ht="15.7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</row>
    <row r="153" ht="15.7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</row>
    <row r="154" ht="15.7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</row>
    <row r="155" ht="15.7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</row>
    <row r="156" ht="15.7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</row>
    <row r="157" ht="15.7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</row>
    <row r="158" ht="15.7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</row>
    <row r="159" ht="15.7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</row>
    <row r="160" ht="15.7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</row>
    <row r="161" ht="15.7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</row>
    <row r="162" ht="15.7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</row>
    <row r="163" ht="15.7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</row>
    <row r="164" ht="15.7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</row>
    <row r="165" ht="15.7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</row>
    <row r="166" ht="15.7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</row>
    <row r="167" ht="15.7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</row>
    <row r="168" ht="15.7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</row>
    <row r="169" ht="15.7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</row>
    <row r="170" ht="15.7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</row>
    <row r="171" ht="15.7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</row>
    <row r="172" ht="15.7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</row>
    <row r="173" ht="15.7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</row>
    <row r="174" ht="15.7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</row>
    <row r="175" ht="15.7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</row>
    <row r="176" ht="15.7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</row>
    <row r="177" ht="15.7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</row>
    <row r="178" ht="15.7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</row>
    <row r="179" ht="15.7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</row>
    <row r="180" ht="15.7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</row>
    <row r="181" ht="15.7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</row>
    <row r="182" ht="15.7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</row>
    <row r="183" ht="15.7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</row>
    <row r="184" ht="15.7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</row>
    <row r="185" ht="15.7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</row>
    <row r="186" ht="15.7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</row>
    <row r="187" ht="15.7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</row>
    <row r="188" ht="15.7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</row>
    <row r="189" ht="15.7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</row>
    <row r="190" ht="15.7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</row>
    <row r="191" ht="15.7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</row>
    <row r="192" ht="15.7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</row>
    <row r="193" ht="15.7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</row>
    <row r="194" ht="15.7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</row>
    <row r="195" ht="15.7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</row>
    <row r="196" ht="15.7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</row>
    <row r="197" ht="15.7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</row>
    <row r="198" ht="15.7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</row>
    <row r="199" ht="15.7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</row>
    <row r="200" ht="15.7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</row>
    <row r="201" ht="15.7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</row>
    <row r="202" ht="15.7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</row>
    <row r="203" ht="15.7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</row>
    <row r="204" ht="15.7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</row>
    <row r="205" ht="15.7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</row>
    <row r="206" ht="15.7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</row>
    <row r="207" ht="15.7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</row>
    <row r="208" ht="15.7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</row>
    <row r="209" ht="15.7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</row>
    <row r="210" ht="15.7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</row>
    <row r="211" ht="15.7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</row>
    <row r="212" ht="15.7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</row>
    <row r="213" ht="15.7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</row>
    <row r="214" ht="15.7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</row>
    <row r="215" ht="15.7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</row>
    <row r="216" ht="15.7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</row>
    <row r="217" ht="15.7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</row>
    <row r="218" ht="15.7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</row>
    <row r="219" ht="15.7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9">
        <v>7.0</v>
      </c>
      <c r="E2" s="9">
        <v>7.0</v>
      </c>
      <c r="F2" s="10"/>
      <c r="G2" s="52">
        <v>83.0</v>
      </c>
      <c r="H2" s="53"/>
      <c r="I2" s="13">
        <f t="shared" ref="I2:I31" si="1">max(0,K2-G2)</f>
        <v>117</v>
      </c>
      <c r="J2" s="53"/>
      <c r="K2" s="52">
        <v>200.0</v>
      </c>
      <c r="L2" s="13">
        <f t="shared" ref="L2:L31" si="2">J2+H2</f>
        <v>0</v>
      </c>
      <c r="M2" s="13">
        <f t="shared" ref="M2:M31" si="3">G2+H2+I2+J2</f>
        <v>200</v>
      </c>
      <c r="N2" s="8"/>
      <c r="O2" s="8">
        <v>13.555</v>
      </c>
      <c r="P2" s="8">
        <v>14.888</v>
      </c>
      <c r="Q2" s="8">
        <f t="shared" ref="Q2:Q31" si="4">(O2*D2)+(P2*E2)</f>
        <v>199.101</v>
      </c>
      <c r="R2" s="54">
        <v>293563.0</v>
      </c>
      <c r="S2" s="54">
        <v>293649.0</v>
      </c>
      <c r="T2" s="54">
        <v>293649.0</v>
      </c>
      <c r="U2" s="55">
        <v>293765.0</v>
      </c>
      <c r="V2" s="16">
        <f t="shared" ref="V2:V31" si="5">S2-R2</f>
        <v>86</v>
      </c>
      <c r="W2" s="16">
        <f t="shared" ref="W2:W31" si="6">U2-T2</f>
        <v>116</v>
      </c>
    </row>
    <row r="3" ht="15.75" customHeight="1">
      <c r="A3" s="7">
        <v>2.0</v>
      </c>
      <c r="B3" s="8" t="s">
        <v>23</v>
      </c>
      <c r="C3" s="8" t="s">
        <v>25</v>
      </c>
      <c r="D3" s="9">
        <v>7.0</v>
      </c>
      <c r="E3" s="9">
        <v>7.0</v>
      </c>
      <c r="F3" s="10"/>
      <c r="G3" s="52">
        <v>118.0</v>
      </c>
      <c r="H3" s="53"/>
      <c r="I3" s="13">
        <f t="shared" si="1"/>
        <v>130</v>
      </c>
      <c r="J3" s="53"/>
      <c r="K3" s="52">
        <v>248.0</v>
      </c>
      <c r="L3" s="13">
        <f t="shared" si="2"/>
        <v>0</v>
      </c>
      <c r="M3" s="13">
        <f t="shared" si="3"/>
        <v>248</v>
      </c>
      <c r="N3" s="8"/>
      <c r="O3" s="8">
        <v>13.555</v>
      </c>
      <c r="P3" s="8">
        <v>14.888</v>
      </c>
      <c r="Q3" s="8">
        <f t="shared" si="4"/>
        <v>199.101</v>
      </c>
      <c r="R3" s="54">
        <v>274757.0</v>
      </c>
      <c r="S3" s="54">
        <v>274845.0</v>
      </c>
      <c r="T3" s="54">
        <v>274845.0</v>
      </c>
      <c r="U3" s="55">
        <v>274965.0</v>
      </c>
      <c r="V3" s="16">
        <f t="shared" si="5"/>
        <v>88</v>
      </c>
      <c r="W3" s="16">
        <f t="shared" si="6"/>
        <v>120</v>
      </c>
    </row>
    <row r="4" ht="15.75" customHeight="1">
      <c r="A4" s="7">
        <v>3.0</v>
      </c>
      <c r="B4" s="8" t="s">
        <v>23</v>
      </c>
      <c r="C4" s="17" t="s">
        <v>26</v>
      </c>
      <c r="D4" s="18">
        <v>2.0</v>
      </c>
      <c r="E4" s="18">
        <v>2.0</v>
      </c>
      <c r="F4" s="19"/>
      <c r="G4" s="108">
        <v>50.0</v>
      </c>
      <c r="H4" s="109"/>
      <c r="I4" s="22">
        <f t="shared" si="1"/>
        <v>0</v>
      </c>
      <c r="J4" s="109"/>
      <c r="K4" s="109"/>
      <c r="L4" s="22">
        <f t="shared" si="2"/>
        <v>0</v>
      </c>
      <c r="M4" s="22">
        <f t="shared" si="3"/>
        <v>50</v>
      </c>
      <c r="N4" s="18" t="s">
        <v>71</v>
      </c>
      <c r="O4" s="17">
        <v>13.555</v>
      </c>
      <c r="P4" s="17">
        <v>14.888</v>
      </c>
      <c r="Q4" s="17">
        <f t="shared" si="4"/>
        <v>56.886</v>
      </c>
      <c r="R4" s="110">
        <v>258374.0</v>
      </c>
      <c r="S4" s="110">
        <v>258453.0</v>
      </c>
      <c r="T4" s="111"/>
      <c r="U4" s="112"/>
      <c r="V4" s="26">
        <f t="shared" si="5"/>
        <v>79</v>
      </c>
      <c r="W4" s="2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9">
        <v>7.0</v>
      </c>
      <c r="E5" s="9">
        <v>7.0</v>
      </c>
      <c r="F5" s="10"/>
      <c r="G5" s="52">
        <v>135.0</v>
      </c>
      <c r="H5" s="53"/>
      <c r="I5" s="13">
        <f t="shared" si="1"/>
        <v>125</v>
      </c>
      <c r="J5" s="53"/>
      <c r="K5" s="52">
        <v>260.0</v>
      </c>
      <c r="L5" s="13">
        <f t="shared" si="2"/>
        <v>0</v>
      </c>
      <c r="M5" s="13">
        <f t="shared" si="3"/>
        <v>260</v>
      </c>
      <c r="N5" s="8"/>
      <c r="O5" s="8">
        <v>13.555</v>
      </c>
      <c r="P5" s="8">
        <v>14.888</v>
      </c>
      <c r="Q5" s="8">
        <f t="shared" si="4"/>
        <v>199.101</v>
      </c>
      <c r="R5" s="54">
        <v>270172.0</v>
      </c>
      <c r="S5" s="54">
        <v>270273.0</v>
      </c>
      <c r="T5" s="54">
        <v>270273.0</v>
      </c>
      <c r="U5" s="55">
        <v>270375.0</v>
      </c>
      <c r="V5" s="16">
        <f t="shared" si="5"/>
        <v>101</v>
      </c>
      <c r="W5" s="16">
        <f t="shared" si="6"/>
        <v>102</v>
      </c>
    </row>
    <row r="6" ht="15.75" customHeight="1">
      <c r="A6" s="7">
        <v>5.0</v>
      </c>
      <c r="B6" s="8" t="s">
        <v>23</v>
      </c>
      <c r="C6" s="8" t="s">
        <v>28</v>
      </c>
      <c r="D6" s="9">
        <v>7.0</v>
      </c>
      <c r="E6" s="9">
        <v>7.0</v>
      </c>
      <c r="F6" s="10"/>
      <c r="G6" s="52">
        <v>104.0</v>
      </c>
      <c r="H6" s="53"/>
      <c r="I6" s="13">
        <f t="shared" si="1"/>
        <v>130</v>
      </c>
      <c r="J6" s="53"/>
      <c r="K6" s="52">
        <v>234.0</v>
      </c>
      <c r="L6" s="13">
        <f t="shared" si="2"/>
        <v>0</v>
      </c>
      <c r="M6" s="13">
        <f t="shared" si="3"/>
        <v>234</v>
      </c>
      <c r="N6" s="8"/>
      <c r="O6" s="8">
        <v>13.555</v>
      </c>
      <c r="P6" s="8">
        <v>14.888</v>
      </c>
      <c r="Q6" s="8">
        <f t="shared" si="4"/>
        <v>199.101</v>
      </c>
      <c r="R6" s="54">
        <v>279905.0</v>
      </c>
      <c r="S6" s="54">
        <v>279992.0</v>
      </c>
      <c r="T6" s="54">
        <v>279992.0</v>
      </c>
      <c r="U6" s="55">
        <v>280108.0</v>
      </c>
      <c r="V6" s="16">
        <f t="shared" si="5"/>
        <v>87</v>
      </c>
      <c r="W6" s="16">
        <f t="shared" si="6"/>
        <v>116</v>
      </c>
    </row>
    <row r="7" ht="15.75" customHeight="1">
      <c r="A7" s="7">
        <v>6.0</v>
      </c>
      <c r="B7" s="8" t="s">
        <v>23</v>
      </c>
      <c r="C7" s="8" t="s">
        <v>29</v>
      </c>
      <c r="D7" s="9">
        <v>7.0</v>
      </c>
      <c r="E7" s="9">
        <v>7.0</v>
      </c>
      <c r="F7" s="10"/>
      <c r="G7" s="52">
        <v>122.0</v>
      </c>
      <c r="H7" s="53"/>
      <c r="I7" s="13">
        <f t="shared" si="1"/>
        <v>105</v>
      </c>
      <c r="J7" s="53"/>
      <c r="K7" s="52">
        <v>227.0</v>
      </c>
      <c r="L7" s="13">
        <f t="shared" si="2"/>
        <v>0</v>
      </c>
      <c r="M7" s="13">
        <f t="shared" si="3"/>
        <v>227</v>
      </c>
      <c r="N7" s="8"/>
      <c r="O7" s="8">
        <v>13.555</v>
      </c>
      <c r="P7" s="8">
        <v>14.888</v>
      </c>
      <c r="Q7" s="8">
        <f t="shared" si="4"/>
        <v>199.101</v>
      </c>
      <c r="R7" s="54">
        <v>277202.0</v>
      </c>
      <c r="S7" s="54">
        <v>277303.0</v>
      </c>
      <c r="T7" s="54">
        <v>277303.0</v>
      </c>
      <c r="U7" s="55">
        <v>277405.0</v>
      </c>
      <c r="V7" s="16">
        <f t="shared" si="5"/>
        <v>101</v>
      </c>
      <c r="W7" s="16">
        <f t="shared" si="6"/>
        <v>102</v>
      </c>
    </row>
    <row r="8" ht="15.75" customHeight="1">
      <c r="A8" s="7">
        <v>7.0</v>
      </c>
      <c r="B8" s="8" t="s">
        <v>23</v>
      </c>
      <c r="C8" s="82" t="s">
        <v>30</v>
      </c>
      <c r="D8" s="83">
        <v>6.0</v>
      </c>
      <c r="E8" s="83">
        <v>6.0</v>
      </c>
      <c r="F8" s="113"/>
      <c r="G8" s="114">
        <v>94.0</v>
      </c>
      <c r="H8" s="115"/>
      <c r="I8" s="116">
        <f t="shared" si="1"/>
        <v>123</v>
      </c>
      <c r="J8" s="115"/>
      <c r="K8" s="114">
        <v>217.0</v>
      </c>
      <c r="L8" s="116">
        <f t="shared" si="2"/>
        <v>0</v>
      </c>
      <c r="M8" s="116">
        <f t="shared" si="3"/>
        <v>217</v>
      </c>
      <c r="N8" s="83" t="s">
        <v>72</v>
      </c>
      <c r="O8" s="82">
        <v>13.555</v>
      </c>
      <c r="P8" s="82">
        <v>14.888</v>
      </c>
      <c r="Q8" s="82">
        <f t="shared" si="4"/>
        <v>170.658</v>
      </c>
      <c r="R8" s="117">
        <v>269917.0</v>
      </c>
      <c r="S8" s="117">
        <v>270004.0</v>
      </c>
      <c r="T8" s="117">
        <v>270004.0</v>
      </c>
      <c r="U8" s="118">
        <v>270091.0</v>
      </c>
      <c r="V8" s="119">
        <f t="shared" si="5"/>
        <v>87</v>
      </c>
      <c r="W8" s="119">
        <f t="shared" si="6"/>
        <v>87</v>
      </c>
    </row>
    <row r="9" ht="15.75" customHeight="1">
      <c r="A9" s="7">
        <v>8.0</v>
      </c>
      <c r="B9" s="8" t="s">
        <v>23</v>
      </c>
      <c r="C9" s="82" t="s">
        <v>32</v>
      </c>
      <c r="D9" s="83">
        <v>6.0</v>
      </c>
      <c r="E9" s="83">
        <v>6.0</v>
      </c>
      <c r="F9" s="113"/>
      <c r="G9" s="115"/>
      <c r="H9" s="115"/>
      <c r="I9" s="116">
        <f t="shared" si="1"/>
        <v>214</v>
      </c>
      <c r="J9" s="115"/>
      <c r="K9" s="114">
        <v>214.0</v>
      </c>
      <c r="L9" s="116">
        <f t="shared" si="2"/>
        <v>0</v>
      </c>
      <c r="M9" s="116">
        <f t="shared" si="3"/>
        <v>214</v>
      </c>
      <c r="N9" s="83" t="s">
        <v>73</v>
      </c>
      <c r="O9" s="82">
        <v>13.555</v>
      </c>
      <c r="P9" s="82">
        <v>14.888</v>
      </c>
      <c r="Q9" s="82">
        <f t="shared" si="4"/>
        <v>170.658</v>
      </c>
      <c r="R9" s="117">
        <v>277374.0</v>
      </c>
      <c r="S9" s="117">
        <v>277433.0</v>
      </c>
      <c r="T9" s="117">
        <v>277433.0</v>
      </c>
      <c r="U9" s="118">
        <v>277550.0</v>
      </c>
      <c r="V9" s="119">
        <f t="shared" si="5"/>
        <v>59</v>
      </c>
      <c r="W9" s="119">
        <f t="shared" si="6"/>
        <v>117</v>
      </c>
    </row>
    <row r="10" ht="15.75" customHeight="1">
      <c r="A10" s="7">
        <v>9.0</v>
      </c>
      <c r="B10" s="8" t="s">
        <v>23</v>
      </c>
      <c r="C10" s="82" t="s">
        <v>33</v>
      </c>
      <c r="D10" s="83">
        <v>4.0</v>
      </c>
      <c r="E10" s="83">
        <v>4.0</v>
      </c>
      <c r="F10" s="113"/>
      <c r="G10" s="114">
        <v>51.0</v>
      </c>
      <c r="H10" s="115"/>
      <c r="I10" s="116">
        <f t="shared" si="1"/>
        <v>114</v>
      </c>
      <c r="J10" s="115"/>
      <c r="K10" s="114">
        <v>165.0</v>
      </c>
      <c r="L10" s="116">
        <f t="shared" si="2"/>
        <v>0</v>
      </c>
      <c r="M10" s="116">
        <f t="shared" si="3"/>
        <v>165</v>
      </c>
      <c r="N10" s="83" t="s">
        <v>74</v>
      </c>
      <c r="O10" s="82">
        <v>13.555</v>
      </c>
      <c r="P10" s="82">
        <v>14.888</v>
      </c>
      <c r="Q10" s="82">
        <f t="shared" si="4"/>
        <v>113.772</v>
      </c>
      <c r="R10" s="120"/>
      <c r="S10" s="120"/>
      <c r="T10" s="117">
        <v>352889.0</v>
      </c>
      <c r="U10" s="118">
        <v>353004.0</v>
      </c>
      <c r="V10" s="119">
        <f t="shared" si="5"/>
        <v>0</v>
      </c>
      <c r="W10" s="119">
        <f t="shared" si="6"/>
        <v>115</v>
      </c>
    </row>
    <row r="11" ht="15.75" customHeight="1">
      <c r="A11" s="7">
        <v>10.0</v>
      </c>
      <c r="B11" s="8" t="s">
        <v>23</v>
      </c>
      <c r="C11" s="8" t="s">
        <v>34</v>
      </c>
      <c r="D11" s="9">
        <v>7.0</v>
      </c>
      <c r="E11" s="9">
        <v>7.0</v>
      </c>
      <c r="F11" s="10"/>
      <c r="G11" s="52">
        <v>103.0</v>
      </c>
      <c r="H11" s="53"/>
      <c r="I11" s="13">
        <f t="shared" si="1"/>
        <v>97</v>
      </c>
      <c r="J11" s="53"/>
      <c r="K11" s="52">
        <v>200.0</v>
      </c>
      <c r="L11" s="13">
        <f t="shared" si="2"/>
        <v>0</v>
      </c>
      <c r="M11" s="13">
        <f t="shared" si="3"/>
        <v>200</v>
      </c>
      <c r="N11" s="8"/>
      <c r="O11" s="8">
        <v>13.555</v>
      </c>
      <c r="P11" s="8">
        <v>14.888</v>
      </c>
      <c r="Q11" s="8">
        <f t="shared" si="4"/>
        <v>199.101</v>
      </c>
      <c r="R11" s="54">
        <v>333364.0</v>
      </c>
      <c r="S11" s="54">
        <v>333451.0</v>
      </c>
      <c r="T11" s="54">
        <v>333451.0</v>
      </c>
      <c r="U11" s="55">
        <v>333566.0</v>
      </c>
      <c r="V11" s="16">
        <f t="shared" si="5"/>
        <v>87</v>
      </c>
      <c r="W11" s="16">
        <f t="shared" si="6"/>
        <v>115</v>
      </c>
    </row>
    <row r="12" ht="15.75" customHeight="1">
      <c r="A12" s="7">
        <v>11.0</v>
      </c>
      <c r="B12" s="8" t="s">
        <v>23</v>
      </c>
      <c r="C12" s="8" t="s">
        <v>36</v>
      </c>
      <c r="D12" s="9">
        <v>7.0</v>
      </c>
      <c r="E12" s="9">
        <v>7.0</v>
      </c>
      <c r="F12" s="10"/>
      <c r="G12" s="52">
        <v>120.0</v>
      </c>
      <c r="H12" s="53"/>
      <c r="I12" s="13">
        <f t="shared" si="1"/>
        <v>136</v>
      </c>
      <c r="J12" s="53"/>
      <c r="K12" s="52">
        <v>256.0</v>
      </c>
      <c r="L12" s="13">
        <f t="shared" si="2"/>
        <v>0</v>
      </c>
      <c r="M12" s="13">
        <f t="shared" si="3"/>
        <v>256</v>
      </c>
      <c r="N12" s="8"/>
      <c r="O12" s="8">
        <v>13.555</v>
      </c>
      <c r="P12" s="8">
        <v>14.888</v>
      </c>
      <c r="Q12" s="8">
        <f t="shared" si="4"/>
        <v>199.101</v>
      </c>
      <c r="R12" s="54">
        <v>367013.0</v>
      </c>
      <c r="S12" s="54">
        <v>367114.0</v>
      </c>
      <c r="T12" s="54">
        <v>367114.0</v>
      </c>
      <c r="U12" s="55">
        <v>367216.0</v>
      </c>
      <c r="V12" s="16">
        <f t="shared" si="5"/>
        <v>101</v>
      </c>
      <c r="W12" s="16">
        <f t="shared" si="6"/>
        <v>102</v>
      </c>
    </row>
    <row r="13" ht="15.75" customHeight="1">
      <c r="A13" s="7">
        <v>12.0</v>
      </c>
      <c r="B13" s="8" t="s">
        <v>23</v>
      </c>
      <c r="C13" s="8" t="s">
        <v>37</v>
      </c>
      <c r="D13" s="9">
        <v>7.0</v>
      </c>
      <c r="E13" s="9">
        <v>7.0</v>
      </c>
      <c r="F13" s="10"/>
      <c r="G13" s="52">
        <v>106.0</v>
      </c>
      <c r="H13" s="53"/>
      <c r="I13" s="13">
        <f t="shared" si="1"/>
        <v>100</v>
      </c>
      <c r="J13" s="53"/>
      <c r="K13" s="52">
        <v>206.0</v>
      </c>
      <c r="L13" s="13">
        <f t="shared" si="2"/>
        <v>0</v>
      </c>
      <c r="M13" s="13">
        <f t="shared" si="3"/>
        <v>206</v>
      </c>
      <c r="N13" s="8"/>
      <c r="O13" s="8">
        <v>13.555</v>
      </c>
      <c r="P13" s="8">
        <v>14.888</v>
      </c>
      <c r="Q13" s="8">
        <f t="shared" si="4"/>
        <v>199.101</v>
      </c>
      <c r="R13" s="54">
        <v>271324.0</v>
      </c>
      <c r="S13" s="54">
        <v>271425.0</v>
      </c>
      <c r="T13" s="54">
        <v>271425.0</v>
      </c>
      <c r="U13" s="55">
        <v>271527.0</v>
      </c>
      <c r="V13" s="16">
        <f t="shared" si="5"/>
        <v>101</v>
      </c>
      <c r="W13" s="16">
        <f t="shared" si="6"/>
        <v>102</v>
      </c>
    </row>
    <row r="14" ht="15.75" customHeight="1">
      <c r="A14" s="7">
        <v>13.0</v>
      </c>
      <c r="B14" s="8" t="s">
        <v>23</v>
      </c>
      <c r="C14" s="8" t="s">
        <v>38</v>
      </c>
      <c r="D14" s="9">
        <v>7.0</v>
      </c>
      <c r="E14" s="9">
        <v>7.0</v>
      </c>
      <c r="F14" s="10"/>
      <c r="G14" s="52">
        <v>136.0</v>
      </c>
      <c r="H14" s="53"/>
      <c r="I14" s="13">
        <f t="shared" si="1"/>
        <v>90</v>
      </c>
      <c r="J14" s="53"/>
      <c r="K14" s="52">
        <v>226.0</v>
      </c>
      <c r="L14" s="13">
        <f t="shared" si="2"/>
        <v>0</v>
      </c>
      <c r="M14" s="13">
        <f t="shared" si="3"/>
        <v>226</v>
      </c>
      <c r="N14" s="8"/>
      <c r="O14" s="8">
        <v>13.555</v>
      </c>
      <c r="P14" s="8">
        <v>14.888</v>
      </c>
      <c r="Q14" s="8">
        <f t="shared" si="4"/>
        <v>199.101</v>
      </c>
      <c r="R14" s="54">
        <v>365283.0</v>
      </c>
      <c r="S14" s="54">
        <v>365371.0</v>
      </c>
      <c r="T14" s="54">
        <v>365371.0</v>
      </c>
      <c r="U14" s="55">
        <v>365487.0</v>
      </c>
      <c r="V14" s="16">
        <f t="shared" si="5"/>
        <v>88</v>
      </c>
      <c r="W14" s="16">
        <f t="shared" si="6"/>
        <v>116</v>
      </c>
    </row>
    <row r="15" ht="15.75" customHeight="1">
      <c r="A15" s="7">
        <v>14.0</v>
      </c>
      <c r="B15" s="8" t="s">
        <v>23</v>
      </c>
      <c r="C15" s="57" t="s">
        <v>39</v>
      </c>
      <c r="D15" s="57"/>
      <c r="E15" s="57"/>
      <c r="F15" s="121"/>
      <c r="G15" s="59"/>
      <c r="H15" s="59"/>
      <c r="I15" s="60">
        <f t="shared" si="1"/>
        <v>0</v>
      </c>
      <c r="J15" s="59"/>
      <c r="K15" s="59"/>
      <c r="L15" s="60">
        <f t="shared" si="2"/>
        <v>0</v>
      </c>
      <c r="M15" s="60">
        <f t="shared" si="3"/>
        <v>0</v>
      </c>
      <c r="N15" s="58" t="s">
        <v>75</v>
      </c>
      <c r="O15" s="57">
        <v>13.555</v>
      </c>
      <c r="P15" s="57">
        <v>14.888</v>
      </c>
      <c r="Q15" s="57">
        <f t="shared" si="4"/>
        <v>0</v>
      </c>
      <c r="R15" s="61"/>
      <c r="S15" s="61"/>
      <c r="T15" s="61"/>
      <c r="U15" s="62"/>
      <c r="V15" s="63">
        <f t="shared" si="5"/>
        <v>0</v>
      </c>
      <c r="W15" s="63">
        <f t="shared" si="6"/>
        <v>0</v>
      </c>
    </row>
    <row r="16" ht="15.75" customHeight="1">
      <c r="A16" s="7">
        <v>15.0</v>
      </c>
      <c r="B16" s="8" t="s">
        <v>23</v>
      </c>
      <c r="C16" s="57" t="s">
        <v>40</v>
      </c>
      <c r="D16" s="57"/>
      <c r="E16" s="57"/>
      <c r="F16" s="121"/>
      <c r="G16" s="59"/>
      <c r="H16" s="59"/>
      <c r="I16" s="60">
        <f t="shared" si="1"/>
        <v>0</v>
      </c>
      <c r="J16" s="59"/>
      <c r="K16" s="59"/>
      <c r="L16" s="60">
        <f t="shared" si="2"/>
        <v>0</v>
      </c>
      <c r="M16" s="60">
        <f t="shared" si="3"/>
        <v>0</v>
      </c>
      <c r="N16" s="58" t="s">
        <v>76</v>
      </c>
      <c r="O16" s="57">
        <v>13.555</v>
      </c>
      <c r="P16" s="57">
        <v>14.888</v>
      </c>
      <c r="Q16" s="57">
        <f t="shared" si="4"/>
        <v>0</v>
      </c>
      <c r="R16" s="61"/>
      <c r="S16" s="61"/>
      <c r="T16" s="61"/>
      <c r="U16" s="62"/>
      <c r="V16" s="63">
        <f t="shared" si="5"/>
        <v>0</v>
      </c>
      <c r="W16" s="63">
        <f t="shared" si="6"/>
        <v>0</v>
      </c>
    </row>
    <row r="17" ht="15.75" customHeight="1">
      <c r="A17" s="7">
        <v>16.0</v>
      </c>
      <c r="B17" s="8" t="s">
        <v>23</v>
      </c>
      <c r="C17" s="57" t="s">
        <v>41</v>
      </c>
      <c r="D17" s="57"/>
      <c r="E17" s="57"/>
      <c r="F17" s="121"/>
      <c r="G17" s="59"/>
      <c r="H17" s="59"/>
      <c r="I17" s="60">
        <f t="shared" si="1"/>
        <v>0</v>
      </c>
      <c r="J17" s="59"/>
      <c r="K17" s="59"/>
      <c r="L17" s="60">
        <f t="shared" si="2"/>
        <v>0</v>
      </c>
      <c r="M17" s="60">
        <f t="shared" si="3"/>
        <v>0</v>
      </c>
      <c r="N17" s="58" t="s">
        <v>76</v>
      </c>
      <c r="O17" s="57">
        <v>13.555</v>
      </c>
      <c r="P17" s="57">
        <v>14.888</v>
      </c>
      <c r="Q17" s="57">
        <f t="shared" si="4"/>
        <v>0</v>
      </c>
      <c r="R17" s="61"/>
      <c r="S17" s="61"/>
      <c r="T17" s="61"/>
      <c r="U17" s="62"/>
      <c r="V17" s="63">
        <f t="shared" si="5"/>
        <v>0</v>
      </c>
      <c r="W17" s="63">
        <f t="shared" si="6"/>
        <v>0</v>
      </c>
    </row>
    <row r="18" ht="15.75" customHeight="1">
      <c r="A18" s="7">
        <v>17.0</v>
      </c>
      <c r="B18" s="8" t="s">
        <v>23</v>
      </c>
      <c r="C18" s="57" t="s">
        <v>43</v>
      </c>
      <c r="D18" s="57"/>
      <c r="E18" s="57"/>
      <c r="F18" s="121"/>
      <c r="G18" s="59"/>
      <c r="H18" s="59"/>
      <c r="I18" s="60">
        <f t="shared" si="1"/>
        <v>0</v>
      </c>
      <c r="J18" s="59"/>
      <c r="K18" s="59"/>
      <c r="L18" s="60">
        <f t="shared" si="2"/>
        <v>0</v>
      </c>
      <c r="M18" s="60">
        <f t="shared" si="3"/>
        <v>0</v>
      </c>
      <c r="N18" s="58" t="s">
        <v>76</v>
      </c>
      <c r="O18" s="57">
        <v>13.555</v>
      </c>
      <c r="P18" s="57">
        <v>14.888</v>
      </c>
      <c r="Q18" s="57">
        <f t="shared" si="4"/>
        <v>0</v>
      </c>
      <c r="R18" s="61"/>
      <c r="S18" s="61"/>
      <c r="T18" s="61"/>
      <c r="U18" s="62"/>
      <c r="V18" s="63">
        <f t="shared" si="5"/>
        <v>0</v>
      </c>
      <c r="W18" s="63">
        <f t="shared" si="6"/>
        <v>0</v>
      </c>
    </row>
    <row r="19" ht="15.75" customHeight="1">
      <c r="A19" s="7">
        <v>18.0</v>
      </c>
      <c r="B19" s="8" t="s">
        <v>23</v>
      </c>
      <c r="C19" s="57" t="s">
        <v>44</v>
      </c>
      <c r="D19" s="57"/>
      <c r="E19" s="57"/>
      <c r="F19" s="121"/>
      <c r="G19" s="59"/>
      <c r="H19" s="59"/>
      <c r="I19" s="60">
        <f t="shared" si="1"/>
        <v>0</v>
      </c>
      <c r="J19" s="59"/>
      <c r="K19" s="59"/>
      <c r="L19" s="60">
        <f t="shared" si="2"/>
        <v>0</v>
      </c>
      <c r="M19" s="60">
        <f t="shared" si="3"/>
        <v>0</v>
      </c>
      <c r="N19" s="58" t="s">
        <v>76</v>
      </c>
      <c r="O19" s="57">
        <v>13.555</v>
      </c>
      <c r="P19" s="57">
        <v>14.888</v>
      </c>
      <c r="Q19" s="57">
        <f t="shared" si="4"/>
        <v>0</v>
      </c>
      <c r="R19" s="61"/>
      <c r="S19" s="61"/>
      <c r="T19" s="61"/>
      <c r="U19" s="62"/>
      <c r="V19" s="63">
        <f t="shared" si="5"/>
        <v>0</v>
      </c>
      <c r="W19" s="63">
        <f t="shared" si="6"/>
        <v>0</v>
      </c>
    </row>
    <row r="20" ht="15.75" customHeight="1">
      <c r="A20" s="7">
        <v>19.0</v>
      </c>
      <c r="B20" s="8" t="s">
        <v>23</v>
      </c>
      <c r="C20" s="57" t="s">
        <v>45</v>
      </c>
      <c r="D20" s="57"/>
      <c r="E20" s="57"/>
      <c r="F20" s="121"/>
      <c r="G20" s="59"/>
      <c r="H20" s="59"/>
      <c r="I20" s="60">
        <f t="shared" si="1"/>
        <v>0</v>
      </c>
      <c r="J20" s="59"/>
      <c r="K20" s="59"/>
      <c r="L20" s="60">
        <f t="shared" si="2"/>
        <v>0</v>
      </c>
      <c r="M20" s="60">
        <f t="shared" si="3"/>
        <v>0</v>
      </c>
      <c r="N20" s="58" t="s">
        <v>76</v>
      </c>
      <c r="O20" s="57">
        <v>13.555</v>
      </c>
      <c r="P20" s="57">
        <v>14.888</v>
      </c>
      <c r="Q20" s="57">
        <f t="shared" si="4"/>
        <v>0</v>
      </c>
      <c r="R20" s="61"/>
      <c r="S20" s="61"/>
      <c r="T20" s="61"/>
      <c r="U20" s="62"/>
      <c r="V20" s="63">
        <f t="shared" si="5"/>
        <v>0</v>
      </c>
      <c r="W20" s="63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9">
        <v>7.0</v>
      </c>
      <c r="E21" s="9">
        <v>7.0</v>
      </c>
      <c r="F21" s="10"/>
      <c r="G21" s="52">
        <v>103.0</v>
      </c>
      <c r="H21" s="52">
        <v>16.0</v>
      </c>
      <c r="I21" s="13">
        <f t="shared" si="1"/>
        <v>145</v>
      </c>
      <c r="J21" s="53"/>
      <c r="K21" s="52">
        <v>248.0</v>
      </c>
      <c r="L21" s="13">
        <f t="shared" si="2"/>
        <v>16</v>
      </c>
      <c r="M21" s="13">
        <f t="shared" si="3"/>
        <v>264</v>
      </c>
      <c r="N21" s="8"/>
      <c r="O21" s="8">
        <v>13.555</v>
      </c>
      <c r="P21" s="8">
        <v>14.888</v>
      </c>
      <c r="Q21" s="8">
        <f t="shared" si="4"/>
        <v>199.101</v>
      </c>
      <c r="R21" s="54">
        <v>275017.0</v>
      </c>
      <c r="S21" s="54">
        <v>275108.0</v>
      </c>
      <c r="T21" s="54">
        <v>275108.0</v>
      </c>
      <c r="U21" s="55">
        <v>275227.0</v>
      </c>
      <c r="V21" s="16">
        <f t="shared" si="5"/>
        <v>91</v>
      </c>
      <c r="W21" s="16">
        <f t="shared" si="6"/>
        <v>119</v>
      </c>
    </row>
    <row r="22" ht="15.75" customHeight="1">
      <c r="A22" s="7">
        <v>21.0</v>
      </c>
      <c r="B22" s="8" t="s">
        <v>23</v>
      </c>
      <c r="C22" s="8" t="s">
        <v>47</v>
      </c>
      <c r="D22" s="9">
        <v>7.0</v>
      </c>
      <c r="E22" s="9">
        <v>7.0</v>
      </c>
      <c r="F22" s="10"/>
      <c r="G22" s="52">
        <v>113.0</v>
      </c>
      <c r="H22" s="53"/>
      <c r="I22" s="13">
        <f t="shared" si="1"/>
        <v>153</v>
      </c>
      <c r="J22" s="53"/>
      <c r="K22" s="52">
        <v>266.0</v>
      </c>
      <c r="L22" s="13">
        <f t="shared" si="2"/>
        <v>0</v>
      </c>
      <c r="M22" s="13">
        <f t="shared" si="3"/>
        <v>266</v>
      </c>
      <c r="N22" s="8"/>
      <c r="O22" s="8">
        <v>13.555</v>
      </c>
      <c r="P22" s="8">
        <v>14.888</v>
      </c>
      <c r="Q22" s="8">
        <f t="shared" si="4"/>
        <v>199.101</v>
      </c>
      <c r="R22" s="54">
        <v>280774.0</v>
      </c>
      <c r="S22" s="54">
        <v>280862.0</v>
      </c>
      <c r="T22" s="54">
        <v>280862.0</v>
      </c>
      <c r="U22" s="55">
        <v>280982.0</v>
      </c>
      <c r="V22" s="16">
        <f t="shared" si="5"/>
        <v>88</v>
      </c>
      <c r="W22" s="16">
        <f t="shared" si="6"/>
        <v>120</v>
      </c>
    </row>
    <row r="23" ht="15.75" customHeight="1">
      <c r="A23" s="7">
        <v>22.0</v>
      </c>
      <c r="B23" s="8" t="s">
        <v>23</v>
      </c>
      <c r="C23" s="8" t="s">
        <v>48</v>
      </c>
      <c r="D23" s="9">
        <v>7.0</v>
      </c>
      <c r="E23" s="9">
        <v>7.0</v>
      </c>
      <c r="F23" s="10"/>
      <c r="G23" s="52">
        <v>136.0</v>
      </c>
      <c r="H23" s="53"/>
      <c r="I23" s="13">
        <f t="shared" si="1"/>
        <v>113</v>
      </c>
      <c r="J23" s="53"/>
      <c r="K23" s="52">
        <v>249.0</v>
      </c>
      <c r="L23" s="13">
        <f t="shared" si="2"/>
        <v>0</v>
      </c>
      <c r="M23" s="13">
        <f t="shared" si="3"/>
        <v>249</v>
      </c>
      <c r="N23" s="8"/>
      <c r="O23" s="8">
        <v>13.555</v>
      </c>
      <c r="P23" s="8">
        <v>14.888</v>
      </c>
      <c r="Q23" s="8">
        <f t="shared" si="4"/>
        <v>199.101</v>
      </c>
      <c r="R23" s="54">
        <v>276230.0</v>
      </c>
      <c r="S23" s="54">
        <v>276333.0</v>
      </c>
      <c r="T23" s="54">
        <v>276333.0</v>
      </c>
      <c r="U23" s="55">
        <v>276435.0</v>
      </c>
      <c r="V23" s="16">
        <f t="shared" si="5"/>
        <v>103</v>
      </c>
      <c r="W23" s="16">
        <f t="shared" si="6"/>
        <v>102</v>
      </c>
    </row>
    <row r="24" ht="15.75" customHeight="1">
      <c r="A24" s="7">
        <v>23.0</v>
      </c>
      <c r="B24" s="8" t="s">
        <v>23</v>
      </c>
      <c r="C24" s="8" t="s">
        <v>49</v>
      </c>
      <c r="D24" s="9">
        <v>7.0</v>
      </c>
      <c r="E24" s="9">
        <v>7.0</v>
      </c>
      <c r="F24" s="10"/>
      <c r="G24" s="52">
        <v>110.0</v>
      </c>
      <c r="H24" s="53"/>
      <c r="I24" s="13">
        <f t="shared" si="1"/>
        <v>150</v>
      </c>
      <c r="J24" s="53"/>
      <c r="K24" s="52">
        <v>260.0</v>
      </c>
      <c r="L24" s="13">
        <f t="shared" si="2"/>
        <v>0</v>
      </c>
      <c r="M24" s="13">
        <f t="shared" si="3"/>
        <v>260</v>
      </c>
      <c r="N24" s="8"/>
      <c r="O24" s="8">
        <v>13.555</v>
      </c>
      <c r="P24" s="8">
        <v>14.888</v>
      </c>
      <c r="Q24" s="8">
        <f t="shared" si="4"/>
        <v>199.101</v>
      </c>
      <c r="R24" s="54">
        <v>275889.0</v>
      </c>
      <c r="S24" s="54">
        <v>275976.0</v>
      </c>
      <c r="T24" s="54">
        <v>275976.0</v>
      </c>
      <c r="U24" s="55">
        <v>276092.0</v>
      </c>
      <c r="V24" s="16">
        <f t="shared" si="5"/>
        <v>87</v>
      </c>
      <c r="W24" s="16">
        <f t="shared" si="6"/>
        <v>116</v>
      </c>
    </row>
    <row r="25" ht="15.75" customHeight="1">
      <c r="A25" s="7">
        <v>24.0</v>
      </c>
      <c r="B25" s="8" t="s">
        <v>23</v>
      </c>
      <c r="C25" s="8" t="s">
        <v>50</v>
      </c>
      <c r="D25" s="9">
        <v>7.0</v>
      </c>
      <c r="E25" s="9">
        <v>7.0</v>
      </c>
      <c r="F25" s="10"/>
      <c r="G25" s="52">
        <v>121.0</v>
      </c>
      <c r="H25" s="53"/>
      <c r="I25" s="13">
        <f t="shared" si="1"/>
        <v>148</v>
      </c>
      <c r="J25" s="53"/>
      <c r="K25" s="52">
        <v>269.0</v>
      </c>
      <c r="L25" s="13">
        <f t="shared" si="2"/>
        <v>0</v>
      </c>
      <c r="M25" s="13">
        <f t="shared" si="3"/>
        <v>269</v>
      </c>
      <c r="N25" s="8"/>
      <c r="O25" s="8">
        <v>13.555</v>
      </c>
      <c r="P25" s="8">
        <v>14.888</v>
      </c>
      <c r="Q25" s="8">
        <f t="shared" si="4"/>
        <v>199.101</v>
      </c>
      <c r="R25" s="54">
        <v>315125.0</v>
      </c>
      <c r="S25" s="54">
        <v>315212.0</v>
      </c>
      <c r="T25" s="54">
        <v>315212.0</v>
      </c>
      <c r="U25" s="55">
        <v>315328.0</v>
      </c>
      <c r="V25" s="16">
        <f t="shared" si="5"/>
        <v>87</v>
      </c>
      <c r="W25" s="16">
        <f t="shared" si="6"/>
        <v>116</v>
      </c>
    </row>
    <row r="26" ht="15.75" customHeight="1">
      <c r="A26" s="7">
        <v>25.0</v>
      </c>
      <c r="B26" s="8" t="s">
        <v>23</v>
      </c>
      <c r="C26" s="8" t="s">
        <v>51</v>
      </c>
      <c r="D26" s="9">
        <v>7.0</v>
      </c>
      <c r="E26" s="9">
        <v>7.0</v>
      </c>
      <c r="F26" s="10"/>
      <c r="G26" s="52">
        <v>88.0</v>
      </c>
      <c r="H26" s="53"/>
      <c r="I26" s="13">
        <f t="shared" si="1"/>
        <v>151</v>
      </c>
      <c r="J26" s="53"/>
      <c r="K26" s="52">
        <v>239.0</v>
      </c>
      <c r="L26" s="13">
        <f t="shared" si="2"/>
        <v>0</v>
      </c>
      <c r="M26" s="13">
        <f t="shared" si="3"/>
        <v>239</v>
      </c>
      <c r="N26" s="8"/>
      <c r="O26" s="8">
        <v>13.555</v>
      </c>
      <c r="P26" s="8">
        <v>14.888</v>
      </c>
      <c r="Q26" s="8">
        <f t="shared" si="4"/>
        <v>199.101</v>
      </c>
      <c r="R26" s="54">
        <v>308688.0</v>
      </c>
      <c r="S26" s="54">
        <v>308775.0</v>
      </c>
      <c r="T26" s="54">
        <v>308775.0</v>
      </c>
      <c r="U26" s="55">
        <v>308891.0</v>
      </c>
      <c r="V26" s="16">
        <f t="shared" si="5"/>
        <v>87</v>
      </c>
      <c r="W26" s="16">
        <f t="shared" si="6"/>
        <v>116</v>
      </c>
    </row>
    <row r="27" ht="15.75" customHeight="1">
      <c r="A27" s="7">
        <v>26.0</v>
      </c>
      <c r="B27" s="8" t="s">
        <v>23</v>
      </c>
      <c r="C27" s="8" t="s">
        <v>52</v>
      </c>
      <c r="D27" s="9">
        <v>7.0</v>
      </c>
      <c r="E27" s="9">
        <v>7.0</v>
      </c>
      <c r="F27" s="10"/>
      <c r="G27" s="52">
        <v>87.0</v>
      </c>
      <c r="H27" s="53"/>
      <c r="I27" s="13">
        <f t="shared" si="1"/>
        <v>138</v>
      </c>
      <c r="J27" s="53"/>
      <c r="K27" s="52">
        <v>225.0</v>
      </c>
      <c r="L27" s="13">
        <f t="shared" si="2"/>
        <v>0</v>
      </c>
      <c r="M27" s="13">
        <f t="shared" si="3"/>
        <v>225</v>
      </c>
      <c r="N27" s="8"/>
      <c r="O27" s="8">
        <v>13.555</v>
      </c>
      <c r="P27" s="8">
        <v>14.888</v>
      </c>
      <c r="Q27" s="8">
        <f t="shared" si="4"/>
        <v>199.101</v>
      </c>
      <c r="R27" s="54">
        <v>272733.0</v>
      </c>
      <c r="S27" s="54">
        <v>272820.0</v>
      </c>
      <c r="T27" s="54">
        <v>272820.0</v>
      </c>
      <c r="U27" s="55">
        <v>272936.0</v>
      </c>
      <c r="V27" s="16">
        <f t="shared" si="5"/>
        <v>87</v>
      </c>
      <c r="W27" s="16">
        <f t="shared" si="6"/>
        <v>116</v>
      </c>
    </row>
    <row r="28" ht="15.75" customHeight="1">
      <c r="A28" s="7">
        <v>27.0</v>
      </c>
      <c r="B28" s="8" t="s">
        <v>23</v>
      </c>
      <c r="C28" s="8" t="s">
        <v>53</v>
      </c>
      <c r="D28" s="9">
        <v>7.0</v>
      </c>
      <c r="E28" s="9">
        <v>7.0</v>
      </c>
      <c r="F28" s="10"/>
      <c r="G28" s="52">
        <v>116.0</v>
      </c>
      <c r="H28" s="53"/>
      <c r="I28" s="13">
        <f t="shared" si="1"/>
        <v>132</v>
      </c>
      <c r="J28" s="53"/>
      <c r="K28" s="52">
        <v>248.0</v>
      </c>
      <c r="L28" s="13">
        <f t="shared" si="2"/>
        <v>0</v>
      </c>
      <c r="M28" s="13">
        <f t="shared" si="3"/>
        <v>248</v>
      </c>
      <c r="N28" s="8"/>
      <c r="O28" s="8">
        <v>13.555</v>
      </c>
      <c r="P28" s="8">
        <v>14.888</v>
      </c>
      <c r="Q28" s="8">
        <f t="shared" si="4"/>
        <v>199.101</v>
      </c>
      <c r="R28" s="54">
        <v>268392.0</v>
      </c>
      <c r="S28" s="54">
        <v>268479.0</v>
      </c>
      <c r="T28" s="54">
        <v>268479.0</v>
      </c>
      <c r="U28" s="55">
        <v>268597.0</v>
      </c>
      <c r="V28" s="16">
        <f t="shared" si="5"/>
        <v>87</v>
      </c>
      <c r="W28" s="16">
        <f t="shared" si="6"/>
        <v>118</v>
      </c>
    </row>
    <row r="29" ht="15.75" customHeight="1">
      <c r="A29" s="7">
        <v>28.0</v>
      </c>
      <c r="B29" s="8" t="s">
        <v>23</v>
      </c>
      <c r="C29" s="8" t="s">
        <v>54</v>
      </c>
      <c r="D29" s="9">
        <v>7.0</v>
      </c>
      <c r="E29" s="9">
        <v>7.0</v>
      </c>
      <c r="F29" s="10"/>
      <c r="G29" s="52">
        <v>112.0</v>
      </c>
      <c r="H29" s="53"/>
      <c r="I29" s="13">
        <f t="shared" si="1"/>
        <v>181</v>
      </c>
      <c r="J29" s="53"/>
      <c r="K29" s="52">
        <v>293.0</v>
      </c>
      <c r="L29" s="13">
        <f t="shared" si="2"/>
        <v>0</v>
      </c>
      <c r="M29" s="13">
        <f t="shared" si="3"/>
        <v>293</v>
      </c>
      <c r="N29" s="8"/>
      <c r="O29" s="8">
        <v>13.555</v>
      </c>
      <c r="P29" s="8">
        <v>14.888</v>
      </c>
      <c r="Q29" s="8">
        <f t="shared" si="4"/>
        <v>199.101</v>
      </c>
      <c r="R29" s="54">
        <v>264126.0</v>
      </c>
      <c r="S29" s="54">
        <v>264213.0</v>
      </c>
      <c r="T29" s="54">
        <v>264213.0</v>
      </c>
      <c r="U29" s="55">
        <v>264329.0</v>
      </c>
      <c r="V29" s="16">
        <f t="shared" si="5"/>
        <v>87</v>
      </c>
      <c r="W29" s="16">
        <f t="shared" si="6"/>
        <v>116</v>
      </c>
    </row>
    <row r="30" ht="15.75" customHeight="1">
      <c r="A30" s="7">
        <v>29.0</v>
      </c>
      <c r="B30" s="8" t="s">
        <v>23</v>
      </c>
      <c r="C30" s="8" t="s">
        <v>55</v>
      </c>
      <c r="D30" s="9">
        <v>7.0</v>
      </c>
      <c r="E30" s="9">
        <v>7.0</v>
      </c>
      <c r="F30" s="10"/>
      <c r="G30" s="52">
        <v>168.0</v>
      </c>
      <c r="H30" s="53"/>
      <c r="I30" s="13">
        <f t="shared" si="1"/>
        <v>145</v>
      </c>
      <c r="J30" s="53"/>
      <c r="K30" s="52">
        <v>313.0</v>
      </c>
      <c r="L30" s="13">
        <f t="shared" si="2"/>
        <v>0</v>
      </c>
      <c r="M30" s="13">
        <f t="shared" si="3"/>
        <v>313</v>
      </c>
      <c r="N30" s="8"/>
      <c r="O30" s="8">
        <v>13.555</v>
      </c>
      <c r="P30" s="8">
        <v>14.888</v>
      </c>
      <c r="Q30" s="8">
        <f t="shared" si="4"/>
        <v>199.101</v>
      </c>
      <c r="R30" s="54">
        <v>271512.0</v>
      </c>
      <c r="S30" s="54">
        <v>271615.0</v>
      </c>
      <c r="T30" s="54">
        <v>271615.0</v>
      </c>
      <c r="U30" s="55">
        <v>271716.0</v>
      </c>
      <c r="V30" s="16">
        <f t="shared" si="5"/>
        <v>103</v>
      </c>
      <c r="W30" s="16">
        <f t="shared" si="6"/>
        <v>101</v>
      </c>
    </row>
    <row r="31" ht="15.75" customHeight="1">
      <c r="A31" s="7">
        <v>30.0</v>
      </c>
      <c r="B31" s="8" t="s">
        <v>23</v>
      </c>
      <c r="C31" s="8" t="s">
        <v>56</v>
      </c>
      <c r="D31" s="9">
        <v>7.0</v>
      </c>
      <c r="E31" s="9">
        <v>7.0</v>
      </c>
      <c r="F31" s="10"/>
      <c r="G31" s="52">
        <v>91.0</v>
      </c>
      <c r="H31" s="53"/>
      <c r="I31" s="13">
        <f t="shared" si="1"/>
        <v>154</v>
      </c>
      <c r="J31" s="53"/>
      <c r="K31" s="52">
        <v>245.0</v>
      </c>
      <c r="L31" s="13">
        <f t="shared" si="2"/>
        <v>0</v>
      </c>
      <c r="M31" s="13">
        <f t="shared" si="3"/>
        <v>245</v>
      </c>
      <c r="N31" s="8"/>
      <c r="O31" s="8">
        <v>13.555</v>
      </c>
      <c r="P31" s="8">
        <v>14.888</v>
      </c>
      <c r="Q31" s="8">
        <f t="shared" si="4"/>
        <v>199.101</v>
      </c>
      <c r="R31" s="54">
        <v>272971.0</v>
      </c>
      <c r="S31" s="54">
        <v>273059.0</v>
      </c>
      <c r="T31" s="54">
        <v>273059.0</v>
      </c>
      <c r="U31" s="55">
        <v>273175.0</v>
      </c>
      <c r="V31" s="16">
        <f t="shared" si="5"/>
        <v>88</v>
      </c>
      <c r="W31" s="16">
        <f t="shared" si="6"/>
        <v>116</v>
      </c>
    </row>
    <row r="32" ht="15.75" customHeight="1">
      <c r="A32" s="35"/>
      <c r="B32" s="35"/>
      <c r="C32" s="36"/>
      <c r="D32" s="37" t="s">
        <v>57</v>
      </c>
      <c r="E32" s="38">
        <f>SUM(M:M)</f>
        <v>5574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4493.994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>
        <f>E32/E33</f>
        <v>1.240322083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>
        <f>AVERAGEIF(Q:Q,"&gt;0",Q:Q)</f>
        <v>187.24975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2467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16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2483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3091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3091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5558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16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9">
        <v>7.0</v>
      </c>
      <c r="E2" s="9">
        <v>7.0</v>
      </c>
      <c r="F2" s="10"/>
      <c r="G2" s="52">
        <v>100.0</v>
      </c>
      <c r="H2" s="53"/>
      <c r="I2" s="13">
        <f t="shared" ref="I2:I31" si="1">max(0,K2-G2)</f>
        <v>147</v>
      </c>
      <c r="J2" s="53"/>
      <c r="K2" s="52">
        <v>247.0</v>
      </c>
      <c r="L2" s="13">
        <f t="shared" ref="L2:L31" si="2">J2+H2</f>
        <v>0</v>
      </c>
      <c r="M2" s="13">
        <f t="shared" ref="M2:M31" si="3">G2+H2+I2+J2</f>
        <v>247</v>
      </c>
      <c r="N2" s="8"/>
      <c r="O2" s="8">
        <v>13.555</v>
      </c>
      <c r="P2" s="8">
        <v>14.888</v>
      </c>
      <c r="Q2" s="8">
        <f t="shared" ref="Q2:Q31" si="4">(O2*D2)+(P2*E2)</f>
        <v>199.101</v>
      </c>
      <c r="R2" s="54">
        <v>293772.0</v>
      </c>
      <c r="S2" s="54">
        <v>293859.0</v>
      </c>
      <c r="T2" s="54">
        <v>293859.0</v>
      </c>
      <c r="U2" s="55">
        <v>293975.0</v>
      </c>
      <c r="V2" s="16">
        <f t="shared" ref="V2:V31" si="5">S2-R2</f>
        <v>87</v>
      </c>
      <c r="W2" s="16">
        <f t="shared" ref="W2:W31" si="6">U2-T2</f>
        <v>116</v>
      </c>
    </row>
    <row r="3" ht="15.75" customHeight="1">
      <c r="A3" s="7">
        <v>2.0</v>
      </c>
      <c r="B3" s="8" t="s">
        <v>23</v>
      </c>
      <c r="C3" s="8" t="s">
        <v>25</v>
      </c>
      <c r="D3" s="9">
        <v>7.0</v>
      </c>
      <c r="E3" s="9">
        <v>7.0</v>
      </c>
      <c r="F3" s="10"/>
      <c r="G3" s="52">
        <v>77.0</v>
      </c>
      <c r="H3" s="53"/>
      <c r="I3" s="13">
        <f t="shared" si="1"/>
        <v>152</v>
      </c>
      <c r="J3" s="53"/>
      <c r="K3" s="52">
        <v>229.0</v>
      </c>
      <c r="L3" s="13">
        <f t="shared" si="2"/>
        <v>0</v>
      </c>
      <c r="M3" s="13">
        <f t="shared" si="3"/>
        <v>229</v>
      </c>
      <c r="N3" s="8"/>
      <c r="O3" s="8">
        <v>13.555</v>
      </c>
      <c r="P3" s="8">
        <v>14.888</v>
      </c>
      <c r="Q3" s="8">
        <f t="shared" si="4"/>
        <v>199.101</v>
      </c>
      <c r="R3" s="54">
        <v>274965.0</v>
      </c>
      <c r="S3" s="54">
        <v>275053.0</v>
      </c>
      <c r="T3" s="54">
        <v>275053.0</v>
      </c>
      <c r="U3" s="55">
        <v>275169.0</v>
      </c>
      <c r="V3" s="16">
        <f t="shared" si="5"/>
        <v>88</v>
      </c>
      <c r="W3" s="16">
        <f t="shared" si="6"/>
        <v>116</v>
      </c>
    </row>
    <row r="4" ht="15.75" customHeight="1">
      <c r="A4" s="7">
        <v>3.0</v>
      </c>
      <c r="B4" s="8" t="s">
        <v>23</v>
      </c>
      <c r="C4" s="8" t="s">
        <v>26</v>
      </c>
      <c r="D4" s="9">
        <v>7.0</v>
      </c>
      <c r="E4" s="9">
        <v>7.0</v>
      </c>
      <c r="F4" s="10"/>
      <c r="G4" s="52">
        <v>92.0</v>
      </c>
      <c r="H4" s="53"/>
      <c r="I4" s="13">
        <f t="shared" si="1"/>
        <v>140</v>
      </c>
      <c r="J4" s="53"/>
      <c r="K4" s="52">
        <v>232.0</v>
      </c>
      <c r="L4" s="13">
        <f t="shared" si="2"/>
        <v>0</v>
      </c>
      <c r="M4" s="13">
        <f t="shared" si="3"/>
        <v>232</v>
      </c>
      <c r="N4" s="8"/>
      <c r="O4" s="8">
        <v>13.555</v>
      </c>
      <c r="P4" s="8">
        <v>14.888</v>
      </c>
      <c r="Q4" s="8">
        <f t="shared" si="4"/>
        <v>199.101</v>
      </c>
      <c r="R4" s="54">
        <v>458473.0</v>
      </c>
      <c r="S4" s="54">
        <v>458559.0</v>
      </c>
      <c r="T4" s="54">
        <v>458559.0</v>
      </c>
      <c r="U4" s="55">
        <v>458675.0</v>
      </c>
      <c r="V4" s="16">
        <f t="shared" si="5"/>
        <v>86</v>
      </c>
      <c r="W4" s="16">
        <f t="shared" si="6"/>
        <v>116</v>
      </c>
    </row>
    <row r="5" ht="15.75" customHeight="1">
      <c r="A5" s="7">
        <v>4.0</v>
      </c>
      <c r="B5" s="8" t="s">
        <v>23</v>
      </c>
      <c r="C5" s="8" t="s">
        <v>27</v>
      </c>
      <c r="D5" s="9">
        <v>7.0</v>
      </c>
      <c r="E5" s="9">
        <v>7.0</v>
      </c>
      <c r="F5" s="10"/>
      <c r="G5" s="52">
        <v>119.0</v>
      </c>
      <c r="H5" s="53"/>
      <c r="I5" s="13">
        <f t="shared" si="1"/>
        <v>105</v>
      </c>
      <c r="J5" s="53"/>
      <c r="K5" s="52">
        <v>224.0</v>
      </c>
      <c r="L5" s="13">
        <f t="shared" si="2"/>
        <v>0</v>
      </c>
      <c r="M5" s="13">
        <f t="shared" si="3"/>
        <v>224</v>
      </c>
      <c r="N5" s="8"/>
      <c r="O5" s="8">
        <v>13.555</v>
      </c>
      <c r="P5" s="8">
        <v>14.888</v>
      </c>
      <c r="Q5" s="8">
        <f t="shared" si="4"/>
        <v>199.101</v>
      </c>
      <c r="R5" s="54">
        <v>270385.0</v>
      </c>
      <c r="S5" s="54">
        <v>270486.0</v>
      </c>
      <c r="T5" s="54">
        <v>270486.0</v>
      </c>
      <c r="U5" s="55">
        <v>270588.0</v>
      </c>
      <c r="V5" s="16">
        <f t="shared" si="5"/>
        <v>101</v>
      </c>
      <c r="W5" s="16">
        <f t="shared" si="6"/>
        <v>102</v>
      </c>
    </row>
    <row r="6" ht="15.75" customHeight="1">
      <c r="A6" s="7">
        <v>5.0</v>
      </c>
      <c r="B6" s="8" t="s">
        <v>23</v>
      </c>
      <c r="C6" s="8" t="s">
        <v>28</v>
      </c>
      <c r="D6" s="9">
        <v>7.0</v>
      </c>
      <c r="E6" s="9">
        <v>7.0</v>
      </c>
      <c r="F6" s="10"/>
      <c r="G6" s="52">
        <v>114.0</v>
      </c>
      <c r="H6" s="53"/>
      <c r="I6" s="13">
        <f t="shared" si="1"/>
        <v>76</v>
      </c>
      <c r="J6" s="53"/>
      <c r="K6" s="52">
        <v>190.0</v>
      </c>
      <c r="L6" s="13">
        <f t="shared" si="2"/>
        <v>0</v>
      </c>
      <c r="M6" s="13">
        <f t="shared" si="3"/>
        <v>190</v>
      </c>
      <c r="N6" s="8"/>
      <c r="O6" s="8">
        <v>13.555</v>
      </c>
      <c r="P6" s="8">
        <v>14.888</v>
      </c>
      <c r="Q6" s="8">
        <f t="shared" si="4"/>
        <v>199.101</v>
      </c>
      <c r="R6" s="54">
        <v>280121.0</v>
      </c>
      <c r="S6" s="54">
        <v>280208.0</v>
      </c>
      <c r="T6" s="54">
        <v>280208.0</v>
      </c>
      <c r="U6" s="55">
        <v>280324.0</v>
      </c>
      <c r="V6" s="16">
        <f t="shared" si="5"/>
        <v>87</v>
      </c>
      <c r="W6" s="16">
        <f t="shared" si="6"/>
        <v>116</v>
      </c>
    </row>
    <row r="7" ht="15.75" customHeight="1">
      <c r="A7" s="7">
        <v>6.0</v>
      </c>
      <c r="B7" s="8" t="s">
        <v>23</v>
      </c>
      <c r="C7" s="8" t="s">
        <v>29</v>
      </c>
      <c r="D7" s="9">
        <v>7.0</v>
      </c>
      <c r="E7" s="9">
        <v>7.0</v>
      </c>
      <c r="F7" s="10"/>
      <c r="G7" s="52">
        <v>98.0</v>
      </c>
      <c r="H7" s="53"/>
      <c r="I7" s="13">
        <f t="shared" si="1"/>
        <v>108</v>
      </c>
      <c r="J7" s="53"/>
      <c r="K7" s="52">
        <v>206.0</v>
      </c>
      <c r="L7" s="13">
        <f t="shared" si="2"/>
        <v>0</v>
      </c>
      <c r="M7" s="13">
        <f t="shared" si="3"/>
        <v>206</v>
      </c>
      <c r="N7" s="8"/>
      <c r="O7" s="8">
        <v>13.555</v>
      </c>
      <c r="P7" s="8">
        <v>14.888</v>
      </c>
      <c r="Q7" s="8">
        <f t="shared" si="4"/>
        <v>199.101</v>
      </c>
      <c r="R7" s="54">
        <v>277410.0</v>
      </c>
      <c r="S7" s="54">
        <v>277512.0</v>
      </c>
      <c r="T7" s="54">
        <v>277512.0</v>
      </c>
      <c r="U7" s="55">
        <v>277614.0</v>
      </c>
      <c r="V7" s="16">
        <f t="shared" si="5"/>
        <v>102</v>
      </c>
      <c r="W7" s="16">
        <f t="shared" si="6"/>
        <v>102</v>
      </c>
    </row>
    <row r="8" ht="15.75" customHeight="1">
      <c r="A8" s="7">
        <v>7.0</v>
      </c>
      <c r="B8" s="8" t="s">
        <v>23</v>
      </c>
      <c r="C8" s="8" t="s">
        <v>30</v>
      </c>
      <c r="D8" s="9">
        <v>7.0</v>
      </c>
      <c r="E8" s="9">
        <v>7.0</v>
      </c>
      <c r="F8" s="10"/>
      <c r="G8" s="52">
        <v>61.0</v>
      </c>
      <c r="H8" s="53"/>
      <c r="I8" s="13">
        <f t="shared" si="1"/>
        <v>138</v>
      </c>
      <c r="J8" s="53"/>
      <c r="K8" s="52">
        <v>199.0</v>
      </c>
      <c r="L8" s="13">
        <f t="shared" si="2"/>
        <v>0</v>
      </c>
      <c r="M8" s="13">
        <f t="shared" si="3"/>
        <v>199</v>
      </c>
      <c r="N8" s="8"/>
      <c r="O8" s="8">
        <v>13.555</v>
      </c>
      <c r="P8" s="8">
        <v>14.888</v>
      </c>
      <c r="Q8" s="8">
        <f t="shared" si="4"/>
        <v>199.101</v>
      </c>
      <c r="R8" s="54">
        <v>270105.0</v>
      </c>
      <c r="S8" s="54">
        <v>270193.0</v>
      </c>
      <c r="T8" s="54">
        <v>270193.0</v>
      </c>
      <c r="U8" s="55">
        <v>270309.0</v>
      </c>
      <c r="V8" s="16">
        <f t="shared" si="5"/>
        <v>88</v>
      </c>
      <c r="W8" s="16">
        <f t="shared" si="6"/>
        <v>116</v>
      </c>
    </row>
    <row r="9" ht="15.75" customHeight="1">
      <c r="A9" s="7">
        <v>8.0</v>
      </c>
      <c r="B9" s="8" t="s">
        <v>23</v>
      </c>
      <c r="C9" s="8" t="s">
        <v>32</v>
      </c>
      <c r="D9" s="9">
        <v>7.0</v>
      </c>
      <c r="E9" s="9">
        <v>7.0</v>
      </c>
      <c r="F9" s="10"/>
      <c r="G9" s="52">
        <v>73.0</v>
      </c>
      <c r="H9" s="53"/>
      <c r="I9" s="13">
        <f t="shared" si="1"/>
        <v>153</v>
      </c>
      <c r="J9" s="53"/>
      <c r="K9" s="52">
        <v>226.0</v>
      </c>
      <c r="L9" s="13">
        <f t="shared" si="2"/>
        <v>0</v>
      </c>
      <c r="M9" s="13">
        <f t="shared" si="3"/>
        <v>226</v>
      </c>
      <c r="N9" s="8"/>
      <c r="O9" s="8">
        <v>13.555</v>
      </c>
      <c r="P9" s="8">
        <v>14.888</v>
      </c>
      <c r="Q9" s="8">
        <f t="shared" si="4"/>
        <v>199.101</v>
      </c>
      <c r="R9" s="54">
        <v>277567.0</v>
      </c>
      <c r="S9" s="54">
        <v>277655.0</v>
      </c>
      <c r="T9" s="54">
        <v>277655.0</v>
      </c>
      <c r="U9" s="55">
        <v>277771.0</v>
      </c>
      <c r="V9" s="16">
        <f t="shared" si="5"/>
        <v>88</v>
      </c>
      <c r="W9" s="16">
        <f t="shared" si="6"/>
        <v>116</v>
      </c>
    </row>
    <row r="10" ht="15.75" customHeight="1">
      <c r="A10" s="7">
        <v>9.0</v>
      </c>
      <c r="B10" s="8" t="s">
        <v>23</v>
      </c>
      <c r="C10" s="8" t="s">
        <v>33</v>
      </c>
      <c r="D10" s="9">
        <v>7.0</v>
      </c>
      <c r="E10" s="9">
        <v>7.0</v>
      </c>
      <c r="F10" s="10"/>
      <c r="G10" s="52">
        <v>86.0</v>
      </c>
      <c r="H10" s="53"/>
      <c r="I10" s="13">
        <f t="shared" si="1"/>
        <v>125</v>
      </c>
      <c r="J10" s="53"/>
      <c r="K10" s="52">
        <v>211.0</v>
      </c>
      <c r="L10" s="13">
        <f t="shared" si="2"/>
        <v>0</v>
      </c>
      <c r="M10" s="13">
        <f t="shared" si="3"/>
        <v>211</v>
      </c>
      <c r="N10" s="8"/>
      <c r="O10" s="8">
        <v>13.555</v>
      </c>
      <c r="P10" s="8">
        <v>14.888</v>
      </c>
      <c r="Q10" s="8">
        <f t="shared" si="4"/>
        <v>199.101</v>
      </c>
      <c r="R10" s="54">
        <v>353013.0</v>
      </c>
      <c r="S10" s="54">
        <v>353100.0</v>
      </c>
      <c r="T10" s="54">
        <v>353100.0</v>
      </c>
      <c r="U10" s="55">
        <v>353217.0</v>
      </c>
      <c r="V10" s="16">
        <f t="shared" si="5"/>
        <v>87</v>
      </c>
      <c r="W10" s="16">
        <f t="shared" si="6"/>
        <v>117</v>
      </c>
    </row>
    <row r="11" ht="15.75" customHeight="1">
      <c r="A11" s="7">
        <v>10.0</v>
      </c>
      <c r="B11" s="8" t="s">
        <v>23</v>
      </c>
      <c r="C11" s="8" t="s">
        <v>34</v>
      </c>
      <c r="D11" s="9">
        <v>7.0</v>
      </c>
      <c r="E11" s="9">
        <v>7.0</v>
      </c>
      <c r="F11" s="10"/>
      <c r="G11" s="52">
        <v>91.0</v>
      </c>
      <c r="H11" s="53"/>
      <c r="I11" s="13">
        <f t="shared" si="1"/>
        <v>78</v>
      </c>
      <c r="J11" s="53"/>
      <c r="K11" s="52">
        <v>169.0</v>
      </c>
      <c r="L11" s="13">
        <f t="shared" si="2"/>
        <v>0</v>
      </c>
      <c r="M11" s="13">
        <f t="shared" si="3"/>
        <v>169</v>
      </c>
      <c r="N11" s="8"/>
      <c r="O11" s="8">
        <v>13.555</v>
      </c>
      <c r="P11" s="8">
        <v>14.888</v>
      </c>
      <c r="Q11" s="8">
        <f t="shared" si="4"/>
        <v>199.101</v>
      </c>
      <c r="R11" s="54">
        <v>333574.0</v>
      </c>
      <c r="S11" s="54">
        <v>333661.0</v>
      </c>
      <c r="T11" s="54">
        <v>333661.0</v>
      </c>
      <c r="U11" s="55">
        <v>333776.0</v>
      </c>
      <c r="V11" s="16">
        <f t="shared" si="5"/>
        <v>87</v>
      </c>
      <c r="W11" s="16">
        <f t="shared" si="6"/>
        <v>115</v>
      </c>
    </row>
    <row r="12" ht="15.75" customHeight="1">
      <c r="A12" s="7">
        <v>11.0</v>
      </c>
      <c r="B12" s="8" t="s">
        <v>23</v>
      </c>
      <c r="C12" s="8" t="s">
        <v>36</v>
      </c>
      <c r="D12" s="9">
        <v>7.0</v>
      </c>
      <c r="E12" s="9">
        <v>7.0</v>
      </c>
      <c r="F12" s="10"/>
      <c r="G12" s="52">
        <v>104.0</v>
      </c>
      <c r="H12" s="53"/>
      <c r="I12" s="13">
        <f t="shared" si="1"/>
        <v>112</v>
      </c>
      <c r="J12" s="53"/>
      <c r="K12" s="52">
        <v>216.0</v>
      </c>
      <c r="L12" s="13">
        <f t="shared" si="2"/>
        <v>0</v>
      </c>
      <c r="M12" s="13">
        <f t="shared" si="3"/>
        <v>216</v>
      </c>
      <c r="N12" s="8"/>
      <c r="O12" s="8">
        <v>13.555</v>
      </c>
      <c r="P12" s="8">
        <v>14.888</v>
      </c>
      <c r="Q12" s="8">
        <f t="shared" si="4"/>
        <v>199.101</v>
      </c>
      <c r="R12" s="54">
        <v>367224.0</v>
      </c>
      <c r="S12" s="54">
        <v>367311.0</v>
      </c>
      <c r="T12" s="54">
        <v>367311.0</v>
      </c>
      <c r="U12" s="55">
        <v>367427.0</v>
      </c>
      <c r="V12" s="16">
        <f t="shared" si="5"/>
        <v>87</v>
      </c>
      <c r="W12" s="16">
        <f t="shared" si="6"/>
        <v>116</v>
      </c>
    </row>
    <row r="13" ht="15.75" customHeight="1">
      <c r="A13" s="7">
        <v>12.0</v>
      </c>
      <c r="B13" s="8" t="s">
        <v>23</v>
      </c>
      <c r="C13" s="8" t="s">
        <v>37</v>
      </c>
      <c r="D13" s="9">
        <v>7.0</v>
      </c>
      <c r="E13" s="9">
        <v>7.0</v>
      </c>
      <c r="F13" s="10"/>
      <c r="G13" s="52">
        <v>83.0</v>
      </c>
      <c r="H13" s="53"/>
      <c r="I13" s="13">
        <f t="shared" si="1"/>
        <v>137</v>
      </c>
      <c r="J13" s="53"/>
      <c r="K13" s="52">
        <v>220.0</v>
      </c>
      <c r="L13" s="13">
        <f t="shared" si="2"/>
        <v>0</v>
      </c>
      <c r="M13" s="13">
        <f t="shared" si="3"/>
        <v>220</v>
      </c>
      <c r="N13" s="8"/>
      <c r="O13" s="8">
        <v>13.555</v>
      </c>
      <c r="P13" s="8">
        <v>14.888</v>
      </c>
      <c r="Q13" s="8">
        <f t="shared" si="4"/>
        <v>199.101</v>
      </c>
      <c r="R13" s="54">
        <v>271534.0</v>
      </c>
      <c r="S13" s="54">
        <v>271621.0</v>
      </c>
      <c r="T13" s="54">
        <v>271621.0</v>
      </c>
      <c r="U13" s="55">
        <v>271737.0</v>
      </c>
      <c r="V13" s="16">
        <f t="shared" si="5"/>
        <v>87</v>
      </c>
      <c r="W13" s="16">
        <f t="shared" si="6"/>
        <v>116</v>
      </c>
    </row>
    <row r="14" ht="15.75" customHeight="1">
      <c r="A14" s="7">
        <v>13.0</v>
      </c>
      <c r="B14" s="8" t="s">
        <v>23</v>
      </c>
      <c r="C14" s="8" t="s">
        <v>38</v>
      </c>
      <c r="D14" s="9">
        <v>7.0</v>
      </c>
      <c r="E14" s="9">
        <v>7.0</v>
      </c>
      <c r="F14" s="10"/>
      <c r="G14" s="52">
        <v>110.0</v>
      </c>
      <c r="H14" s="53"/>
      <c r="I14" s="13">
        <f t="shared" si="1"/>
        <v>86</v>
      </c>
      <c r="J14" s="53"/>
      <c r="K14" s="52">
        <v>196.0</v>
      </c>
      <c r="L14" s="13">
        <f t="shared" si="2"/>
        <v>0</v>
      </c>
      <c r="M14" s="13">
        <f t="shared" si="3"/>
        <v>196</v>
      </c>
      <c r="N14" s="8"/>
      <c r="O14" s="8">
        <v>13.555</v>
      </c>
      <c r="P14" s="8">
        <v>14.888</v>
      </c>
      <c r="Q14" s="8">
        <f t="shared" si="4"/>
        <v>199.101</v>
      </c>
      <c r="R14" s="54">
        <v>365500.0</v>
      </c>
      <c r="S14" s="54">
        <v>365587.0</v>
      </c>
      <c r="T14" s="54">
        <v>365587.0</v>
      </c>
      <c r="U14" s="55">
        <v>365703.0</v>
      </c>
      <c r="V14" s="16">
        <f t="shared" si="5"/>
        <v>87</v>
      </c>
      <c r="W14" s="16">
        <f t="shared" si="6"/>
        <v>116</v>
      </c>
    </row>
    <row r="15" ht="15.75" customHeight="1">
      <c r="A15" s="7">
        <v>14.0</v>
      </c>
      <c r="B15" s="8" t="s">
        <v>23</v>
      </c>
      <c r="C15" s="8" t="s">
        <v>39</v>
      </c>
      <c r="D15" s="9">
        <v>7.0</v>
      </c>
      <c r="E15" s="9">
        <v>7.0</v>
      </c>
      <c r="F15" s="10"/>
      <c r="G15" s="52">
        <v>135.0</v>
      </c>
      <c r="H15" s="53"/>
      <c r="I15" s="13">
        <f t="shared" si="1"/>
        <v>138</v>
      </c>
      <c r="J15" s="53"/>
      <c r="K15" s="52">
        <v>273.0</v>
      </c>
      <c r="L15" s="13">
        <f t="shared" si="2"/>
        <v>0</v>
      </c>
      <c r="M15" s="13">
        <f t="shared" si="3"/>
        <v>273</v>
      </c>
      <c r="N15" s="8"/>
      <c r="O15" s="8">
        <v>13.555</v>
      </c>
      <c r="P15" s="8">
        <v>14.888</v>
      </c>
      <c r="Q15" s="8">
        <f t="shared" si="4"/>
        <v>199.101</v>
      </c>
      <c r="R15" s="54">
        <v>313279.0</v>
      </c>
      <c r="S15" s="54">
        <v>313365.0</v>
      </c>
      <c r="T15" s="54">
        <v>313365.0</v>
      </c>
      <c r="U15" s="55">
        <v>313483.0</v>
      </c>
      <c r="V15" s="16">
        <f t="shared" si="5"/>
        <v>86</v>
      </c>
      <c r="W15" s="16">
        <f t="shared" si="6"/>
        <v>118</v>
      </c>
    </row>
    <row r="16" ht="15.75" customHeight="1">
      <c r="A16" s="7">
        <v>15.0</v>
      </c>
      <c r="B16" s="8" t="s">
        <v>23</v>
      </c>
      <c r="C16" s="8" t="s">
        <v>40</v>
      </c>
      <c r="D16" s="9">
        <v>7.0</v>
      </c>
      <c r="E16" s="9">
        <v>7.0</v>
      </c>
      <c r="F16" s="10"/>
      <c r="G16" s="52">
        <v>114.0</v>
      </c>
      <c r="H16" s="53"/>
      <c r="I16" s="13">
        <f t="shared" si="1"/>
        <v>138</v>
      </c>
      <c r="J16" s="53"/>
      <c r="K16" s="52">
        <v>252.0</v>
      </c>
      <c r="L16" s="13">
        <f t="shared" si="2"/>
        <v>0</v>
      </c>
      <c r="M16" s="13">
        <f t="shared" si="3"/>
        <v>252</v>
      </c>
      <c r="N16" s="8"/>
      <c r="O16" s="8">
        <v>13.555</v>
      </c>
      <c r="P16" s="8">
        <v>14.888</v>
      </c>
      <c r="Q16" s="8">
        <f t="shared" si="4"/>
        <v>199.101</v>
      </c>
      <c r="R16" s="54">
        <v>411230.0</v>
      </c>
      <c r="S16" s="54">
        <v>411317.0</v>
      </c>
      <c r="T16" s="54">
        <v>411317.0</v>
      </c>
      <c r="U16" s="55">
        <v>411433.0</v>
      </c>
      <c r="V16" s="16">
        <f t="shared" si="5"/>
        <v>87</v>
      </c>
      <c r="W16" s="16">
        <f t="shared" si="6"/>
        <v>116</v>
      </c>
    </row>
    <row r="17" ht="15.75" customHeight="1">
      <c r="A17" s="7">
        <v>16.0</v>
      </c>
      <c r="B17" s="8" t="s">
        <v>23</v>
      </c>
      <c r="C17" s="27" t="s">
        <v>41</v>
      </c>
      <c r="D17" s="28"/>
      <c r="E17" s="28"/>
      <c r="F17" s="29"/>
      <c r="G17" s="64"/>
      <c r="H17" s="64"/>
      <c r="I17" s="31">
        <f t="shared" si="1"/>
        <v>0</v>
      </c>
      <c r="J17" s="64"/>
      <c r="K17" s="64"/>
      <c r="L17" s="31">
        <f t="shared" si="2"/>
        <v>0</v>
      </c>
      <c r="M17" s="31">
        <f t="shared" si="3"/>
        <v>0</v>
      </c>
      <c r="N17" s="28" t="s">
        <v>68</v>
      </c>
      <c r="O17" s="27">
        <v>13.555</v>
      </c>
      <c r="P17" s="27">
        <v>14.888</v>
      </c>
      <c r="Q17" s="27">
        <f t="shared" si="4"/>
        <v>0</v>
      </c>
      <c r="R17" s="65"/>
      <c r="S17" s="65"/>
      <c r="T17" s="65"/>
      <c r="U17" s="66"/>
      <c r="V17" s="34">
        <f t="shared" si="5"/>
        <v>0</v>
      </c>
      <c r="W17" s="34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9">
        <v>7.0</v>
      </c>
      <c r="E18" s="9">
        <v>7.0</v>
      </c>
      <c r="F18" s="10"/>
      <c r="G18" s="52">
        <v>90.0</v>
      </c>
      <c r="H18" s="53"/>
      <c r="I18" s="13">
        <f t="shared" si="1"/>
        <v>118</v>
      </c>
      <c r="J18" s="53"/>
      <c r="K18" s="52">
        <v>208.0</v>
      </c>
      <c r="L18" s="13">
        <f t="shared" si="2"/>
        <v>0</v>
      </c>
      <c r="M18" s="13">
        <f t="shared" si="3"/>
        <v>208</v>
      </c>
      <c r="N18" s="8"/>
      <c r="O18" s="8">
        <v>13.555</v>
      </c>
      <c r="P18" s="8">
        <v>14.888</v>
      </c>
      <c r="Q18" s="8">
        <f t="shared" si="4"/>
        <v>199.101</v>
      </c>
      <c r="R18" s="54">
        <v>268517.0</v>
      </c>
      <c r="S18" s="54">
        <v>268618.0</v>
      </c>
      <c r="T18" s="54">
        <v>268618.0</v>
      </c>
      <c r="U18" s="55">
        <v>268722.0</v>
      </c>
      <c r="V18" s="16">
        <f t="shared" si="5"/>
        <v>101</v>
      </c>
      <c r="W18" s="16">
        <f t="shared" si="6"/>
        <v>104</v>
      </c>
    </row>
    <row r="19" ht="15.75" customHeight="1">
      <c r="A19" s="7">
        <v>18.0</v>
      </c>
      <c r="B19" s="8" t="s">
        <v>23</v>
      </c>
      <c r="C19" s="8" t="s">
        <v>44</v>
      </c>
      <c r="D19" s="9">
        <v>7.0</v>
      </c>
      <c r="E19" s="9">
        <v>7.0</v>
      </c>
      <c r="F19" s="10"/>
      <c r="G19" s="52">
        <v>93.0</v>
      </c>
      <c r="H19" s="53"/>
      <c r="I19" s="13">
        <f t="shared" si="1"/>
        <v>146</v>
      </c>
      <c r="J19" s="53"/>
      <c r="K19" s="52">
        <v>239.0</v>
      </c>
      <c r="L19" s="13">
        <f t="shared" si="2"/>
        <v>0</v>
      </c>
      <c r="M19" s="13">
        <f t="shared" si="3"/>
        <v>239</v>
      </c>
      <c r="N19" s="8"/>
      <c r="O19" s="8">
        <v>13.555</v>
      </c>
      <c r="P19" s="8">
        <v>14.888</v>
      </c>
      <c r="Q19" s="8">
        <f t="shared" si="4"/>
        <v>199.101</v>
      </c>
      <c r="R19" s="54">
        <v>286589.0</v>
      </c>
      <c r="S19" s="54">
        <v>286676.0</v>
      </c>
      <c r="T19" s="54">
        <v>286676.0</v>
      </c>
      <c r="U19" s="55">
        <v>286792.0</v>
      </c>
      <c r="V19" s="16">
        <f t="shared" si="5"/>
        <v>87</v>
      </c>
      <c r="W19" s="16">
        <f t="shared" si="6"/>
        <v>116</v>
      </c>
    </row>
    <row r="20" ht="15.75" customHeight="1">
      <c r="A20" s="7">
        <v>19.0</v>
      </c>
      <c r="B20" s="8" t="s">
        <v>23</v>
      </c>
      <c r="C20" s="8" t="s">
        <v>45</v>
      </c>
      <c r="D20" s="9">
        <v>7.0</v>
      </c>
      <c r="E20" s="9">
        <v>7.0</v>
      </c>
      <c r="F20" s="10"/>
      <c r="G20" s="52">
        <v>137.0</v>
      </c>
      <c r="H20" s="53"/>
      <c r="I20" s="13">
        <f t="shared" si="1"/>
        <v>91</v>
      </c>
      <c r="J20" s="53"/>
      <c r="K20" s="52">
        <v>228.0</v>
      </c>
      <c r="L20" s="13">
        <f t="shared" si="2"/>
        <v>0</v>
      </c>
      <c r="M20" s="13">
        <f t="shared" si="3"/>
        <v>228</v>
      </c>
      <c r="N20" s="8"/>
      <c r="O20" s="8">
        <v>13.555</v>
      </c>
      <c r="P20" s="8">
        <v>14.888</v>
      </c>
      <c r="Q20" s="8">
        <f t="shared" si="4"/>
        <v>199.101</v>
      </c>
      <c r="R20" s="54">
        <v>284933.0</v>
      </c>
      <c r="S20" s="54">
        <v>285034.0</v>
      </c>
      <c r="T20" s="54">
        <v>285034.0</v>
      </c>
      <c r="U20" s="55">
        <v>285137.0</v>
      </c>
      <c r="V20" s="16">
        <f t="shared" si="5"/>
        <v>101</v>
      </c>
      <c r="W20" s="16">
        <f t="shared" si="6"/>
        <v>103</v>
      </c>
    </row>
    <row r="21" ht="15.75" customHeight="1">
      <c r="A21" s="7">
        <v>20.0</v>
      </c>
      <c r="B21" s="8" t="s">
        <v>23</v>
      </c>
      <c r="C21" s="57" t="s">
        <v>46</v>
      </c>
      <c r="D21" s="58"/>
      <c r="E21" s="58"/>
      <c r="F21" s="121"/>
      <c r="G21" s="59"/>
      <c r="H21" s="59"/>
      <c r="I21" s="60">
        <f t="shared" si="1"/>
        <v>0</v>
      </c>
      <c r="J21" s="59"/>
      <c r="K21" s="59"/>
      <c r="L21" s="60">
        <f t="shared" si="2"/>
        <v>0</v>
      </c>
      <c r="M21" s="60">
        <f t="shared" si="3"/>
        <v>0</v>
      </c>
      <c r="N21" s="58" t="s">
        <v>76</v>
      </c>
      <c r="O21" s="57">
        <v>13.555</v>
      </c>
      <c r="P21" s="57">
        <v>14.888</v>
      </c>
      <c r="Q21" s="57">
        <f t="shared" si="4"/>
        <v>0</v>
      </c>
      <c r="R21" s="61"/>
      <c r="S21" s="61"/>
      <c r="T21" s="61"/>
      <c r="U21" s="62"/>
      <c r="V21" s="63">
        <f t="shared" si="5"/>
        <v>0</v>
      </c>
      <c r="W21" s="63">
        <f t="shared" si="6"/>
        <v>0</v>
      </c>
    </row>
    <row r="22" ht="15.75" customHeight="1">
      <c r="A22" s="7">
        <v>21.0</v>
      </c>
      <c r="B22" s="8" t="s">
        <v>23</v>
      </c>
      <c r="C22" s="57" t="s">
        <v>47</v>
      </c>
      <c r="D22" s="58"/>
      <c r="E22" s="58"/>
      <c r="F22" s="121"/>
      <c r="G22" s="59"/>
      <c r="H22" s="59"/>
      <c r="I22" s="60">
        <f t="shared" si="1"/>
        <v>0</v>
      </c>
      <c r="J22" s="59"/>
      <c r="K22" s="59"/>
      <c r="L22" s="60">
        <f t="shared" si="2"/>
        <v>0</v>
      </c>
      <c r="M22" s="60">
        <f t="shared" si="3"/>
        <v>0</v>
      </c>
      <c r="N22" s="58" t="s">
        <v>76</v>
      </c>
      <c r="O22" s="57">
        <v>13.555</v>
      </c>
      <c r="P22" s="57">
        <v>14.888</v>
      </c>
      <c r="Q22" s="57">
        <f t="shared" si="4"/>
        <v>0</v>
      </c>
      <c r="R22" s="61"/>
      <c r="S22" s="61"/>
      <c r="T22" s="61"/>
      <c r="U22" s="62"/>
      <c r="V22" s="63">
        <f t="shared" si="5"/>
        <v>0</v>
      </c>
      <c r="W22" s="63">
        <f t="shared" si="6"/>
        <v>0</v>
      </c>
    </row>
    <row r="23" ht="15.75" customHeight="1">
      <c r="A23" s="7">
        <v>22.0</v>
      </c>
      <c r="B23" s="8" t="s">
        <v>23</v>
      </c>
      <c r="C23" s="57" t="s">
        <v>48</v>
      </c>
      <c r="D23" s="58"/>
      <c r="E23" s="58"/>
      <c r="F23" s="121"/>
      <c r="G23" s="59"/>
      <c r="H23" s="59"/>
      <c r="I23" s="60">
        <f t="shared" si="1"/>
        <v>0</v>
      </c>
      <c r="J23" s="59"/>
      <c r="K23" s="59"/>
      <c r="L23" s="60">
        <f t="shared" si="2"/>
        <v>0</v>
      </c>
      <c r="M23" s="60">
        <f t="shared" si="3"/>
        <v>0</v>
      </c>
      <c r="N23" s="58" t="s">
        <v>76</v>
      </c>
      <c r="O23" s="57">
        <v>13.555</v>
      </c>
      <c r="P23" s="57">
        <v>14.888</v>
      </c>
      <c r="Q23" s="57">
        <f t="shared" si="4"/>
        <v>0</v>
      </c>
      <c r="R23" s="61"/>
      <c r="S23" s="61"/>
      <c r="T23" s="61"/>
      <c r="U23" s="62"/>
      <c r="V23" s="63">
        <f t="shared" si="5"/>
        <v>0</v>
      </c>
      <c r="W23" s="63">
        <f t="shared" si="6"/>
        <v>0</v>
      </c>
    </row>
    <row r="24" ht="15.75" customHeight="1">
      <c r="A24" s="7">
        <v>23.0</v>
      </c>
      <c r="B24" s="8" t="s">
        <v>23</v>
      </c>
      <c r="C24" s="57" t="s">
        <v>49</v>
      </c>
      <c r="D24" s="58"/>
      <c r="E24" s="58"/>
      <c r="F24" s="121"/>
      <c r="G24" s="59"/>
      <c r="H24" s="59"/>
      <c r="I24" s="60">
        <f t="shared" si="1"/>
        <v>0</v>
      </c>
      <c r="J24" s="59"/>
      <c r="K24" s="59"/>
      <c r="L24" s="60">
        <f t="shared" si="2"/>
        <v>0</v>
      </c>
      <c r="M24" s="60">
        <f t="shared" si="3"/>
        <v>0</v>
      </c>
      <c r="N24" s="58" t="s">
        <v>76</v>
      </c>
      <c r="O24" s="57">
        <v>13.555</v>
      </c>
      <c r="P24" s="57">
        <v>14.888</v>
      </c>
      <c r="Q24" s="57">
        <f t="shared" si="4"/>
        <v>0</v>
      </c>
      <c r="R24" s="61"/>
      <c r="S24" s="61"/>
      <c r="T24" s="61"/>
      <c r="U24" s="62"/>
      <c r="V24" s="63">
        <f t="shared" si="5"/>
        <v>0</v>
      </c>
      <c r="W24" s="63">
        <f t="shared" si="6"/>
        <v>0</v>
      </c>
    </row>
    <row r="25" ht="15.75" customHeight="1">
      <c r="A25" s="7">
        <v>24.0</v>
      </c>
      <c r="B25" s="8" t="s">
        <v>23</v>
      </c>
      <c r="C25" s="57" t="s">
        <v>50</v>
      </c>
      <c r="D25" s="58"/>
      <c r="E25" s="58"/>
      <c r="F25" s="121"/>
      <c r="G25" s="59"/>
      <c r="H25" s="59"/>
      <c r="I25" s="60">
        <f t="shared" si="1"/>
        <v>0</v>
      </c>
      <c r="J25" s="59"/>
      <c r="K25" s="59"/>
      <c r="L25" s="60">
        <f t="shared" si="2"/>
        <v>0</v>
      </c>
      <c r="M25" s="60">
        <f t="shared" si="3"/>
        <v>0</v>
      </c>
      <c r="N25" s="58" t="s">
        <v>76</v>
      </c>
      <c r="O25" s="57">
        <v>13.555</v>
      </c>
      <c r="P25" s="57">
        <v>14.888</v>
      </c>
      <c r="Q25" s="57">
        <f t="shared" si="4"/>
        <v>0</v>
      </c>
      <c r="R25" s="61"/>
      <c r="S25" s="61"/>
      <c r="T25" s="61"/>
      <c r="U25" s="62"/>
      <c r="V25" s="63">
        <f t="shared" si="5"/>
        <v>0</v>
      </c>
      <c r="W25" s="63">
        <f t="shared" si="6"/>
        <v>0</v>
      </c>
    </row>
    <row r="26" ht="15.75" customHeight="1">
      <c r="A26" s="7">
        <v>25.0</v>
      </c>
      <c r="B26" s="8" t="s">
        <v>23</v>
      </c>
      <c r="C26" s="57" t="s">
        <v>51</v>
      </c>
      <c r="D26" s="58"/>
      <c r="E26" s="58"/>
      <c r="F26" s="121"/>
      <c r="G26" s="59"/>
      <c r="H26" s="59"/>
      <c r="I26" s="60">
        <f t="shared" si="1"/>
        <v>0</v>
      </c>
      <c r="J26" s="59"/>
      <c r="K26" s="59"/>
      <c r="L26" s="60">
        <f t="shared" si="2"/>
        <v>0</v>
      </c>
      <c r="M26" s="60">
        <f t="shared" si="3"/>
        <v>0</v>
      </c>
      <c r="N26" s="58" t="s">
        <v>76</v>
      </c>
      <c r="O26" s="57">
        <v>13.555</v>
      </c>
      <c r="P26" s="57">
        <v>14.888</v>
      </c>
      <c r="Q26" s="57">
        <f t="shared" si="4"/>
        <v>0</v>
      </c>
      <c r="R26" s="61"/>
      <c r="S26" s="61"/>
      <c r="T26" s="61"/>
      <c r="U26" s="62"/>
      <c r="V26" s="63">
        <f t="shared" si="5"/>
        <v>0</v>
      </c>
      <c r="W26" s="63">
        <f t="shared" si="6"/>
        <v>0</v>
      </c>
    </row>
    <row r="27" ht="15.75" customHeight="1">
      <c r="A27" s="7">
        <v>26.0</v>
      </c>
      <c r="B27" s="8" t="s">
        <v>23</v>
      </c>
      <c r="C27" s="57" t="s">
        <v>52</v>
      </c>
      <c r="D27" s="58"/>
      <c r="E27" s="58"/>
      <c r="F27" s="121"/>
      <c r="G27" s="59"/>
      <c r="H27" s="59"/>
      <c r="I27" s="60">
        <f t="shared" si="1"/>
        <v>0</v>
      </c>
      <c r="J27" s="59"/>
      <c r="K27" s="59"/>
      <c r="L27" s="60">
        <f t="shared" si="2"/>
        <v>0</v>
      </c>
      <c r="M27" s="60">
        <f t="shared" si="3"/>
        <v>0</v>
      </c>
      <c r="N27" s="58" t="s">
        <v>76</v>
      </c>
      <c r="O27" s="57">
        <v>13.555</v>
      </c>
      <c r="P27" s="57">
        <v>14.888</v>
      </c>
      <c r="Q27" s="57">
        <f t="shared" si="4"/>
        <v>0</v>
      </c>
      <c r="R27" s="61"/>
      <c r="S27" s="61"/>
      <c r="T27" s="61"/>
      <c r="U27" s="62"/>
      <c r="V27" s="63">
        <f t="shared" si="5"/>
        <v>0</v>
      </c>
      <c r="W27" s="63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9">
        <v>7.0</v>
      </c>
      <c r="E28" s="9">
        <v>7.0</v>
      </c>
      <c r="F28" s="10"/>
      <c r="G28" s="52">
        <v>96.0</v>
      </c>
      <c r="H28" s="53"/>
      <c r="I28" s="13">
        <f t="shared" si="1"/>
        <v>155</v>
      </c>
      <c r="J28" s="53"/>
      <c r="K28" s="52">
        <v>251.0</v>
      </c>
      <c r="L28" s="13">
        <f t="shared" si="2"/>
        <v>0</v>
      </c>
      <c r="M28" s="13">
        <f t="shared" si="3"/>
        <v>251</v>
      </c>
      <c r="N28" s="8"/>
      <c r="O28" s="8">
        <v>13.555</v>
      </c>
      <c r="P28" s="8">
        <v>14.888</v>
      </c>
      <c r="Q28" s="8">
        <f t="shared" si="4"/>
        <v>199.101</v>
      </c>
      <c r="R28" s="54">
        <v>268604.0</v>
      </c>
      <c r="S28" s="54">
        <v>268691.0</v>
      </c>
      <c r="T28" s="54">
        <v>268691.0</v>
      </c>
      <c r="U28" s="55">
        <v>268807.0</v>
      </c>
      <c r="V28" s="16">
        <f t="shared" si="5"/>
        <v>87</v>
      </c>
      <c r="W28" s="16">
        <f t="shared" si="6"/>
        <v>116</v>
      </c>
    </row>
    <row r="29" ht="15.75" customHeight="1">
      <c r="A29" s="7">
        <v>28.0</v>
      </c>
      <c r="B29" s="8" t="s">
        <v>23</v>
      </c>
      <c r="C29" s="8" t="s">
        <v>54</v>
      </c>
      <c r="D29" s="9">
        <v>7.0</v>
      </c>
      <c r="E29" s="9">
        <v>7.0</v>
      </c>
      <c r="F29" s="10"/>
      <c r="G29" s="52">
        <v>119.0</v>
      </c>
      <c r="H29" s="53"/>
      <c r="I29" s="13">
        <f t="shared" si="1"/>
        <v>125</v>
      </c>
      <c r="J29" s="53"/>
      <c r="K29" s="52">
        <v>244.0</v>
      </c>
      <c r="L29" s="13">
        <f t="shared" si="2"/>
        <v>0</v>
      </c>
      <c r="M29" s="13">
        <f t="shared" si="3"/>
        <v>244</v>
      </c>
      <c r="N29" s="8"/>
      <c r="O29" s="8">
        <v>13.555</v>
      </c>
      <c r="P29" s="8">
        <v>14.888</v>
      </c>
      <c r="Q29" s="8">
        <f t="shared" si="4"/>
        <v>199.101</v>
      </c>
      <c r="R29" s="54">
        <v>264338.0</v>
      </c>
      <c r="S29" s="54">
        <v>264425.0</v>
      </c>
      <c r="T29" s="54">
        <v>264425.0</v>
      </c>
      <c r="U29" s="55">
        <v>264540.0</v>
      </c>
      <c r="V29" s="16">
        <f t="shared" si="5"/>
        <v>87</v>
      </c>
      <c r="W29" s="16">
        <f t="shared" si="6"/>
        <v>115</v>
      </c>
    </row>
    <row r="30" ht="15.75" customHeight="1">
      <c r="A30" s="7">
        <v>29.0</v>
      </c>
      <c r="B30" s="8" t="s">
        <v>23</v>
      </c>
      <c r="C30" s="8" t="s">
        <v>55</v>
      </c>
      <c r="D30" s="9">
        <v>7.0</v>
      </c>
      <c r="E30" s="9">
        <v>7.0</v>
      </c>
      <c r="F30" s="10"/>
      <c r="G30" s="52">
        <v>133.0</v>
      </c>
      <c r="H30" s="53"/>
      <c r="I30" s="13">
        <f t="shared" si="1"/>
        <v>95</v>
      </c>
      <c r="J30" s="53"/>
      <c r="K30" s="52">
        <v>228.0</v>
      </c>
      <c r="L30" s="13">
        <f t="shared" si="2"/>
        <v>0</v>
      </c>
      <c r="M30" s="13">
        <f t="shared" si="3"/>
        <v>228</v>
      </c>
      <c r="N30" s="8"/>
      <c r="O30" s="8">
        <v>13.555</v>
      </c>
      <c r="P30" s="8">
        <v>14.888</v>
      </c>
      <c r="Q30" s="8">
        <f t="shared" si="4"/>
        <v>199.101</v>
      </c>
      <c r="R30" s="54">
        <v>271728.0</v>
      </c>
      <c r="S30" s="54">
        <v>271829.0</v>
      </c>
      <c r="T30" s="54">
        <v>271829.0</v>
      </c>
      <c r="U30" s="55">
        <v>271931.0</v>
      </c>
      <c r="V30" s="16">
        <f t="shared" si="5"/>
        <v>101</v>
      </c>
      <c r="W30" s="16">
        <f t="shared" si="6"/>
        <v>102</v>
      </c>
    </row>
    <row r="31" ht="15.75" customHeight="1">
      <c r="A31" s="7">
        <v>30.0</v>
      </c>
      <c r="B31" s="8" t="s">
        <v>23</v>
      </c>
      <c r="C31" s="8" t="s">
        <v>56</v>
      </c>
      <c r="D31" s="9">
        <v>7.0</v>
      </c>
      <c r="E31" s="9">
        <v>7.0</v>
      </c>
      <c r="F31" s="10"/>
      <c r="G31" s="52">
        <v>111.0</v>
      </c>
      <c r="H31" s="53"/>
      <c r="I31" s="13">
        <f t="shared" si="1"/>
        <v>142</v>
      </c>
      <c r="J31" s="53"/>
      <c r="K31" s="52">
        <v>253.0</v>
      </c>
      <c r="L31" s="13">
        <f t="shared" si="2"/>
        <v>0</v>
      </c>
      <c r="M31" s="13">
        <f t="shared" si="3"/>
        <v>253</v>
      </c>
      <c r="N31" s="8"/>
      <c r="O31" s="8">
        <v>13.555</v>
      </c>
      <c r="P31" s="8">
        <v>14.888</v>
      </c>
      <c r="Q31" s="8">
        <f t="shared" si="4"/>
        <v>199.101</v>
      </c>
      <c r="R31" s="54">
        <v>273177.0</v>
      </c>
      <c r="S31" s="54">
        <v>273264.0</v>
      </c>
      <c r="T31" s="54">
        <v>273264.0</v>
      </c>
      <c r="U31" s="55">
        <v>273382.0</v>
      </c>
      <c r="V31" s="16">
        <f t="shared" si="5"/>
        <v>87</v>
      </c>
      <c r="W31" s="16">
        <f t="shared" si="6"/>
        <v>118</v>
      </c>
    </row>
    <row r="32" ht="15.75" customHeight="1">
      <c r="A32" s="35"/>
      <c r="B32" s="35"/>
      <c r="C32" s="36"/>
      <c r="D32" s="37" t="s">
        <v>57</v>
      </c>
      <c r="E32" s="38">
        <f>SUM(M:M)</f>
        <v>4941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4380.222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>
        <f>E32/E33</f>
        <v>1.128025018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>
        <f>AVERAGEIF(Q:Q,"&gt;0",Q:Q)</f>
        <v>199.101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2236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2236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2705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2705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4941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5.25"/>
    <col customWidth="1" min="2" max="2" width="10.63"/>
    <col customWidth="1" min="3" max="3" width="12.63"/>
    <col customWidth="1" min="4" max="4" width="17.0"/>
    <col customWidth="1" min="5" max="5" width="16.88"/>
    <col customWidth="1" min="6" max="6" width="11.75"/>
    <col customWidth="1" min="7" max="7" width="8.0"/>
    <col customWidth="1" min="8" max="9" width="8.63"/>
    <col customWidth="1" min="10" max="10" width="8.5"/>
    <col customWidth="1" min="11" max="11" width="10.13"/>
    <col customWidth="1" min="12" max="12" width="9.25"/>
    <col customWidth="1" min="14" max="14" width="23.38"/>
    <col customWidth="1" min="18" max="18" width="8.0"/>
    <col customWidth="1" min="19" max="19" width="8.38"/>
    <col customWidth="1" min="20" max="22" width="7.75"/>
    <col customWidth="1" min="23" max="23" width="8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9">
        <v>7.0</v>
      </c>
      <c r="E2" s="9">
        <v>7.0</v>
      </c>
      <c r="F2" s="12"/>
      <c r="G2" s="11">
        <v>102.0</v>
      </c>
      <c r="H2" s="12"/>
      <c r="I2" s="13">
        <f t="shared" ref="I2:I31" si="1">max(0,K2-G2)</f>
        <v>129</v>
      </c>
      <c r="J2" s="12"/>
      <c r="K2" s="11">
        <v>231.0</v>
      </c>
      <c r="L2" s="13">
        <f t="shared" ref="L2:L31" si="2">J2+H2</f>
        <v>0</v>
      </c>
      <c r="M2" s="13">
        <f t="shared" ref="M2:M31" si="3">G2+H2+I2+J2</f>
        <v>231</v>
      </c>
      <c r="N2" s="8"/>
      <c r="O2" s="8">
        <v>13.555</v>
      </c>
      <c r="P2" s="8">
        <v>14.888</v>
      </c>
      <c r="Q2" s="8">
        <f t="shared" ref="Q2:Q31" si="4">(O2*D2)+(P2*E2)</f>
        <v>199.101</v>
      </c>
      <c r="R2" s="14">
        <v>293981.0</v>
      </c>
      <c r="S2" s="14">
        <v>294068.0</v>
      </c>
      <c r="T2" s="14">
        <v>294068.0</v>
      </c>
      <c r="U2" s="15">
        <v>294184.0</v>
      </c>
      <c r="V2" s="16">
        <f t="shared" ref="V2:V31" si="5">S2-R2</f>
        <v>87</v>
      </c>
      <c r="W2" s="16">
        <f t="shared" ref="W2:W31" si="6">U2-T2</f>
        <v>116</v>
      </c>
    </row>
    <row r="3" ht="15.75" customHeight="1">
      <c r="A3" s="7">
        <v>2.0</v>
      </c>
      <c r="B3" s="8" t="s">
        <v>23</v>
      </c>
      <c r="C3" s="8" t="s">
        <v>25</v>
      </c>
      <c r="D3" s="9">
        <v>7.0</v>
      </c>
      <c r="E3" s="9">
        <v>7.0</v>
      </c>
      <c r="F3" s="12"/>
      <c r="G3" s="11">
        <v>129.0</v>
      </c>
      <c r="H3" s="12"/>
      <c r="I3" s="13">
        <f t="shared" si="1"/>
        <v>135</v>
      </c>
      <c r="J3" s="12"/>
      <c r="K3" s="11">
        <v>264.0</v>
      </c>
      <c r="L3" s="13">
        <f t="shared" si="2"/>
        <v>0</v>
      </c>
      <c r="M3" s="13">
        <f t="shared" si="3"/>
        <v>264</v>
      </c>
      <c r="N3" s="8"/>
      <c r="O3" s="8">
        <v>13.555</v>
      </c>
      <c r="P3" s="8">
        <v>14.888</v>
      </c>
      <c r="Q3" s="8">
        <f t="shared" si="4"/>
        <v>199.101</v>
      </c>
      <c r="R3" s="14">
        <v>275170.0</v>
      </c>
      <c r="S3" s="14">
        <v>275260.0</v>
      </c>
      <c r="T3" s="14">
        <v>275260.0</v>
      </c>
      <c r="U3" s="15">
        <v>275376.0</v>
      </c>
      <c r="V3" s="16">
        <f t="shared" si="5"/>
        <v>90</v>
      </c>
      <c r="W3" s="16">
        <f t="shared" si="6"/>
        <v>116</v>
      </c>
    </row>
    <row r="4" ht="15.75" customHeight="1">
      <c r="A4" s="7">
        <v>3.0</v>
      </c>
      <c r="B4" s="8" t="s">
        <v>23</v>
      </c>
      <c r="C4" s="8" t="s">
        <v>26</v>
      </c>
      <c r="D4" s="9">
        <v>7.0</v>
      </c>
      <c r="E4" s="9">
        <v>7.0</v>
      </c>
      <c r="F4" s="12"/>
      <c r="G4" s="11">
        <v>91.0</v>
      </c>
      <c r="H4" s="12"/>
      <c r="I4" s="13">
        <f t="shared" si="1"/>
        <v>148</v>
      </c>
      <c r="J4" s="12"/>
      <c r="K4" s="11">
        <v>239.0</v>
      </c>
      <c r="L4" s="13">
        <f t="shared" si="2"/>
        <v>0</v>
      </c>
      <c r="M4" s="13">
        <f t="shared" si="3"/>
        <v>239</v>
      </c>
      <c r="N4" s="8"/>
      <c r="O4" s="8">
        <v>13.555</v>
      </c>
      <c r="P4" s="8">
        <v>14.888</v>
      </c>
      <c r="Q4" s="8">
        <f t="shared" si="4"/>
        <v>199.101</v>
      </c>
      <c r="R4" s="14">
        <v>458692.0</v>
      </c>
      <c r="S4" s="14">
        <v>458779.0</v>
      </c>
      <c r="T4" s="14">
        <v>458779.0</v>
      </c>
      <c r="U4" s="15">
        <v>458895.0</v>
      </c>
      <c r="V4" s="16">
        <f t="shared" si="5"/>
        <v>87</v>
      </c>
      <c r="W4" s="16">
        <f t="shared" si="6"/>
        <v>116</v>
      </c>
    </row>
    <row r="5" ht="15.75" customHeight="1">
      <c r="A5" s="7">
        <v>4.0</v>
      </c>
      <c r="B5" s="8" t="s">
        <v>23</v>
      </c>
      <c r="C5" s="8" t="s">
        <v>27</v>
      </c>
      <c r="D5" s="9">
        <v>7.0</v>
      </c>
      <c r="E5" s="9">
        <v>7.0</v>
      </c>
      <c r="F5" s="12"/>
      <c r="G5" s="11">
        <v>120.0</v>
      </c>
      <c r="H5" s="12"/>
      <c r="I5" s="13">
        <f t="shared" si="1"/>
        <v>91</v>
      </c>
      <c r="J5" s="12"/>
      <c r="K5" s="11">
        <v>211.0</v>
      </c>
      <c r="L5" s="13">
        <f t="shared" si="2"/>
        <v>0</v>
      </c>
      <c r="M5" s="13">
        <f t="shared" si="3"/>
        <v>211</v>
      </c>
      <c r="N5" s="8"/>
      <c r="O5" s="8">
        <v>13.555</v>
      </c>
      <c r="P5" s="8">
        <v>14.888</v>
      </c>
      <c r="Q5" s="8">
        <f t="shared" si="4"/>
        <v>199.101</v>
      </c>
      <c r="R5" s="14">
        <v>270598.0</v>
      </c>
      <c r="S5" s="14">
        <v>270699.0</v>
      </c>
      <c r="T5" s="14">
        <v>270699.0</v>
      </c>
      <c r="U5" s="15">
        <v>270801.0</v>
      </c>
      <c r="V5" s="16">
        <f t="shared" si="5"/>
        <v>101</v>
      </c>
      <c r="W5" s="16">
        <f t="shared" si="6"/>
        <v>102</v>
      </c>
    </row>
    <row r="6" ht="15.75" customHeight="1">
      <c r="A6" s="7">
        <v>5.0</v>
      </c>
      <c r="B6" s="8" t="s">
        <v>23</v>
      </c>
      <c r="C6" s="8" t="s">
        <v>28</v>
      </c>
      <c r="D6" s="9">
        <v>7.0</v>
      </c>
      <c r="E6" s="9">
        <v>7.0</v>
      </c>
      <c r="F6" s="12"/>
      <c r="G6" s="11">
        <v>121.0</v>
      </c>
      <c r="H6" s="12"/>
      <c r="I6" s="13">
        <f t="shared" si="1"/>
        <v>129</v>
      </c>
      <c r="J6" s="12"/>
      <c r="K6" s="11">
        <v>250.0</v>
      </c>
      <c r="L6" s="13">
        <f t="shared" si="2"/>
        <v>0</v>
      </c>
      <c r="M6" s="13">
        <f t="shared" si="3"/>
        <v>250</v>
      </c>
      <c r="N6" s="8"/>
      <c r="O6" s="8">
        <v>13.555</v>
      </c>
      <c r="P6" s="8">
        <v>14.888</v>
      </c>
      <c r="Q6" s="8">
        <f t="shared" si="4"/>
        <v>199.101</v>
      </c>
      <c r="R6" s="14">
        <v>280337.0</v>
      </c>
      <c r="S6" s="14">
        <v>280425.0</v>
      </c>
      <c r="T6" s="14">
        <v>280425.0</v>
      </c>
      <c r="U6" s="15">
        <v>280541.0</v>
      </c>
      <c r="V6" s="16">
        <f t="shared" si="5"/>
        <v>88</v>
      </c>
      <c r="W6" s="16">
        <f t="shared" si="6"/>
        <v>116</v>
      </c>
    </row>
    <row r="7" ht="15.75" customHeight="1">
      <c r="A7" s="7">
        <v>6.0</v>
      </c>
      <c r="B7" s="8" t="s">
        <v>23</v>
      </c>
      <c r="C7" s="8" t="s">
        <v>29</v>
      </c>
      <c r="D7" s="9">
        <v>7.0</v>
      </c>
      <c r="E7" s="9">
        <v>7.0</v>
      </c>
      <c r="F7" s="12"/>
      <c r="G7" s="11">
        <v>115.0</v>
      </c>
      <c r="H7" s="12"/>
      <c r="I7" s="13">
        <f t="shared" si="1"/>
        <v>65</v>
      </c>
      <c r="J7" s="12"/>
      <c r="K7" s="11">
        <v>180.0</v>
      </c>
      <c r="L7" s="13">
        <f t="shared" si="2"/>
        <v>0</v>
      </c>
      <c r="M7" s="13">
        <f t="shared" si="3"/>
        <v>180</v>
      </c>
      <c r="N7" s="8"/>
      <c r="O7" s="8">
        <v>13.555</v>
      </c>
      <c r="P7" s="8">
        <v>14.888</v>
      </c>
      <c r="Q7" s="8">
        <f t="shared" si="4"/>
        <v>199.101</v>
      </c>
      <c r="R7" s="14">
        <v>277619.0</v>
      </c>
      <c r="S7" s="14">
        <v>277721.0</v>
      </c>
      <c r="T7" s="14">
        <v>277721.0</v>
      </c>
      <c r="U7" s="15">
        <v>277823.0</v>
      </c>
      <c r="V7" s="16">
        <f t="shared" si="5"/>
        <v>102</v>
      </c>
      <c r="W7" s="16">
        <f t="shared" si="6"/>
        <v>102</v>
      </c>
    </row>
    <row r="8" ht="15.75" customHeight="1">
      <c r="A8" s="7">
        <v>7.0</v>
      </c>
      <c r="B8" s="8" t="s">
        <v>23</v>
      </c>
      <c r="C8" s="8" t="s">
        <v>30</v>
      </c>
      <c r="D8" s="9">
        <v>7.0</v>
      </c>
      <c r="E8" s="9">
        <v>7.0</v>
      </c>
      <c r="F8" s="12"/>
      <c r="G8" s="11">
        <v>94.0</v>
      </c>
      <c r="H8" s="12"/>
      <c r="I8" s="13">
        <f t="shared" si="1"/>
        <v>120</v>
      </c>
      <c r="J8" s="12"/>
      <c r="K8" s="11">
        <v>214.0</v>
      </c>
      <c r="L8" s="13">
        <f t="shared" si="2"/>
        <v>0</v>
      </c>
      <c r="M8" s="13">
        <f t="shared" si="3"/>
        <v>214</v>
      </c>
      <c r="N8" s="8"/>
      <c r="O8" s="8">
        <v>13.555</v>
      </c>
      <c r="P8" s="8">
        <v>14.888</v>
      </c>
      <c r="Q8" s="8">
        <f t="shared" si="4"/>
        <v>199.101</v>
      </c>
      <c r="R8" s="14">
        <v>270326.0</v>
      </c>
      <c r="S8" s="14">
        <v>270414.0</v>
      </c>
      <c r="T8" s="14">
        <v>270414.0</v>
      </c>
      <c r="U8" s="15">
        <v>270530.0</v>
      </c>
      <c r="V8" s="16">
        <f t="shared" si="5"/>
        <v>88</v>
      </c>
      <c r="W8" s="16">
        <f t="shared" si="6"/>
        <v>116</v>
      </c>
    </row>
    <row r="9" ht="15.75" customHeight="1">
      <c r="A9" s="7">
        <v>8.0</v>
      </c>
      <c r="B9" s="8" t="s">
        <v>23</v>
      </c>
      <c r="C9" s="8" t="s">
        <v>32</v>
      </c>
      <c r="D9" s="9">
        <v>7.0</v>
      </c>
      <c r="E9" s="9">
        <v>7.0</v>
      </c>
      <c r="F9" s="12"/>
      <c r="G9" s="11">
        <v>75.0</v>
      </c>
      <c r="H9" s="11"/>
      <c r="I9" s="13">
        <f t="shared" si="1"/>
        <v>168</v>
      </c>
      <c r="J9" s="12"/>
      <c r="K9" s="11">
        <v>243.0</v>
      </c>
      <c r="L9" s="13">
        <f t="shared" si="2"/>
        <v>0</v>
      </c>
      <c r="M9" s="13">
        <f t="shared" si="3"/>
        <v>243</v>
      </c>
      <c r="N9" s="8"/>
      <c r="O9" s="8">
        <v>13.555</v>
      </c>
      <c r="P9" s="8">
        <v>14.888</v>
      </c>
      <c r="Q9" s="8">
        <f t="shared" si="4"/>
        <v>199.101</v>
      </c>
      <c r="R9" s="14">
        <v>277778.0</v>
      </c>
      <c r="S9" s="14">
        <v>277877.0</v>
      </c>
      <c r="T9" s="14">
        <v>277877.0</v>
      </c>
      <c r="U9" s="15">
        <v>277993.0</v>
      </c>
      <c r="V9" s="16">
        <f t="shared" si="5"/>
        <v>99</v>
      </c>
      <c r="W9" s="16">
        <f t="shared" si="6"/>
        <v>116</v>
      </c>
    </row>
    <row r="10" ht="15.75" customHeight="1">
      <c r="A10" s="7">
        <v>9.0</v>
      </c>
      <c r="B10" s="8" t="s">
        <v>23</v>
      </c>
      <c r="C10" s="8" t="s">
        <v>33</v>
      </c>
      <c r="D10" s="9">
        <v>7.0</v>
      </c>
      <c r="E10" s="9">
        <v>7.0</v>
      </c>
      <c r="F10" s="12"/>
      <c r="G10" s="11">
        <v>84.0</v>
      </c>
      <c r="H10" s="12"/>
      <c r="I10" s="13">
        <f t="shared" si="1"/>
        <v>156</v>
      </c>
      <c r="J10" s="12"/>
      <c r="K10" s="11">
        <v>240.0</v>
      </c>
      <c r="L10" s="13">
        <f t="shared" si="2"/>
        <v>0</v>
      </c>
      <c r="M10" s="13">
        <f t="shared" si="3"/>
        <v>240</v>
      </c>
      <c r="N10" s="8"/>
      <c r="O10" s="8">
        <v>13.555</v>
      </c>
      <c r="P10" s="8">
        <v>14.888</v>
      </c>
      <c r="Q10" s="8">
        <f t="shared" si="4"/>
        <v>199.101</v>
      </c>
      <c r="R10" s="14">
        <v>353225.0</v>
      </c>
      <c r="S10" s="14">
        <v>353312.0</v>
      </c>
      <c r="T10" s="14">
        <v>353312.0</v>
      </c>
      <c r="U10" s="15">
        <v>353428.0</v>
      </c>
      <c r="V10" s="16">
        <f t="shared" si="5"/>
        <v>87</v>
      </c>
      <c r="W10" s="16">
        <f t="shared" si="6"/>
        <v>116</v>
      </c>
    </row>
    <row r="11" ht="15.75" customHeight="1">
      <c r="A11" s="7">
        <v>10.0</v>
      </c>
      <c r="B11" s="8" t="s">
        <v>23</v>
      </c>
      <c r="C11" s="8" t="s">
        <v>34</v>
      </c>
      <c r="D11" s="9">
        <v>7.0</v>
      </c>
      <c r="E11" s="9">
        <v>7.0</v>
      </c>
      <c r="F11" s="12"/>
      <c r="G11" s="11">
        <v>127.0</v>
      </c>
      <c r="H11" s="12"/>
      <c r="I11" s="13">
        <f t="shared" si="1"/>
        <v>119</v>
      </c>
      <c r="J11" s="12"/>
      <c r="K11" s="11">
        <v>246.0</v>
      </c>
      <c r="L11" s="13">
        <f t="shared" si="2"/>
        <v>0</v>
      </c>
      <c r="M11" s="13">
        <f t="shared" si="3"/>
        <v>246</v>
      </c>
      <c r="N11" s="8"/>
      <c r="O11" s="8">
        <v>13.555</v>
      </c>
      <c r="P11" s="8">
        <v>14.888</v>
      </c>
      <c r="Q11" s="8">
        <f t="shared" si="4"/>
        <v>199.101</v>
      </c>
      <c r="R11" s="14">
        <v>333784.0</v>
      </c>
      <c r="S11" s="14">
        <v>333871.0</v>
      </c>
      <c r="T11" s="14">
        <v>333871.0</v>
      </c>
      <c r="U11" s="15">
        <v>333987.0</v>
      </c>
      <c r="V11" s="16">
        <f t="shared" si="5"/>
        <v>87</v>
      </c>
      <c r="W11" s="16">
        <f t="shared" si="6"/>
        <v>116</v>
      </c>
    </row>
    <row r="12" ht="15.75" customHeight="1">
      <c r="A12" s="7">
        <v>11.0</v>
      </c>
      <c r="B12" s="8" t="s">
        <v>23</v>
      </c>
      <c r="C12" s="8" t="s">
        <v>36</v>
      </c>
      <c r="D12" s="9">
        <v>7.0</v>
      </c>
      <c r="E12" s="9">
        <v>7.0</v>
      </c>
      <c r="F12" s="12"/>
      <c r="G12" s="11">
        <v>100.0</v>
      </c>
      <c r="H12" s="12"/>
      <c r="I12" s="13">
        <f t="shared" si="1"/>
        <v>101</v>
      </c>
      <c r="J12" s="12"/>
      <c r="K12" s="11">
        <v>201.0</v>
      </c>
      <c r="L12" s="13">
        <f t="shared" si="2"/>
        <v>0</v>
      </c>
      <c r="M12" s="13">
        <f t="shared" si="3"/>
        <v>201</v>
      </c>
      <c r="N12" s="8"/>
      <c r="O12" s="8">
        <v>13.555</v>
      </c>
      <c r="P12" s="8">
        <v>14.888</v>
      </c>
      <c r="Q12" s="8">
        <f t="shared" si="4"/>
        <v>199.101</v>
      </c>
      <c r="R12" s="14">
        <v>367435.0</v>
      </c>
      <c r="S12" s="14">
        <v>367536.0</v>
      </c>
      <c r="T12" s="14">
        <v>367536.0</v>
      </c>
      <c r="U12" s="15">
        <v>367637.0</v>
      </c>
      <c r="V12" s="16">
        <f t="shared" si="5"/>
        <v>101</v>
      </c>
      <c r="W12" s="16">
        <f t="shared" si="6"/>
        <v>101</v>
      </c>
    </row>
    <row r="13" ht="15.75" customHeight="1">
      <c r="A13" s="7">
        <v>12.0</v>
      </c>
      <c r="B13" s="8" t="s">
        <v>23</v>
      </c>
      <c r="C13" s="8" t="s">
        <v>37</v>
      </c>
      <c r="D13" s="9">
        <v>7.0</v>
      </c>
      <c r="E13" s="9">
        <v>7.0</v>
      </c>
      <c r="F13" s="12"/>
      <c r="G13" s="11">
        <v>102.0</v>
      </c>
      <c r="H13" s="12"/>
      <c r="I13" s="13">
        <f t="shared" si="1"/>
        <v>96</v>
      </c>
      <c r="J13" s="12"/>
      <c r="K13" s="11">
        <v>198.0</v>
      </c>
      <c r="L13" s="13">
        <f t="shared" si="2"/>
        <v>0</v>
      </c>
      <c r="M13" s="13">
        <f t="shared" si="3"/>
        <v>198</v>
      </c>
      <c r="N13" s="8"/>
      <c r="O13" s="8">
        <v>13.555</v>
      </c>
      <c r="P13" s="8">
        <v>14.888</v>
      </c>
      <c r="Q13" s="8">
        <f t="shared" si="4"/>
        <v>199.101</v>
      </c>
      <c r="R13" s="14">
        <v>271747.0</v>
      </c>
      <c r="S13" s="14">
        <v>271848.0</v>
      </c>
      <c r="T13" s="14">
        <v>271848.0</v>
      </c>
      <c r="U13" s="15">
        <v>271950.0</v>
      </c>
      <c r="V13" s="16">
        <f t="shared" si="5"/>
        <v>101</v>
      </c>
      <c r="W13" s="16">
        <f t="shared" si="6"/>
        <v>102</v>
      </c>
    </row>
    <row r="14" ht="15.75" customHeight="1">
      <c r="A14" s="7">
        <v>13.0</v>
      </c>
      <c r="B14" s="8" t="s">
        <v>23</v>
      </c>
      <c r="C14" s="8" t="s">
        <v>38</v>
      </c>
      <c r="D14" s="9">
        <v>7.0</v>
      </c>
      <c r="E14" s="9">
        <v>7.0</v>
      </c>
      <c r="F14" s="12"/>
      <c r="G14" s="11">
        <v>114.0</v>
      </c>
      <c r="H14" s="12"/>
      <c r="I14" s="13">
        <f t="shared" si="1"/>
        <v>143</v>
      </c>
      <c r="J14" s="12"/>
      <c r="K14" s="11">
        <v>257.0</v>
      </c>
      <c r="L14" s="13">
        <f t="shared" si="2"/>
        <v>0</v>
      </c>
      <c r="M14" s="13">
        <f t="shared" si="3"/>
        <v>257</v>
      </c>
      <c r="N14" s="8"/>
      <c r="O14" s="8">
        <v>13.555</v>
      </c>
      <c r="P14" s="8">
        <v>14.888</v>
      </c>
      <c r="Q14" s="8">
        <f t="shared" si="4"/>
        <v>199.101</v>
      </c>
      <c r="R14" s="14">
        <v>365716.0</v>
      </c>
      <c r="S14" s="14">
        <v>365804.0</v>
      </c>
      <c r="T14" s="14">
        <v>365804.0</v>
      </c>
      <c r="U14" s="15">
        <v>365920.0</v>
      </c>
      <c r="V14" s="16">
        <f t="shared" si="5"/>
        <v>88</v>
      </c>
      <c r="W14" s="16">
        <f t="shared" si="6"/>
        <v>116</v>
      </c>
    </row>
    <row r="15" ht="15.75" customHeight="1">
      <c r="A15" s="7">
        <v>14.0</v>
      </c>
      <c r="B15" s="8" t="s">
        <v>23</v>
      </c>
      <c r="C15" s="8" t="s">
        <v>39</v>
      </c>
      <c r="D15" s="9">
        <v>7.0</v>
      </c>
      <c r="E15" s="9">
        <v>7.0</v>
      </c>
      <c r="F15" s="12"/>
      <c r="G15" s="11">
        <v>118.0</v>
      </c>
      <c r="H15" s="12"/>
      <c r="I15" s="13">
        <f t="shared" si="1"/>
        <v>129</v>
      </c>
      <c r="J15" s="12"/>
      <c r="K15" s="11">
        <v>247.0</v>
      </c>
      <c r="L15" s="13">
        <f t="shared" si="2"/>
        <v>0</v>
      </c>
      <c r="M15" s="13">
        <f t="shared" si="3"/>
        <v>247</v>
      </c>
      <c r="N15" s="8"/>
      <c r="O15" s="8">
        <v>13.555</v>
      </c>
      <c r="P15" s="8">
        <v>14.888</v>
      </c>
      <c r="Q15" s="8">
        <f t="shared" si="4"/>
        <v>199.101</v>
      </c>
      <c r="R15" s="14">
        <v>313484.0</v>
      </c>
      <c r="S15" s="14">
        <v>313571.0</v>
      </c>
      <c r="T15" s="14">
        <v>313571.0</v>
      </c>
      <c r="U15" s="15">
        <v>313687.0</v>
      </c>
      <c r="V15" s="16">
        <f t="shared" si="5"/>
        <v>87</v>
      </c>
      <c r="W15" s="16">
        <f t="shared" si="6"/>
        <v>116</v>
      </c>
    </row>
    <row r="16" ht="15.75" customHeight="1">
      <c r="A16" s="7">
        <v>15.0</v>
      </c>
      <c r="B16" s="8" t="s">
        <v>23</v>
      </c>
      <c r="C16" s="8" t="s">
        <v>40</v>
      </c>
      <c r="D16" s="9">
        <v>7.0</v>
      </c>
      <c r="E16" s="9">
        <v>7.0</v>
      </c>
      <c r="F16" s="12"/>
      <c r="G16" s="11">
        <v>113.0</v>
      </c>
      <c r="H16" s="12"/>
      <c r="I16" s="13">
        <f t="shared" si="1"/>
        <v>127</v>
      </c>
      <c r="J16" s="12"/>
      <c r="K16" s="11">
        <v>240.0</v>
      </c>
      <c r="L16" s="13">
        <f t="shared" si="2"/>
        <v>0</v>
      </c>
      <c r="M16" s="13">
        <f t="shared" si="3"/>
        <v>240</v>
      </c>
      <c r="N16" s="8"/>
      <c r="O16" s="8">
        <v>13.555</v>
      </c>
      <c r="P16" s="8">
        <v>14.888</v>
      </c>
      <c r="Q16" s="8">
        <f t="shared" si="4"/>
        <v>199.101</v>
      </c>
      <c r="R16" s="14">
        <v>411447.0</v>
      </c>
      <c r="S16" s="14">
        <v>411549.0</v>
      </c>
      <c r="T16" s="14">
        <v>411549.0</v>
      </c>
      <c r="U16" s="15">
        <v>411651.0</v>
      </c>
      <c r="V16" s="16">
        <f t="shared" si="5"/>
        <v>102</v>
      </c>
      <c r="W16" s="16">
        <f t="shared" si="6"/>
        <v>102</v>
      </c>
    </row>
    <row r="17" ht="15.75" customHeight="1">
      <c r="A17" s="7">
        <v>16.0</v>
      </c>
      <c r="B17" s="8" t="s">
        <v>23</v>
      </c>
      <c r="C17" s="57" t="s">
        <v>41</v>
      </c>
      <c r="D17" s="58"/>
      <c r="E17" s="58"/>
      <c r="F17" s="122"/>
      <c r="G17" s="122"/>
      <c r="H17" s="122"/>
      <c r="I17" s="60">
        <f t="shared" si="1"/>
        <v>0</v>
      </c>
      <c r="J17" s="122"/>
      <c r="K17" s="122"/>
      <c r="L17" s="60">
        <f t="shared" si="2"/>
        <v>0</v>
      </c>
      <c r="M17" s="60">
        <f t="shared" si="3"/>
        <v>0</v>
      </c>
      <c r="N17" s="58" t="s">
        <v>68</v>
      </c>
      <c r="O17" s="57">
        <v>13.555</v>
      </c>
      <c r="P17" s="57">
        <v>14.888</v>
      </c>
      <c r="Q17" s="57">
        <f t="shared" si="4"/>
        <v>0</v>
      </c>
      <c r="R17" s="123"/>
      <c r="S17" s="123"/>
      <c r="T17" s="123"/>
      <c r="U17" s="124"/>
      <c r="V17" s="63">
        <f t="shared" si="5"/>
        <v>0</v>
      </c>
      <c r="W17" s="63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9">
        <v>7.0</v>
      </c>
      <c r="E18" s="9">
        <v>7.0</v>
      </c>
      <c r="F18" s="12"/>
      <c r="G18" s="11">
        <v>116.0</v>
      </c>
      <c r="H18" s="12"/>
      <c r="I18" s="13">
        <f t="shared" si="1"/>
        <v>120</v>
      </c>
      <c r="J18" s="12"/>
      <c r="K18" s="11">
        <v>236.0</v>
      </c>
      <c r="L18" s="13">
        <f t="shared" si="2"/>
        <v>0</v>
      </c>
      <c r="M18" s="13">
        <f t="shared" si="3"/>
        <v>236</v>
      </c>
      <c r="N18" s="8"/>
      <c r="O18" s="8">
        <v>13.555</v>
      </c>
      <c r="P18" s="8">
        <v>14.888</v>
      </c>
      <c r="Q18" s="8">
        <f t="shared" si="4"/>
        <v>199.101</v>
      </c>
      <c r="R18" s="14">
        <v>268730.0</v>
      </c>
      <c r="S18" s="14">
        <v>268831.0</v>
      </c>
      <c r="T18" s="14">
        <v>268831.0</v>
      </c>
      <c r="U18" s="15">
        <v>268933.0</v>
      </c>
      <c r="V18" s="16">
        <f t="shared" si="5"/>
        <v>101</v>
      </c>
      <c r="W18" s="16">
        <f t="shared" si="6"/>
        <v>102</v>
      </c>
    </row>
    <row r="19" ht="15.75" customHeight="1">
      <c r="A19" s="7">
        <v>18.0</v>
      </c>
      <c r="B19" s="8" t="s">
        <v>23</v>
      </c>
      <c r="C19" s="8" t="s">
        <v>44</v>
      </c>
      <c r="D19" s="9">
        <v>7.0</v>
      </c>
      <c r="E19" s="9">
        <v>7.0</v>
      </c>
      <c r="F19" s="12"/>
      <c r="G19" s="11">
        <v>128.0</v>
      </c>
      <c r="H19" s="12"/>
      <c r="I19" s="13">
        <f t="shared" si="1"/>
        <v>163</v>
      </c>
      <c r="J19" s="12"/>
      <c r="K19" s="11">
        <v>291.0</v>
      </c>
      <c r="L19" s="13">
        <f t="shared" si="2"/>
        <v>0</v>
      </c>
      <c r="M19" s="13">
        <f t="shared" si="3"/>
        <v>291</v>
      </c>
      <c r="N19" s="8"/>
      <c r="O19" s="8">
        <v>13.555</v>
      </c>
      <c r="P19" s="8">
        <v>14.888</v>
      </c>
      <c r="Q19" s="8">
        <f t="shared" si="4"/>
        <v>199.101</v>
      </c>
      <c r="R19" s="14">
        <v>286817.0</v>
      </c>
      <c r="S19" s="14">
        <v>286905.0</v>
      </c>
      <c r="T19" s="14">
        <v>286905.0</v>
      </c>
      <c r="U19" s="15">
        <v>287020.0</v>
      </c>
      <c r="V19" s="16">
        <f t="shared" si="5"/>
        <v>88</v>
      </c>
      <c r="W19" s="16">
        <f t="shared" si="6"/>
        <v>115</v>
      </c>
    </row>
    <row r="20" ht="15.75" customHeight="1">
      <c r="A20" s="7">
        <v>19.0</v>
      </c>
      <c r="B20" s="8" t="s">
        <v>23</v>
      </c>
      <c r="C20" s="8" t="s">
        <v>45</v>
      </c>
      <c r="D20" s="9">
        <v>7.0</v>
      </c>
      <c r="E20" s="9">
        <v>7.0</v>
      </c>
      <c r="F20" s="12"/>
      <c r="G20" s="11">
        <v>116.0</v>
      </c>
      <c r="H20" s="12"/>
      <c r="I20" s="13">
        <f t="shared" si="1"/>
        <v>155</v>
      </c>
      <c r="J20" s="12"/>
      <c r="K20" s="11">
        <v>271.0</v>
      </c>
      <c r="L20" s="13">
        <f t="shared" si="2"/>
        <v>0</v>
      </c>
      <c r="M20" s="13">
        <f t="shared" si="3"/>
        <v>271</v>
      </c>
      <c r="N20" s="8"/>
      <c r="O20" s="8">
        <v>13.555</v>
      </c>
      <c r="P20" s="8">
        <v>14.888</v>
      </c>
      <c r="Q20" s="8">
        <f t="shared" si="4"/>
        <v>199.101</v>
      </c>
      <c r="R20" s="14">
        <v>285142.0</v>
      </c>
      <c r="S20" s="14">
        <v>285243.0</v>
      </c>
      <c r="T20" s="14">
        <v>285243.0</v>
      </c>
      <c r="U20" s="15">
        <v>285346.0</v>
      </c>
      <c r="V20" s="16">
        <f t="shared" si="5"/>
        <v>101</v>
      </c>
      <c r="W20" s="16">
        <f t="shared" si="6"/>
        <v>103</v>
      </c>
    </row>
    <row r="21" ht="15.75" customHeight="1">
      <c r="A21" s="7">
        <v>20.0</v>
      </c>
      <c r="B21" s="8" t="s">
        <v>23</v>
      </c>
      <c r="C21" s="8" t="s">
        <v>46</v>
      </c>
      <c r="D21" s="9">
        <v>7.0</v>
      </c>
      <c r="E21" s="9">
        <v>7.0</v>
      </c>
      <c r="F21" s="12"/>
      <c r="G21" s="11">
        <v>118.0</v>
      </c>
      <c r="H21" s="12"/>
      <c r="I21" s="13">
        <f t="shared" si="1"/>
        <v>116</v>
      </c>
      <c r="J21" s="12"/>
      <c r="K21" s="11">
        <v>234.0</v>
      </c>
      <c r="L21" s="13">
        <f t="shared" si="2"/>
        <v>0</v>
      </c>
      <c r="M21" s="13">
        <f t="shared" si="3"/>
        <v>234</v>
      </c>
      <c r="N21" s="8"/>
      <c r="O21" s="8">
        <v>13.555</v>
      </c>
      <c r="P21" s="8">
        <v>14.888</v>
      </c>
      <c r="Q21" s="8">
        <f t="shared" si="4"/>
        <v>199.101</v>
      </c>
      <c r="R21" s="14">
        <v>275236.0</v>
      </c>
      <c r="S21" s="14">
        <v>275326.0</v>
      </c>
      <c r="T21" s="14">
        <v>275326.0</v>
      </c>
      <c r="U21" s="15">
        <v>275446.0</v>
      </c>
      <c r="V21" s="16">
        <f t="shared" si="5"/>
        <v>90</v>
      </c>
      <c r="W21" s="16">
        <f t="shared" si="6"/>
        <v>120</v>
      </c>
    </row>
    <row r="22" ht="15.75" customHeight="1">
      <c r="A22" s="7">
        <v>21.0</v>
      </c>
      <c r="B22" s="8" t="s">
        <v>23</v>
      </c>
      <c r="C22" s="8" t="s">
        <v>47</v>
      </c>
      <c r="D22" s="9">
        <v>7.0</v>
      </c>
      <c r="E22" s="9">
        <v>7.0</v>
      </c>
      <c r="F22" s="12"/>
      <c r="G22" s="11">
        <v>107.0</v>
      </c>
      <c r="H22" s="12"/>
      <c r="I22" s="13">
        <f t="shared" si="1"/>
        <v>150</v>
      </c>
      <c r="J22" s="12"/>
      <c r="K22" s="11">
        <v>257.0</v>
      </c>
      <c r="L22" s="13">
        <f t="shared" si="2"/>
        <v>0</v>
      </c>
      <c r="M22" s="13">
        <f t="shared" si="3"/>
        <v>257</v>
      </c>
      <c r="N22" s="8"/>
      <c r="O22" s="8">
        <v>13.555</v>
      </c>
      <c r="P22" s="8">
        <v>14.888</v>
      </c>
      <c r="Q22" s="8">
        <f t="shared" si="4"/>
        <v>199.101</v>
      </c>
      <c r="R22" s="14">
        <v>281016.0</v>
      </c>
      <c r="S22" s="14">
        <v>281106.0</v>
      </c>
      <c r="T22" s="14">
        <v>281106.0</v>
      </c>
      <c r="U22" s="15">
        <v>281223.0</v>
      </c>
      <c r="V22" s="16">
        <f t="shared" si="5"/>
        <v>90</v>
      </c>
      <c r="W22" s="16">
        <f t="shared" si="6"/>
        <v>117</v>
      </c>
    </row>
    <row r="23" ht="15.75" customHeight="1">
      <c r="A23" s="7">
        <v>22.0</v>
      </c>
      <c r="B23" s="8" t="s">
        <v>23</v>
      </c>
      <c r="C23" s="8" t="s">
        <v>48</v>
      </c>
      <c r="D23" s="9">
        <v>7.0</v>
      </c>
      <c r="E23" s="9">
        <v>7.0</v>
      </c>
      <c r="F23" s="12"/>
      <c r="G23" s="11">
        <v>130.0</v>
      </c>
      <c r="H23" s="12"/>
      <c r="I23" s="13">
        <f t="shared" si="1"/>
        <v>129</v>
      </c>
      <c r="J23" s="12"/>
      <c r="K23" s="11">
        <v>259.0</v>
      </c>
      <c r="L23" s="13">
        <f t="shared" si="2"/>
        <v>0</v>
      </c>
      <c r="M23" s="13">
        <f t="shared" si="3"/>
        <v>259</v>
      </c>
      <c r="N23" s="8"/>
      <c r="O23" s="8">
        <v>13.555</v>
      </c>
      <c r="P23" s="8">
        <v>14.888</v>
      </c>
      <c r="Q23" s="8">
        <f t="shared" si="4"/>
        <v>199.101</v>
      </c>
      <c r="R23" s="14">
        <v>276445.0</v>
      </c>
      <c r="S23" s="14">
        <v>276535.0</v>
      </c>
      <c r="T23" s="14">
        <v>276535.0</v>
      </c>
      <c r="U23" s="15">
        <v>276653.0</v>
      </c>
      <c r="V23" s="16">
        <f t="shared" si="5"/>
        <v>90</v>
      </c>
      <c r="W23" s="16">
        <f t="shared" si="6"/>
        <v>118</v>
      </c>
    </row>
    <row r="24" ht="15.75" customHeight="1">
      <c r="A24" s="7">
        <v>23.0</v>
      </c>
      <c r="B24" s="8" t="s">
        <v>23</v>
      </c>
      <c r="C24" s="8" t="s">
        <v>49</v>
      </c>
      <c r="D24" s="9">
        <v>7.0</v>
      </c>
      <c r="E24" s="9">
        <v>7.0</v>
      </c>
      <c r="F24" s="12"/>
      <c r="G24" s="11">
        <v>109.0</v>
      </c>
      <c r="H24" s="12"/>
      <c r="I24" s="13">
        <f t="shared" si="1"/>
        <v>157</v>
      </c>
      <c r="J24" s="12"/>
      <c r="K24" s="11">
        <v>266.0</v>
      </c>
      <c r="L24" s="13">
        <f t="shared" si="2"/>
        <v>0</v>
      </c>
      <c r="M24" s="13">
        <f t="shared" si="3"/>
        <v>266</v>
      </c>
      <c r="N24" s="8"/>
      <c r="O24" s="8">
        <v>13.555</v>
      </c>
      <c r="P24" s="8">
        <v>14.888</v>
      </c>
      <c r="Q24" s="8">
        <f t="shared" si="4"/>
        <v>199.101</v>
      </c>
      <c r="R24" s="14">
        <v>276111.0</v>
      </c>
      <c r="S24" s="14">
        <v>276198.0</v>
      </c>
      <c r="T24" s="14">
        <v>276198.0</v>
      </c>
      <c r="U24" s="15">
        <v>276314.0</v>
      </c>
      <c r="V24" s="16">
        <f t="shared" si="5"/>
        <v>87</v>
      </c>
      <c r="W24" s="16">
        <f t="shared" si="6"/>
        <v>116</v>
      </c>
    </row>
    <row r="25" ht="15.75" customHeight="1">
      <c r="A25" s="7">
        <v>24.0</v>
      </c>
      <c r="B25" s="8" t="s">
        <v>23</v>
      </c>
      <c r="C25" s="8" t="s">
        <v>50</v>
      </c>
      <c r="D25" s="9">
        <v>7.0</v>
      </c>
      <c r="E25" s="9">
        <v>7.0</v>
      </c>
      <c r="F25" s="12"/>
      <c r="G25" s="11">
        <v>103.0</v>
      </c>
      <c r="H25" s="12"/>
      <c r="I25" s="13">
        <f t="shared" si="1"/>
        <v>140</v>
      </c>
      <c r="J25" s="12"/>
      <c r="K25" s="11">
        <v>243.0</v>
      </c>
      <c r="L25" s="13">
        <f t="shared" si="2"/>
        <v>0</v>
      </c>
      <c r="M25" s="13">
        <f t="shared" si="3"/>
        <v>243</v>
      </c>
      <c r="N25" s="8"/>
      <c r="O25" s="8">
        <v>13.555</v>
      </c>
      <c r="P25" s="8">
        <v>14.888</v>
      </c>
      <c r="Q25" s="8">
        <f t="shared" si="4"/>
        <v>199.101</v>
      </c>
      <c r="R25" s="14">
        <v>315330.0</v>
      </c>
      <c r="S25" s="14">
        <v>315419.0</v>
      </c>
      <c r="T25" s="14">
        <v>315419.0</v>
      </c>
      <c r="U25" s="15">
        <v>315536.0</v>
      </c>
      <c r="V25" s="16">
        <f t="shared" si="5"/>
        <v>89</v>
      </c>
      <c r="W25" s="16">
        <f t="shared" si="6"/>
        <v>117</v>
      </c>
    </row>
    <row r="26" ht="15.75" customHeight="1">
      <c r="A26" s="7">
        <v>25.0</v>
      </c>
      <c r="B26" s="8" t="s">
        <v>23</v>
      </c>
      <c r="C26" s="8" t="s">
        <v>51</v>
      </c>
      <c r="D26" s="9">
        <v>7.0</v>
      </c>
      <c r="E26" s="9">
        <v>7.0</v>
      </c>
      <c r="F26" s="12"/>
      <c r="G26" s="11">
        <v>102.0</v>
      </c>
      <c r="H26" s="12"/>
      <c r="I26" s="13">
        <f t="shared" si="1"/>
        <v>128</v>
      </c>
      <c r="J26" s="12"/>
      <c r="K26" s="11">
        <v>230.0</v>
      </c>
      <c r="L26" s="13">
        <f t="shared" si="2"/>
        <v>0</v>
      </c>
      <c r="M26" s="13">
        <f t="shared" si="3"/>
        <v>230</v>
      </c>
      <c r="N26" s="8"/>
      <c r="O26" s="8">
        <v>13.555</v>
      </c>
      <c r="P26" s="8">
        <v>14.888</v>
      </c>
      <c r="Q26" s="8">
        <f t="shared" si="4"/>
        <v>199.101</v>
      </c>
      <c r="R26" s="14">
        <v>308906.0</v>
      </c>
      <c r="S26" s="14">
        <v>308993.0</v>
      </c>
      <c r="T26" s="14">
        <v>308993.0</v>
      </c>
      <c r="U26" s="15">
        <v>309108.0</v>
      </c>
      <c r="V26" s="16">
        <f t="shared" si="5"/>
        <v>87</v>
      </c>
      <c r="W26" s="16">
        <f t="shared" si="6"/>
        <v>115</v>
      </c>
    </row>
    <row r="27" ht="15.75" customHeight="1">
      <c r="A27" s="7">
        <v>26.0</v>
      </c>
      <c r="B27" s="8" t="s">
        <v>23</v>
      </c>
      <c r="C27" s="8" t="s">
        <v>52</v>
      </c>
      <c r="D27" s="9">
        <v>7.0</v>
      </c>
      <c r="E27" s="9">
        <v>7.0</v>
      </c>
      <c r="F27" s="12"/>
      <c r="G27" s="11">
        <v>81.0</v>
      </c>
      <c r="H27" s="12"/>
      <c r="I27" s="13">
        <f t="shared" si="1"/>
        <v>125</v>
      </c>
      <c r="J27" s="12"/>
      <c r="K27" s="11">
        <v>206.0</v>
      </c>
      <c r="L27" s="13">
        <f t="shared" si="2"/>
        <v>0</v>
      </c>
      <c r="M27" s="13">
        <f t="shared" si="3"/>
        <v>206</v>
      </c>
      <c r="N27" s="8"/>
      <c r="O27" s="8">
        <v>13.555</v>
      </c>
      <c r="P27" s="8">
        <v>14.888</v>
      </c>
      <c r="Q27" s="8">
        <f t="shared" si="4"/>
        <v>199.101</v>
      </c>
      <c r="R27" s="14">
        <v>272946.0</v>
      </c>
      <c r="S27" s="14">
        <v>273033.0</v>
      </c>
      <c r="T27" s="14">
        <v>273033.0</v>
      </c>
      <c r="U27" s="15">
        <v>273149.0</v>
      </c>
      <c r="V27" s="16">
        <f t="shared" si="5"/>
        <v>87</v>
      </c>
      <c r="W27" s="16">
        <f t="shared" si="6"/>
        <v>116</v>
      </c>
    </row>
    <row r="28" ht="15.75" customHeight="1">
      <c r="A28" s="7">
        <v>27.0</v>
      </c>
      <c r="B28" s="8" t="s">
        <v>23</v>
      </c>
      <c r="C28" s="8" t="s">
        <v>53</v>
      </c>
      <c r="D28" s="9">
        <v>7.0</v>
      </c>
      <c r="E28" s="9">
        <v>7.0</v>
      </c>
      <c r="F28" s="12"/>
      <c r="G28" s="11">
        <v>126.0</v>
      </c>
      <c r="H28" s="12"/>
      <c r="I28" s="13">
        <f t="shared" si="1"/>
        <v>140</v>
      </c>
      <c r="J28" s="12"/>
      <c r="K28" s="11">
        <v>266.0</v>
      </c>
      <c r="L28" s="13">
        <f t="shared" si="2"/>
        <v>0</v>
      </c>
      <c r="M28" s="13">
        <f t="shared" si="3"/>
        <v>266</v>
      </c>
      <c r="N28" s="8"/>
      <c r="O28" s="8">
        <v>13.555</v>
      </c>
      <c r="P28" s="8">
        <v>14.888</v>
      </c>
      <c r="Q28" s="8">
        <f t="shared" si="4"/>
        <v>199.101</v>
      </c>
      <c r="R28" s="14">
        <v>268815.0</v>
      </c>
      <c r="S28" s="14">
        <v>268903.0</v>
      </c>
      <c r="T28" s="14">
        <v>268903.0</v>
      </c>
      <c r="U28" s="15">
        <v>269021.0</v>
      </c>
      <c r="V28" s="16">
        <f t="shared" si="5"/>
        <v>88</v>
      </c>
      <c r="W28" s="16">
        <f t="shared" si="6"/>
        <v>118</v>
      </c>
    </row>
    <row r="29" ht="15.75" customHeight="1">
      <c r="A29" s="7">
        <v>28.0</v>
      </c>
      <c r="B29" s="8" t="s">
        <v>23</v>
      </c>
      <c r="C29" s="8" t="s">
        <v>54</v>
      </c>
      <c r="D29" s="9">
        <v>7.0</v>
      </c>
      <c r="E29" s="9">
        <v>7.0</v>
      </c>
      <c r="F29" s="12"/>
      <c r="G29" s="11">
        <v>109.0</v>
      </c>
      <c r="H29" s="12"/>
      <c r="I29" s="13">
        <f t="shared" si="1"/>
        <v>113</v>
      </c>
      <c r="J29" s="12"/>
      <c r="K29" s="11">
        <v>222.0</v>
      </c>
      <c r="L29" s="13">
        <f t="shared" si="2"/>
        <v>0</v>
      </c>
      <c r="M29" s="13">
        <f t="shared" si="3"/>
        <v>222</v>
      </c>
      <c r="N29" s="8"/>
      <c r="O29" s="8">
        <v>13.555</v>
      </c>
      <c r="P29" s="8">
        <v>14.888</v>
      </c>
      <c r="Q29" s="8">
        <f t="shared" si="4"/>
        <v>199.101</v>
      </c>
      <c r="R29" s="14">
        <v>264549.0</v>
      </c>
      <c r="S29" s="14">
        <v>264636.0</v>
      </c>
      <c r="T29" s="14">
        <v>264636.0</v>
      </c>
      <c r="U29" s="15">
        <v>264752.0</v>
      </c>
      <c r="V29" s="16">
        <f t="shared" si="5"/>
        <v>87</v>
      </c>
      <c r="W29" s="16">
        <f t="shared" si="6"/>
        <v>116</v>
      </c>
    </row>
    <row r="30" ht="15.75" customHeight="1">
      <c r="A30" s="7">
        <v>29.0</v>
      </c>
      <c r="B30" s="8" t="s">
        <v>23</v>
      </c>
      <c r="C30" s="8" t="s">
        <v>55</v>
      </c>
      <c r="D30" s="9">
        <v>7.0</v>
      </c>
      <c r="E30" s="9">
        <v>7.0</v>
      </c>
      <c r="F30" s="12"/>
      <c r="G30" s="11">
        <v>109.0</v>
      </c>
      <c r="H30" s="12"/>
      <c r="I30" s="13">
        <f t="shared" si="1"/>
        <v>101</v>
      </c>
      <c r="J30" s="12"/>
      <c r="K30" s="11">
        <v>210.0</v>
      </c>
      <c r="L30" s="13">
        <f t="shared" si="2"/>
        <v>0</v>
      </c>
      <c r="M30" s="13">
        <f t="shared" si="3"/>
        <v>210</v>
      </c>
      <c r="N30" s="8"/>
      <c r="O30" s="8">
        <v>13.555</v>
      </c>
      <c r="P30" s="8">
        <v>14.888</v>
      </c>
      <c r="Q30" s="8">
        <f t="shared" si="4"/>
        <v>199.101</v>
      </c>
      <c r="R30" s="14">
        <v>271943.0</v>
      </c>
      <c r="S30" s="14">
        <v>272044.0</v>
      </c>
      <c r="T30" s="14">
        <v>272044.0</v>
      </c>
      <c r="U30" s="15">
        <v>272148.0</v>
      </c>
      <c r="V30" s="16">
        <f t="shared" si="5"/>
        <v>101</v>
      </c>
      <c r="W30" s="16">
        <f t="shared" si="6"/>
        <v>104</v>
      </c>
    </row>
    <row r="31" ht="15.75" customHeight="1">
      <c r="A31" s="7">
        <v>30.0</v>
      </c>
      <c r="B31" s="8" t="s">
        <v>23</v>
      </c>
      <c r="C31" s="8" t="s">
        <v>56</v>
      </c>
      <c r="D31" s="9">
        <v>7.0</v>
      </c>
      <c r="E31" s="9">
        <v>7.0</v>
      </c>
      <c r="F31" s="12"/>
      <c r="G31" s="11">
        <v>94.0</v>
      </c>
      <c r="H31" s="12"/>
      <c r="I31" s="13">
        <f t="shared" si="1"/>
        <v>135</v>
      </c>
      <c r="J31" s="12"/>
      <c r="K31" s="11">
        <v>229.0</v>
      </c>
      <c r="L31" s="13">
        <f t="shared" si="2"/>
        <v>0</v>
      </c>
      <c r="M31" s="13">
        <f t="shared" si="3"/>
        <v>229</v>
      </c>
      <c r="N31" s="8"/>
      <c r="O31" s="8">
        <v>13.555</v>
      </c>
      <c r="P31" s="8">
        <v>14.888</v>
      </c>
      <c r="Q31" s="8">
        <f t="shared" si="4"/>
        <v>199.101</v>
      </c>
      <c r="R31" s="14">
        <v>273384.0</v>
      </c>
      <c r="S31" s="14">
        <v>273472.0</v>
      </c>
      <c r="T31" s="14">
        <v>273472.0</v>
      </c>
      <c r="U31" s="15">
        <v>273589.0</v>
      </c>
      <c r="V31" s="16">
        <f t="shared" si="5"/>
        <v>88</v>
      </c>
      <c r="W31" s="16">
        <f t="shared" si="6"/>
        <v>117</v>
      </c>
    </row>
    <row r="32" ht="15.75" customHeight="1">
      <c r="A32" s="35"/>
      <c r="B32" s="35"/>
      <c r="C32" s="36"/>
      <c r="D32" s="37" t="s">
        <v>57</v>
      </c>
      <c r="E32" s="100">
        <f>SUM(M:M)</f>
        <v>6881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100">
        <f>SUM(Q:Q)</f>
        <v>5773.929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100">
        <f>E32/E33</f>
        <v>1.191736164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12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102">
        <f>AVERAGEIF(Q:Q,"&gt;0",Q:Q)</f>
        <v>199.101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12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104">
        <f>SUM(G:G)</f>
        <v>3153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10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104">
        <f>E39+E38</f>
        <v>3153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12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3">
        <f>SUM(I:I)</f>
        <v>3728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3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3">
        <f>E43+E42</f>
        <v>3728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12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107">
        <f t="shared" ref="E46:E47" si="7">E42+E38</f>
        <v>6881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107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9">
        <v>7.0</v>
      </c>
      <c r="E2" s="9">
        <v>7.0</v>
      </c>
      <c r="F2" s="10"/>
      <c r="G2" s="126">
        <v>129.0</v>
      </c>
      <c r="H2" s="10"/>
      <c r="I2" s="13">
        <f t="shared" ref="I2:I31" si="1">max(0,K2-G2)</f>
        <v>123</v>
      </c>
      <c r="J2" s="10"/>
      <c r="K2" s="126">
        <v>252.0</v>
      </c>
      <c r="L2" s="13">
        <f t="shared" ref="L2:L31" si="2">J2+H2</f>
        <v>0</v>
      </c>
      <c r="M2" s="13">
        <f t="shared" ref="M2:M31" si="3">G2+H2+I2+J2</f>
        <v>252</v>
      </c>
      <c r="N2" s="8"/>
      <c r="O2" s="8">
        <v>13.555</v>
      </c>
      <c r="P2" s="8">
        <v>14.888</v>
      </c>
      <c r="Q2" s="8">
        <f t="shared" ref="Q2:Q31" si="4">(O2*D2)+(P2*E2)</f>
        <v>199.101</v>
      </c>
      <c r="R2" s="127">
        <v>294190.0</v>
      </c>
      <c r="S2" s="128">
        <v>294277.0</v>
      </c>
      <c r="T2" s="128">
        <v>294277.0</v>
      </c>
      <c r="U2" s="128">
        <v>294393.0</v>
      </c>
      <c r="V2" s="16">
        <f t="shared" ref="V2:V31" si="5">S2-R2</f>
        <v>87</v>
      </c>
      <c r="W2" s="16">
        <f t="shared" ref="W2:W31" si="6">U2-T2</f>
        <v>116</v>
      </c>
    </row>
    <row r="3" ht="15.75" customHeight="1">
      <c r="A3" s="7">
        <v>2.0</v>
      </c>
      <c r="B3" s="8" t="s">
        <v>23</v>
      </c>
      <c r="C3" s="8" t="s">
        <v>25</v>
      </c>
      <c r="D3" s="9">
        <v>7.0</v>
      </c>
      <c r="E3" s="9">
        <v>7.0</v>
      </c>
      <c r="F3" s="10"/>
      <c r="G3" s="126">
        <v>99.0</v>
      </c>
      <c r="H3" s="10"/>
      <c r="I3" s="13">
        <f t="shared" si="1"/>
        <v>126</v>
      </c>
      <c r="J3" s="10"/>
      <c r="K3" s="126">
        <v>225.0</v>
      </c>
      <c r="L3" s="13">
        <f t="shared" si="2"/>
        <v>0</v>
      </c>
      <c r="M3" s="13">
        <f t="shared" si="3"/>
        <v>225</v>
      </c>
      <c r="N3" s="8"/>
      <c r="O3" s="8">
        <v>13.555</v>
      </c>
      <c r="P3" s="8">
        <v>14.888</v>
      </c>
      <c r="Q3" s="8">
        <f t="shared" si="4"/>
        <v>199.101</v>
      </c>
      <c r="R3" s="127">
        <v>275380.0</v>
      </c>
      <c r="S3" s="128">
        <v>275467.0</v>
      </c>
      <c r="T3" s="128">
        <v>275467.0</v>
      </c>
      <c r="U3" s="128">
        <v>275584.0</v>
      </c>
      <c r="V3" s="16">
        <f t="shared" si="5"/>
        <v>87</v>
      </c>
      <c r="W3" s="16">
        <f t="shared" si="6"/>
        <v>117</v>
      </c>
    </row>
    <row r="4" ht="15.75" customHeight="1">
      <c r="A4" s="7">
        <v>3.0</v>
      </c>
      <c r="B4" s="8" t="s">
        <v>23</v>
      </c>
      <c r="C4" s="8" t="s">
        <v>26</v>
      </c>
      <c r="D4" s="9">
        <v>7.0</v>
      </c>
      <c r="E4" s="9">
        <v>7.0</v>
      </c>
      <c r="F4" s="10"/>
      <c r="G4" s="126">
        <v>125.0</v>
      </c>
      <c r="H4" s="10"/>
      <c r="I4" s="13">
        <f t="shared" si="1"/>
        <v>107</v>
      </c>
      <c r="J4" s="10"/>
      <c r="K4" s="126">
        <v>232.0</v>
      </c>
      <c r="L4" s="13">
        <f t="shared" si="2"/>
        <v>0</v>
      </c>
      <c r="M4" s="13">
        <f t="shared" si="3"/>
        <v>232</v>
      </c>
      <c r="N4" s="8"/>
      <c r="O4" s="8">
        <v>13.555</v>
      </c>
      <c r="P4" s="8">
        <v>14.888</v>
      </c>
      <c r="Q4" s="8">
        <f t="shared" si="4"/>
        <v>199.101</v>
      </c>
      <c r="R4" s="127">
        <v>458913.0</v>
      </c>
      <c r="S4" s="127">
        <v>459001.0</v>
      </c>
      <c r="T4" s="127">
        <v>459001.0</v>
      </c>
      <c r="U4" s="128">
        <v>459117.0</v>
      </c>
      <c r="V4" s="16">
        <f t="shared" si="5"/>
        <v>88</v>
      </c>
      <c r="W4" s="16">
        <f t="shared" si="6"/>
        <v>116</v>
      </c>
    </row>
    <row r="5" ht="15.75" customHeight="1">
      <c r="A5" s="7">
        <v>4.0</v>
      </c>
      <c r="B5" s="8" t="s">
        <v>23</v>
      </c>
      <c r="C5" s="8" t="s">
        <v>27</v>
      </c>
      <c r="D5" s="9">
        <v>7.0</v>
      </c>
      <c r="E5" s="9">
        <v>7.0</v>
      </c>
      <c r="F5" s="10"/>
      <c r="G5" s="126">
        <v>105.0</v>
      </c>
      <c r="H5" s="10"/>
      <c r="I5" s="13">
        <f t="shared" si="1"/>
        <v>111</v>
      </c>
      <c r="J5" s="10"/>
      <c r="K5" s="126">
        <v>216.0</v>
      </c>
      <c r="L5" s="13">
        <f t="shared" si="2"/>
        <v>0</v>
      </c>
      <c r="M5" s="13">
        <f t="shared" si="3"/>
        <v>216</v>
      </c>
      <c r="N5" s="8"/>
      <c r="O5" s="8">
        <v>13.555</v>
      </c>
      <c r="P5" s="8">
        <v>14.888</v>
      </c>
      <c r="Q5" s="8">
        <f t="shared" si="4"/>
        <v>199.101</v>
      </c>
      <c r="R5" s="127">
        <v>270812.0</v>
      </c>
      <c r="S5" s="127">
        <v>270913.0</v>
      </c>
      <c r="T5" s="127">
        <v>270913.0</v>
      </c>
      <c r="U5" s="128">
        <v>271015.0</v>
      </c>
      <c r="V5" s="16">
        <f t="shared" si="5"/>
        <v>101</v>
      </c>
      <c r="W5" s="16">
        <f t="shared" si="6"/>
        <v>102</v>
      </c>
    </row>
    <row r="6" ht="15.75" customHeight="1">
      <c r="A6" s="7">
        <v>5.0</v>
      </c>
      <c r="B6" s="8" t="s">
        <v>23</v>
      </c>
      <c r="C6" s="8" t="s">
        <v>28</v>
      </c>
      <c r="D6" s="9">
        <v>7.0</v>
      </c>
      <c r="E6" s="9">
        <v>7.0</v>
      </c>
      <c r="F6" s="10"/>
      <c r="G6" s="126">
        <v>122.0</v>
      </c>
      <c r="H6" s="10"/>
      <c r="I6" s="13">
        <f t="shared" si="1"/>
        <v>104</v>
      </c>
      <c r="J6" s="10"/>
      <c r="K6" s="126">
        <v>226.0</v>
      </c>
      <c r="L6" s="13">
        <f t="shared" si="2"/>
        <v>0</v>
      </c>
      <c r="M6" s="13">
        <f t="shared" si="3"/>
        <v>226</v>
      </c>
      <c r="N6" s="8"/>
      <c r="O6" s="8">
        <v>13.555</v>
      </c>
      <c r="P6" s="8">
        <v>14.888</v>
      </c>
      <c r="Q6" s="8">
        <f t="shared" si="4"/>
        <v>199.101</v>
      </c>
      <c r="R6" s="127">
        <v>280555.0</v>
      </c>
      <c r="S6" s="127">
        <v>280642.0</v>
      </c>
      <c r="T6" s="127">
        <v>280642.0</v>
      </c>
      <c r="U6" s="128">
        <v>280758.0</v>
      </c>
      <c r="V6" s="16">
        <f t="shared" si="5"/>
        <v>87</v>
      </c>
      <c r="W6" s="16">
        <f t="shared" si="6"/>
        <v>116</v>
      </c>
    </row>
    <row r="7" ht="15.75" customHeight="1">
      <c r="A7" s="7">
        <v>6.0</v>
      </c>
      <c r="B7" s="8" t="s">
        <v>23</v>
      </c>
      <c r="C7" s="8" t="s">
        <v>29</v>
      </c>
      <c r="D7" s="9">
        <v>7.0</v>
      </c>
      <c r="E7" s="9">
        <v>7.0</v>
      </c>
      <c r="F7" s="10"/>
      <c r="G7" s="126">
        <v>133.0</v>
      </c>
      <c r="H7" s="10"/>
      <c r="I7" s="13">
        <f t="shared" si="1"/>
        <v>101</v>
      </c>
      <c r="J7" s="10"/>
      <c r="K7" s="126">
        <v>234.0</v>
      </c>
      <c r="L7" s="13">
        <f t="shared" si="2"/>
        <v>0</v>
      </c>
      <c r="M7" s="13">
        <f t="shared" si="3"/>
        <v>234</v>
      </c>
      <c r="N7" s="8"/>
      <c r="O7" s="8">
        <v>13.555</v>
      </c>
      <c r="P7" s="8">
        <v>14.888</v>
      </c>
      <c r="Q7" s="8">
        <f t="shared" si="4"/>
        <v>199.101</v>
      </c>
      <c r="R7" s="127">
        <v>277828.0</v>
      </c>
      <c r="S7" s="127">
        <v>277929.0</v>
      </c>
      <c r="T7" s="127">
        <v>277929.0</v>
      </c>
      <c r="U7" s="128">
        <v>278031.0</v>
      </c>
      <c r="V7" s="16">
        <f t="shared" si="5"/>
        <v>101</v>
      </c>
      <c r="W7" s="16">
        <f t="shared" si="6"/>
        <v>102</v>
      </c>
    </row>
    <row r="8" ht="15.75" customHeight="1">
      <c r="A8" s="7">
        <v>7.0</v>
      </c>
      <c r="B8" s="8" t="s">
        <v>23</v>
      </c>
      <c r="C8" s="8" t="s">
        <v>30</v>
      </c>
      <c r="D8" s="9">
        <v>7.0</v>
      </c>
      <c r="E8" s="9">
        <v>7.0</v>
      </c>
      <c r="F8" s="10"/>
      <c r="G8" s="126">
        <v>89.0</v>
      </c>
      <c r="H8" s="10"/>
      <c r="I8" s="13">
        <f t="shared" si="1"/>
        <v>152</v>
      </c>
      <c r="J8" s="10"/>
      <c r="K8" s="126">
        <v>241.0</v>
      </c>
      <c r="L8" s="13">
        <f t="shared" si="2"/>
        <v>0</v>
      </c>
      <c r="M8" s="13">
        <f t="shared" si="3"/>
        <v>241</v>
      </c>
      <c r="N8" s="8"/>
      <c r="O8" s="8">
        <v>13.555</v>
      </c>
      <c r="P8" s="8">
        <v>14.888</v>
      </c>
      <c r="Q8" s="8">
        <f t="shared" si="4"/>
        <v>199.101</v>
      </c>
      <c r="R8" s="127">
        <v>270544.0</v>
      </c>
      <c r="S8" s="127">
        <v>270632.0</v>
      </c>
      <c r="T8" s="127">
        <v>270632.0</v>
      </c>
      <c r="U8" s="128">
        <v>270748.0</v>
      </c>
      <c r="V8" s="16">
        <f t="shared" si="5"/>
        <v>88</v>
      </c>
      <c r="W8" s="16">
        <f t="shared" si="6"/>
        <v>116</v>
      </c>
    </row>
    <row r="9" ht="15.75" customHeight="1">
      <c r="A9" s="7">
        <v>8.0</v>
      </c>
      <c r="B9" s="8" t="s">
        <v>23</v>
      </c>
      <c r="C9" s="8" t="s">
        <v>32</v>
      </c>
      <c r="D9" s="9">
        <v>7.0</v>
      </c>
      <c r="E9" s="9">
        <v>7.0</v>
      </c>
      <c r="F9" s="10"/>
      <c r="G9" s="126">
        <v>134.0</v>
      </c>
      <c r="H9" s="10"/>
      <c r="I9" s="13">
        <f t="shared" si="1"/>
        <v>107</v>
      </c>
      <c r="J9" s="10"/>
      <c r="K9" s="126">
        <v>241.0</v>
      </c>
      <c r="L9" s="13">
        <f t="shared" si="2"/>
        <v>0</v>
      </c>
      <c r="M9" s="13">
        <f t="shared" si="3"/>
        <v>241</v>
      </c>
      <c r="N9" s="8"/>
      <c r="O9" s="8">
        <v>13.555</v>
      </c>
      <c r="P9" s="8">
        <v>14.888</v>
      </c>
      <c r="Q9" s="8">
        <f t="shared" si="4"/>
        <v>199.101</v>
      </c>
      <c r="R9" s="127">
        <v>278010.0</v>
      </c>
      <c r="S9" s="127">
        <v>278099.0</v>
      </c>
      <c r="T9" s="127">
        <v>278099.0</v>
      </c>
      <c r="U9" s="128">
        <v>278215.0</v>
      </c>
      <c r="V9" s="16">
        <f t="shared" si="5"/>
        <v>89</v>
      </c>
      <c r="W9" s="16">
        <f t="shared" si="6"/>
        <v>116</v>
      </c>
    </row>
    <row r="10" ht="15.75" customHeight="1">
      <c r="A10" s="7">
        <v>9.0</v>
      </c>
      <c r="B10" s="8" t="s">
        <v>23</v>
      </c>
      <c r="C10" s="8" t="s">
        <v>33</v>
      </c>
      <c r="D10" s="9">
        <v>7.0</v>
      </c>
      <c r="E10" s="9">
        <v>7.0</v>
      </c>
      <c r="F10" s="10"/>
      <c r="G10" s="126">
        <v>109.0</v>
      </c>
      <c r="H10" s="10"/>
      <c r="I10" s="13">
        <f t="shared" si="1"/>
        <v>127</v>
      </c>
      <c r="J10" s="10"/>
      <c r="K10" s="126">
        <v>236.0</v>
      </c>
      <c r="L10" s="13">
        <f t="shared" si="2"/>
        <v>0</v>
      </c>
      <c r="M10" s="13">
        <f t="shared" si="3"/>
        <v>236</v>
      </c>
      <c r="N10" s="8"/>
      <c r="O10" s="8">
        <v>13.555</v>
      </c>
      <c r="P10" s="8">
        <v>14.888</v>
      </c>
      <c r="Q10" s="8">
        <f t="shared" si="4"/>
        <v>199.101</v>
      </c>
      <c r="R10" s="127">
        <v>353437.0</v>
      </c>
      <c r="S10" s="127">
        <v>353524.0</v>
      </c>
      <c r="T10" s="127">
        <v>353524.0</v>
      </c>
      <c r="U10" s="128">
        <v>353640.0</v>
      </c>
      <c r="V10" s="16">
        <f t="shared" si="5"/>
        <v>87</v>
      </c>
      <c r="W10" s="16">
        <f t="shared" si="6"/>
        <v>116</v>
      </c>
    </row>
    <row r="11" ht="15.75" customHeight="1">
      <c r="A11" s="7">
        <v>10.0</v>
      </c>
      <c r="B11" s="8" t="s">
        <v>23</v>
      </c>
      <c r="C11" s="8" t="s">
        <v>34</v>
      </c>
      <c r="D11" s="9">
        <v>7.0</v>
      </c>
      <c r="E11" s="9">
        <v>7.0</v>
      </c>
      <c r="F11" s="10"/>
      <c r="G11" s="126">
        <v>97.0</v>
      </c>
      <c r="H11" s="10"/>
      <c r="I11" s="13">
        <f t="shared" si="1"/>
        <v>161</v>
      </c>
      <c r="J11" s="10"/>
      <c r="K11" s="126">
        <v>258.0</v>
      </c>
      <c r="L11" s="13">
        <f t="shared" si="2"/>
        <v>0</v>
      </c>
      <c r="M11" s="13">
        <f t="shared" si="3"/>
        <v>258</v>
      </c>
      <c r="N11" s="8"/>
      <c r="O11" s="8">
        <v>13.555</v>
      </c>
      <c r="P11" s="8">
        <v>14.888</v>
      </c>
      <c r="Q11" s="8">
        <f t="shared" si="4"/>
        <v>199.101</v>
      </c>
      <c r="R11" s="127">
        <v>333995.0</v>
      </c>
      <c r="S11" s="127">
        <v>334082.0</v>
      </c>
      <c r="T11" s="127">
        <v>334082.0</v>
      </c>
      <c r="U11" s="128">
        <v>334197.0</v>
      </c>
      <c r="V11" s="16">
        <f t="shared" si="5"/>
        <v>87</v>
      </c>
      <c r="W11" s="16">
        <f t="shared" si="6"/>
        <v>115</v>
      </c>
    </row>
    <row r="12" ht="15.75" customHeight="1">
      <c r="A12" s="7">
        <v>11.0</v>
      </c>
      <c r="B12" s="8" t="s">
        <v>23</v>
      </c>
      <c r="C12" s="8" t="s">
        <v>36</v>
      </c>
      <c r="D12" s="9">
        <v>7.0</v>
      </c>
      <c r="E12" s="9">
        <v>7.0</v>
      </c>
      <c r="F12" s="10"/>
      <c r="G12" s="126">
        <v>126.0</v>
      </c>
      <c r="H12" s="10"/>
      <c r="I12" s="13">
        <f t="shared" si="1"/>
        <v>120</v>
      </c>
      <c r="J12" s="10"/>
      <c r="K12" s="126">
        <v>246.0</v>
      </c>
      <c r="L12" s="13">
        <f t="shared" si="2"/>
        <v>0</v>
      </c>
      <c r="M12" s="13">
        <f t="shared" si="3"/>
        <v>246</v>
      </c>
      <c r="N12" s="8"/>
      <c r="O12" s="8">
        <v>13.555</v>
      </c>
      <c r="P12" s="8">
        <v>14.888</v>
      </c>
      <c r="Q12" s="8">
        <f t="shared" si="4"/>
        <v>199.101</v>
      </c>
      <c r="R12" s="127">
        <v>367642.0</v>
      </c>
      <c r="S12" s="127">
        <v>367743.0</v>
      </c>
      <c r="T12" s="127">
        <v>397743.0</v>
      </c>
      <c r="U12" s="128">
        <v>397844.0</v>
      </c>
      <c r="V12" s="16">
        <f t="shared" si="5"/>
        <v>101</v>
      </c>
      <c r="W12" s="16">
        <f t="shared" si="6"/>
        <v>101</v>
      </c>
    </row>
    <row r="13" ht="15.75" customHeight="1">
      <c r="A13" s="7">
        <v>12.0</v>
      </c>
      <c r="B13" s="8" t="s">
        <v>23</v>
      </c>
      <c r="C13" s="8" t="s">
        <v>37</v>
      </c>
      <c r="D13" s="9">
        <v>7.0</v>
      </c>
      <c r="E13" s="9">
        <v>7.0</v>
      </c>
      <c r="F13" s="10"/>
      <c r="G13" s="126">
        <v>111.0</v>
      </c>
      <c r="H13" s="10"/>
      <c r="I13" s="13">
        <f t="shared" si="1"/>
        <v>124</v>
      </c>
      <c r="J13" s="10"/>
      <c r="K13" s="126">
        <v>235.0</v>
      </c>
      <c r="L13" s="13">
        <f t="shared" si="2"/>
        <v>0</v>
      </c>
      <c r="M13" s="13">
        <f t="shared" si="3"/>
        <v>235</v>
      </c>
      <c r="N13" s="8"/>
      <c r="O13" s="8">
        <v>13.555</v>
      </c>
      <c r="P13" s="8">
        <v>14.888</v>
      </c>
      <c r="Q13" s="8">
        <f t="shared" si="4"/>
        <v>199.101</v>
      </c>
      <c r="R13" s="127">
        <v>271954.0</v>
      </c>
      <c r="S13" s="127">
        <v>272055.0</v>
      </c>
      <c r="T13" s="127">
        <v>272055.0</v>
      </c>
      <c r="U13" s="128">
        <v>272157.0</v>
      </c>
      <c r="V13" s="16">
        <f t="shared" si="5"/>
        <v>101</v>
      </c>
      <c r="W13" s="16">
        <f t="shared" si="6"/>
        <v>102</v>
      </c>
    </row>
    <row r="14" ht="15.75" customHeight="1">
      <c r="A14" s="7">
        <v>13.0</v>
      </c>
      <c r="B14" s="8" t="s">
        <v>23</v>
      </c>
      <c r="C14" s="8" t="s">
        <v>38</v>
      </c>
      <c r="D14" s="9">
        <v>7.0</v>
      </c>
      <c r="E14" s="9">
        <v>7.0</v>
      </c>
      <c r="F14" s="10"/>
      <c r="G14" s="126">
        <v>117.0</v>
      </c>
      <c r="H14" s="10"/>
      <c r="I14" s="13">
        <f t="shared" si="1"/>
        <v>111</v>
      </c>
      <c r="J14" s="10"/>
      <c r="K14" s="126">
        <v>228.0</v>
      </c>
      <c r="L14" s="13">
        <f t="shared" si="2"/>
        <v>0</v>
      </c>
      <c r="M14" s="13">
        <f t="shared" si="3"/>
        <v>228</v>
      </c>
      <c r="N14" s="8"/>
      <c r="O14" s="8">
        <v>13.555</v>
      </c>
      <c r="P14" s="8">
        <v>14.888</v>
      </c>
      <c r="Q14" s="8">
        <f t="shared" si="4"/>
        <v>199.101</v>
      </c>
      <c r="R14" s="127">
        <v>365932.0</v>
      </c>
      <c r="S14" s="127">
        <v>366020.0</v>
      </c>
      <c r="T14" s="127">
        <v>366020.0</v>
      </c>
      <c r="U14" s="128">
        <v>366135.0</v>
      </c>
      <c r="V14" s="16">
        <f t="shared" si="5"/>
        <v>88</v>
      </c>
      <c r="W14" s="16">
        <f t="shared" si="6"/>
        <v>115</v>
      </c>
    </row>
    <row r="15" ht="15.75" customHeight="1">
      <c r="A15" s="7">
        <v>14.0</v>
      </c>
      <c r="B15" s="8" t="s">
        <v>23</v>
      </c>
      <c r="C15" s="8" t="s">
        <v>39</v>
      </c>
      <c r="D15" s="9">
        <v>7.0</v>
      </c>
      <c r="E15" s="9">
        <v>7.0</v>
      </c>
      <c r="F15" s="10"/>
      <c r="G15" s="126">
        <v>103.0</v>
      </c>
      <c r="H15" s="10"/>
      <c r="I15" s="13">
        <f t="shared" si="1"/>
        <v>121</v>
      </c>
      <c r="J15" s="10"/>
      <c r="K15" s="126">
        <v>224.0</v>
      </c>
      <c r="L15" s="13">
        <f t="shared" si="2"/>
        <v>0</v>
      </c>
      <c r="M15" s="13">
        <f t="shared" si="3"/>
        <v>224</v>
      </c>
      <c r="N15" s="8"/>
      <c r="O15" s="8">
        <v>13.555</v>
      </c>
      <c r="P15" s="8">
        <v>14.888</v>
      </c>
      <c r="Q15" s="8">
        <f t="shared" si="4"/>
        <v>199.101</v>
      </c>
      <c r="R15" s="127">
        <v>313688.0</v>
      </c>
      <c r="S15" s="127">
        <v>313775.0</v>
      </c>
      <c r="T15" s="127">
        <v>313775.0</v>
      </c>
      <c r="U15" s="128">
        <v>313891.0</v>
      </c>
      <c r="V15" s="16">
        <f t="shared" si="5"/>
        <v>87</v>
      </c>
      <c r="W15" s="16">
        <f t="shared" si="6"/>
        <v>116</v>
      </c>
    </row>
    <row r="16" ht="15.75" customHeight="1">
      <c r="A16" s="7">
        <v>15.0</v>
      </c>
      <c r="B16" s="8" t="s">
        <v>23</v>
      </c>
      <c r="C16" s="129" t="s">
        <v>40</v>
      </c>
      <c r="D16" s="130">
        <v>4.0</v>
      </c>
      <c r="E16" s="130">
        <v>4.0</v>
      </c>
      <c r="F16" s="131"/>
      <c r="G16" s="131"/>
      <c r="H16" s="131"/>
      <c r="I16" s="132">
        <f t="shared" si="1"/>
        <v>121</v>
      </c>
      <c r="J16" s="131"/>
      <c r="K16" s="133">
        <v>121.0</v>
      </c>
      <c r="L16" s="132">
        <f t="shared" si="2"/>
        <v>0</v>
      </c>
      <c r="M16" s="132">
        <f t="shared" si="3"/>
        <v>121</v>
      </c>
      <c r="N16" s="130" t="s">
        <v>77</v>
      </c>
      <c r="O16" s="129">
        <v>13.555</v>
      </c>
      <c r="P16" s="129">
        <v>14.888</v>
      </c>
      <c r="Q16" s="129">
        <f t="shared" si="4"/>
        <v>113.772</v>
      </c>
      <c r="R16" s="134"/>
      <c r="S16" s="134"/>
      <c r="T16" s="135">
        <v>411666.0</v>
      </c>
      <c r="U16" s="136">
        <v>411782.0</v>
      </c>
      <c r="V16" s="137">
        <f t="shared" si="5"/>
        <v>0</v>
      </c>
      <c r="W16" s="137">
        <f t="shared" si="6"/>
        <v>116</v>
      </c>
    </row>
    <row r="17" ht="15.75" customHeight="1">
      <c r="A17" s="7">
        <v>16.0</v>
      </c>
      <c r="B17" s="8" t="s">
        <v>23</v>
      </c>
      <c r="C17" s="138" t="s">
        <v>41</v>
      </c>
      <c r="D17" s="138"/>
      <c r="E17" s="138"/>
      <c r="F17" s="139"/>
      <c r="G17" s="139"/>
      <c r="H17" s="139"/>
      <c r="I17" s="140">
        <f t="shared" si="1"/>
        <v>0</v>
      </c>
      <c r="J17" s="139"/>
      <c r="K17" s="139"/>
      <c r="L17" s="140">
        <f t="shared" si="2"/>
        <v>0</v>
      </c>
      <c r="M17" s="140">
        <f t="shared" si="3"/>
        <v>0</v>
      </c>
      <c r="N17" s="141" t="s">
        <v>78</v>
      </c>
      <c r="O17" s="138">
        <v>13.555</v>
      </c>
      <c r="P17" s="138">
        <v>14.888</v>
      </c>
      <c r="Q17" s="138">
        <f t="shared" si="4"/>
        <v>0</v>
      </c>
      <c r="R17" s="142"/>
      <c r="S17" s="142"/>
      <c r="T17" s="142"/>
      <c r="U17" s="143"/>
      <c r="V17" s="144">
        <f t="shared" si="5"/>
        <v>0</v>
      </c>
      <c r="W17" s="144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9">
        <v>7.0</v>
      </c>
      <c r="E18" s="9">
        <v>7.0</v>
      </c>
      <c r="F18" s="10"/>
      <c r="G18" s="126">
        <v>104.0</v>
      </c>
      <c r="H18" s="10"/>
      <c r="I18" s="13">
        <f t="shared" si="1"/>
        <v>121</v>
      </c>
      <c r="J18" s="10"/>
      <c r="K18" s="126">
        <v>225.0</v>
      </c>
      <c r="L18" s="13">
        <f t="shared" si="2"/>
        <v>0</v>
      </c>
      <c r="M18" s="13">
        <f t="shared" si="3"/>
        <v>225</v>
      </c>
      <c r="N18" s="8"/>
      <c r="O18" s="8">
        <v>13.555</v>
      </c>
      <c r="P18" s="8">
        <v>14.888</v>
      </c>
      <c r="Q18" s="8">
        <f t="shared" si="4"/>
        <v>199.101</v>
      </c>
      <c r="R18" s="127">
        <v>268940.0</v>
      </c>
      <c r="S18" s="127">
        <v>269043.0</v>
      </c>
      <c r="T18" s="127">
        <v>269043.0</v>
      </c>
      <c r="U18" s="128">
        <v>269145.0</v>
      </c>
      <c r="V18" s="16">
        <f t="shared" si="5"/>
        <v>103</v>
      </c>
      <c r="W18" s="16">
        <f t="shared" si="6"/>
        <v>102</v>
      </c>
    </row>
    <row r="19" ht="15.75" customHeight="1">
      <c r="A19" s="7">
        <v>18.0</v>
      </c>
      <c r="B19" s="8" t="s">
        <v>23</v>
      </c>
      <c r="C19" s="8" t="s">
        <v>44</v>
      </c>
      <c r="D19" s="9">
        <v>7.0</v>
      </c>
      <c r="E19" s="9">
        <v>7.0</v>
      </c>
      <c r="F19" s="10"/>
      <c r="G19" s="126">
        <v>103.0</v>
      </c>
      <c r="H19" s="10"/>
      <c r="I19" s="13">
        <f t="shared" si="1"/>
        <v>121</v>
      </c>
      <c r="J19" s="10"/>
      <c r="K19" s="126">
        <v>224.0</v>
      </c>
      <c r="L19" s="13">
        <f t="shared" si="2"/>
        <v>0</v>
      </c>
      <c r="M19" s="13">
        <f t="shared" si="3"/>
        <v>224</v>
      </c>
      <c r="N19" s="8"/>
      <c r="O19" s="8">
        <v>13.555</v>
      </c>
      <c r="P19" s="8">
        <v>14.888</v>
      </c>
      <c r="Q19" s="8">
        <f t="shared" si="4"/>
        <v>199.101</v>
      </c>
      <c r="R19" s="127">
        <v>287047.0</v>
      </c>
      <c r="S19" s="127">
        <v>287120.0</v>
      </c>
      <c r="T19" s="127">
        <v>287120.0</v>
      </c>
      <c r="U19" s="128">
        <v>287251.0</v>
      </c>
      <c r="V19" s="16">
        <f t="shared" si="5"/>
        <v>73</v>
      </c>
      <c r="W19" s="16">
        <f t="shared" si="6"/>
        <v>131</v>
      </c>
    </row>
    <row r="20" ht="15.75" customHeight="1">
      <c r="A20" s="7">
        <v>19.0</v>
      </c>
      <c r="B20" s="8" t="s">
        <v>23</v>
      </c>
      <c r="C20" s="8" t="s">
        <v>45</v>
      </c>
      <c r="D20" s="9">
        <v>7.0</v>
      </c>
      <c r="E20" s="9">
        <v>7.0</v>
      </c>
      <c r="F20" s="10"/>
      <c r="G20" s="126">
        <v>129.0</v>
      </c>
      <c r="H20" s="10"/>
      <c r="I20" s="13">
        <f t="shared" si="1"/>
        <v>86</v>
      </c>
      <c r="J20" s="10"/>
      <c r="K20" s="126">
        <v>215.0</v>
      </c>
      <c r="L20" s="13">
        <f t="shared" si="2"/>
        <v>0</v>
      </c>
      <c r="M20" s="13">
        <f t="shared" si="3"/>
        <v>215</v>
      </c>
      <c r="N20" s="8"/>
      <c r="O20" s="8">
        <v>13.555</v>
      </c>
      <c r="P20" s="8">
        <v>14.888</v>
      </c>
      <c r="Q20" s="8">
        <f t="shared" si="4"/>
        <v>199.101</v>
      </c>
      <c r="R20" s="127">
        <v>285364.0</v>
      </c>
      <c r="S20" s="127">
        <v>285451.0</v>
      </c>
      <c r="T20" s="127">
        <v>285451.0</v>
      </c>
      <c r="U20" s="128">
        <v>285553.0</v>
      </c>
      <c r="V20" s="16">
        <f t="shared" si="5"/>
        <v>87</v>
      </c>
      <c r="W20" s="16">
        <f t="shared" si="6"/>
        <v>102</v>
      </c>
    </row>
    <row r="21" ht="15.75" customHeight="1">
      <c r="A21" s="7">
        <v>20.0</v>
      </c>
      <c r="B21" s="8" t="s">
        <v>23</v>
      </c>
      <c r="C21" s="8" t="s">
        <v>46</v>
      </c>
      <c r="D21" s="9">
        <v>7.0</v>
      </c>
      <c r="E21" s="9">
        <v>7.0</v>
      </c>
      <c r="F21" s="10"/>
      <c r="G21" s="126">
        <v>102.0</v>
      </c>
      <c r="H21" s="10"/>
      <c r="I21" s="13">
        <f t="shared" si="1"/>
        <v>133</v>
      </c>
      <c r="J21" s="10"/>
      <c r="K21" s="126">
        <v>235.0</v>
      </c>
      <c r="L21" s="13">
        <f t="shared" si="2"/>
        <v>0</v>
      </c>
      <c r="M21" s="13">
        <f t="shared" si="3"/>
        <v>235</v>
      </c>
      <c r="N21" s="8"/>
      <c r="O21" s="8">
        <v>13.555</v>
      </c>
      <c r="P21" s="8">
        <v>14.888</v>
      </c>
      <c r="Q21" s="8">
        <f t="shared" si="4"/>
        <v>199.101</v>
      </c>
      <c r="R21" s="127">
        <v>275455.0</v>
      </c>
      <c r="S21" s="127">
        <v>275545.0</v>
      </c>
      <c r="T21" s="127">
        <v>275545.0</v>
      </c>
      <c r="U21" s="128">
        <v>275665.0</v>
      </c>
      <c r="V21" s="16">
        <f t="shared" si="5"/>
        <v>90</v>
      </c>
      <c r="W21" s="16">
        <f t="shared" si="6"/>
        <v>120</v>
      </c>
    </row>
    <row r="22" ht="15.75" customHeight="1">
      <c r="A22" s="7">
        <v>21.0</v>
      </c>
      <c r="B22" s="8" t="s">
        <v>23</v>
      </c>
      <c r="C22" s="8" t="s">
        <v>47</v>
      </c>
      <c r="D22" s="9">
        <v>7.0</v>
      </c>
      <c r="E22" s="9">
        <v>7.0</v>
      </c>
      <c r="F22" s="10"/>
      <c r="G22" s="126">
        <v>93.0</v>
      </c>
      <c r="H22" s="10"/>
      <c r="I22" s="13">
        <f t="shared" si="1"/>
        <v>142</v>
      </c>
      <c r="J22" s="10"/>
      <c r="K22" s="126">
        <v>235.0</v>
      </c>
      <c r="L22" s="13">
        <f t="shared" si="2"/>
        <v>0</v>
      </c>
      <c r="M22" s="13">
        <f t="shared" si="3"/>
        <v>235</v>
      </c>
      <c r="N22" s="8"/>
      <c r="O22" s="8">
        <v>13.555</v>
      </c>
      <c r="P22" s="8">
        <v>14.888</v>
      </c>
      <c r="Q22" s="8">
        <f t="shared" si="4"/>
        <v>199.101</v>
      </c>
      <c r="R22" s="127">
        <v>281234.0</v>
      </c>
      <c r="S22" s="127">
        <v>281322.0</v>
      </c>
      <c r="T22" s="127">
        <v>281322.0</v>
      </c>
      <c r="U22" s="128">
        <v>281438.0</v>
      </c>
      <c r="V22" s="16">
        <f t="shared" si="5"/>
        <v>88</v>
      </c>
      <c r="W22" s="16">
        <f t="shared" si="6"/>
        <v>116</v>
      </c>
    </row>
    <row r="23" ht="15.75" customHeight="1">
      <c r="A23" s="7">
        <v>22.0</v>
      </c>
      <c r="B23" s="8" t="s">
        <v>23</v>
      </c>
      <c r="C23" s="8" t="s">
        <v>48</v>
      </c>
      <c r="D23" s="9">
        <v>7.0</v>
      </c>
      <c r="E23" s="9">
        <v>7.0</v>
      </c>
      <c r="F23" s="10"/>
      <c r="G23" s="126">
        <v>95.0</v>
      </c>
      <c r="H23" s="10"/>
      <c r="I23" s="13">
        <f t="shared" si="1"/>
        <v>147</v>
      </c>
      <c r="J23" s="10"/>
      <c r="K23" s="126">
        <v>242.0</v>
      </c>
      <c r="L23" s="13">
        <f t="shared" si="2"/>
        <v>0</v>
      </c>
      <c r="M23" s="13">
        <f t="shared" si="3"/>
        <v>242</v>
      </c>
      <c r="N23" s="8"/>
      <c r="O23" s="8">
        <v>13.555</v>
      </c>
      <c r="P23" s="8">
        <v>14.888</v>
      </c>
      <c r="Q23" s="8">
        <f t="shared" si="4"/>
        <v>199.101</v>
      </c>
      <c r="R23" s="127">
        <v>276667.0</v>
      </c>
      <c r="S23" s="127">
        <v>276757.0</v>
      </c>
      <c r="T23" s="127">
        <v>276757.0</v>
      </c>
      <c r="U23" s="128">
        <v>276876.0</v>
      </c>
      <c r="V23" s="16">
        <f t="shared" si="5"/>
        <v>90</v>
      </c>
      <c r="W23" s="16">
        <f t="shared" si="6"/>
        <v>119</v>
      </c>
    </row>
    <row r="24" ht="15.75" customHeight="1">
      <c r="A24" s="7">
        <v>23.0</v>
      </c>
      <c r="B24" s="8" t="s">
        <v>23</v>
      </c>
      <c r="C24" s="17" t="s">
        <v>49</v>
      </c>
      <c r="D24" s="18">
        <v>6.0</v>
      </c>
      <c r="E24" s="18">
        <v>6.0</v>
      </c>
      <c r="F24" s="19"/>
      <c r="G24" s="145">
        <v>131.0</v>
      </c>
      <c r="H24" s="19"/>
      <c r="I24" s="22">
        <f t="shared" si="1"/>
        <v>134</v>
      </c>
      <c r="J24" s="19"/>
      <c r="K24" s="145">
        <v>265.0</v>
      </c>
      <c r="L24" s="22">
        <f t="shared" si="2"/>
        <v>0</v>
      </c>
      <c r="M24" s="22">
        <f t="shared" si="3"/>
        <v>265</v>
      </c>
      <c r="N24" s="18" t="s">
        <v>79</v>
      </c>
      <c r="O24" s="17">
        <v>13.555</v>
      </c>
      <c r="P24" s="17">
        <v>14.888</v>
      </c>
      <c r="Q24" s="17">
        <f t="shared" si="4"/>
        <v>170.658</v>
      </c>
      <c r="R24" s="146">
        <v>276329.0</v>
      </c>
      <c r="S24" s="146">
        <v>276416.0</v>
      </c>
      <c r="T24" s="146">
        <v>276416.0</v>
      </c>
      <c r="U24" s="147">
        <v>276495.0</v>
      </c>
      <c r="V24" s="26">
        <f t="shared" si="5"/>
        <v>87</v>
      </c>
      <c r="W24" s="26">
        <f t="shared" si="6"/>
        <v>79</v>
      </c>
    </row>
    <row r="25" ht="15.75" customHeight="1">
      <c r="A25" s="7">
        <v>24.0</v>
      </c>
      <c r="B25" s="8" t="s">
        <v>23</v>
      </c>
      <c r="C25" s="8" t="s">
        <v>50</v>
      </c>
      <c r="D25" s="9">
        <v>7.0</v>
      </c>
      <c r="E25" s="9">
        <v>7.0</v>
      </c>
      <c r="F25" s="10"/>
      <c r="G25" s="126">
        <v>88.0</v>
      </c>
      <c r="H25" s="10"/>
      <c r="I25" s="13">
        <f t="shared" si="1"/>
        <v>148</v>
      </c>
      <c r="J25" s="10"/>
      <c r="K25" s="126">
        <v>236.0</v>
      </c>
      <c r="L25" s="13">
        <f t="shared" si="2"/>
        <v>0</v>
      </c>
      <c r="M25" s="13">
        <f t="shared" si="3"/>
        <v>236</v>
      </c>
      <c r="N25" s="8"/>
      <c r="O25" s="8">
        <v>13.555</v>
      </c>
      <c r="P25" s="8">
        <v>14.888</v>
      </c>
      <c r="Q25" s="8">
        <f t="shared" si="4"/>
        <v>199.101</v>
      </c>
      <c r="R25" s="127">
        <v>315537.0</v>
      </c>
      <c r="S25" s="127">
        <v>315624.0</v>
      </c>
      <c r="T25" s="127">
        <v>315624.0</v>
      </c>
      <c r="U25" s="128">
        <v>315740.0</v>
      </c>
      <c r="V25" s="16">
        <f t="shared" si="5"/>
        <v>87</v>
      </c>
      <c r="W25" s="16">
        <f t="shared" si="6"/>
        <v>116</v>
      </c>
    </row>
    <row r="26" ht="15.75" customHeight="1">
      <c r="A26" s="7">
        <v>25.0</v>
      </c>
      <c r="B26" s="8" t="s">
        <v>23</v>
      </c>
      <c r="C26" s="8" t="s">
        <v>51</v>
      </c>
      <c r="D26" s="9">
        <v>7.0</v>
      </c>
      <c r="E26" s="9">
        <v>7.0</v>
      </c>
      <c r="F26" s="10"/>
      <c r="G26" s="126">
        <v>139.0</v>
      </c>
      <c r="H26" s="10"/>
      <c r="I26" s="13">
        <f t="shared" si="1"/>
        <v>145</v>
      </c>
      <c r="J26" s="10"/>
      <c r="K26" s="126">
        <v>284.0</v>
      </c>
      <c r="L26" s="13">
        <f t="shared" si="2"/>
        <v>0</v>
      </c>
      <c r="M26" s="13">
        <f t="shared" si="3"/>
        <v>284</v>
      </c>
      <c r="N26" s="8"/>
      <c r="O26" s="8">
        <v>13.555</v>
      </c>
      <c r="P26" s="8">
        <v>14.888</v>
      </c>
      <c r="Q26" s="8">
        <f t="shared" si="4"/>
        <v>199.101</v>
      </c>
      <c r="R26" s="127">
        <v>309124.0</v>
      </c>
      <c r="S26" s="127">
        <v>309211.0</v>
      </c>
      <c r="T26" s="127">
        <v>309211.0</v>
      </c>
      <c r="U26" s="128">
        <v>309327.0</v>
      </c>
      <c r="V26" s="16">
        <f t="shared" si="5"/>
        <v>87</v>
      </c>
      <c r="W26" s="16">
        <f t="shared" si="6"/>
        <v>116</v>
      </c>
    </row>
    <row r="27" ht="15.75" customHeight="1">
      <c r="A27" s="7">
        <v>26.0</v>
      </c>
      <c r="B27" s="8" t="s">
        <v>23</v>
      </c>
      <c r="C27" s="8" t="s">
        <v>52</v>
      </c>
      <c r="D27" s="9">
        <v>7.0</v>
      </c>
      <c r="E27" s="9">
        <v>7.0</v>
      </c>
      <c r="F27" s="10"/>
      <c r="G27" s="126">
        <v>122.0</v>
      </c>
      <c r="H27" s="10"/>
      <c r="I27" s="13">
        <f t="shared" si="1"/>
        <v>165</v>
      </c>
      <c r="J27" s="10"/>
      <c r="K27" s="126">
        <v>287.0</v>
      </c>
      <c r="L27" s="13">
        <f t="shared" si="2"/>
        <v>0</v>
      </c>
      <c r="M27" s="13">
        <f t="shared" si="3"/>
        <v>287</v>
      </c>
      <c r="N27" s="8"/>
      <c r="O27" s="8">
        <v>13.555</v>
      </c>
      <c r="P27" s="8">
        <v>14.888</v>
      </c>
      <c r="Q27" s="8">
        <f t="shared" si="4"/>
        <v>199.101</v>
      </c>
      <c r="R27" s="127">
        <v>273158.0</v>
      </c>
      <c r="S27" s="127">
        <v>273245.0</v>
      </c>
      <c r="T27" s="127">
        <v>273245.0</v>
      </c>
      <c r="U27" s="128">
        <v>273361.0</v>
      </c>
      <c r="V27" s="16">
        <f t="shared" si="5"/>
        <v>87</v>
      </c>
      <c r="W27" s="16">
        <f t="shared" si="6"/>
        <v>116</v>
      </c>
    </row>
    <row r="28" ht="15.75" customHeight="1">
      <c r="A28" s="7">
        <v>27.0</v>
      </c>
      <c r="B28" s="8" t="s">
        <v>23</v>
      </c>
      <c r="C28" s="8" t="s">
        <v>53</v>
      </c>
      <c r="D28" s="9">
        <v>7.0</v>
      </c>
      <c r="E28" s="9">
        <v>7.0</v>
      </c>
      <c r="F28" s="10"/>
      <c r="G28" s="126">
        <v>133.0</v>
      </c>
      <c r="H28" s="10"/>
      <c r="I28" s="13">
        <f t="shared" si="1"/>
        <v>119</v>
      </c>
      <c r="J28" s="10"/>
      <c r="K28" s="126">
        <v>252.0</v>
      </c>
      <c r="L28" s="13">
        <f t="shared" si="2"/>
        <v>0</v>
      </c>
      <c r="M28" s="13">
        <f t="shared" si="3"/>
        <v>252</v>
      </c>
      <c r="N28" s="8"/>
      <c r="O28" s="8">
        <v>13.555</v>
      </c>
      <c r="P28" s="8">
        <v>14.888</v>
      </c>
      <c r="Q28" s="8">
        <f t="shared" si="4"/>
        <v>199.101</v>
      </c>
      <c r="R28" s="127">
        <v>269028.0</v>
      </c>
      <c r="S28" s="127">
        <v>269116.0</v>
      </c>
      <c r="T28" s="127">
        <v>269116.0</v>
      </c>
      <c r="U28" s="128">
        <v>269233.0</v>
      </c>
      <c r="V28" s="16">
        <f t="shared" si="5"/>
        <v>88</v>
      </c>
      <c r="W28" s="16">
        <f t="shared" si="6"/>
        <v>117</v>
      </c>
    </row>
    <row r="29" ht="15.75" customHeight="1">
      <c r="A29" s="7">
        <v>28.0</v>
      </c>
      <c r="B29" s="8" t="s">
        <v>23</v>
      </c>
      <c r="C29" s="8" t="s">
        <v>54</v>
      </c>
      <c r="D29" s="9">
        <v>7.0</v>
      </c>
      <c r="E29" s="9">
        <v>7.0</v>
      </c>
      <c r="F29" s="10"/>
      <c r="G29" s="126">
        <v>115.0</v>
      </c>
      <c r="H29" s="10"/>
      <c r="I29" s="13">
        <f t="shared" si="1"/>
        <v>110</v>
      </c>
      <c r="J29" s="10"/>
      <c r="K29" s="126">
        <v>225.0</v>
      </c>
      <c r="L29" s="13">
        <f t="shared" si="2"/>
        <v>0</v>
      </c>
      <c r="M29" s="13">
        <f t="shared" si="3"/>
        <v>225</v>
      </c>
      <c r="N29" s="8"/>
      <c r="O29" s="8">
        <v>13.555</v>
      </c>
      <c r="P29" s="8">
        <v>14.888</v>
      </c>
      <c r="Q29" s="8">
        <f t="shared" si="4"/>
        <v>199.101</v>
      </c>
      <c r="R29" s="127">
        <v>264761.0</v>
      </c>
      <c r="S29" s="127">
        <v>264848.0</v>
      </c>
      <c r="T29" s="127">
        <v>264848.0</v>
      </c>
      <c r="U29" s="128">
        <v>264964.0</v>
      </c>
      <c r="V29" s="16">
        <f t="shared" si="5"/>
        <v>87</v>
      </c>
      <c r="W29" s="16">
        <f t="shared" si="6"/>
        <v>116</v>
      </c>
    </row>
    <row r="30" ht="15.75" customHeight="1">
      <c r="A30" s="7">
        <v>29.0</v>
      </c>
      <c r="B30" s="8" t="s">
        <v>23</v>
      </c>
      <c r="C30" s="8" t="s">
        <v>55</v>
      </c>
      <c r="D30" s="9">
        <v>7.0</v>
      </c>
      <c r="E30" s="9">
        <v>7.0</v>
      </c>
      <c r="F30" s="10"/>
      <c r="G30" s="126">
        <v>136.0</v>
      </c>
      <c r="H30" s="10"/>
      <c r="I30" s="13">
        <f t="shared" si="1"/>
        <v>100</v>
      </c>
      <c r="J30" s="10"/>
      <c r="K30" s="126">
        <v>236.0</v>
      </c>
      <c r="L30" s="13">
        <f t="shared" si="2"/>
        <v>0</v>
      </c>
      <c r="M30" s="13">
        <f t="shared" si="3"/>
        <v>236</v>
      </c>
      <c r="N30" s="8"/>
      <c r="O30" s="8">
        <v>13.555</v>
      </c>
      <c r="P30" s="8">
        <v>14.888</v>
      </c>
      <c r="Q30" s="8">
        <f t="shared" si="4"/>
        <v>199.101</v>
      </c>
      <c r="R30" s="127">
        <v>272171.0</v>
      </c>
      <c r="S30" s="127">
        <v>272272.0</v>
      </c>
      <c r="T30" s="127">
        <v>272272.0</v>
      </c>
      <c r="U30" s="128">
        <v>272374.0</v>
      </c>
      <c r="V30" s="16">
        <f t="shared" si="5"/>
        <v>101</v>
      </c>
      <c r="W30" s="16">
        <f t="shared" si="6"/>
        <v>102</v>
      </c>
    </row>
    <row r="31" ht="15.75" customHeight="1">
      <c r="A31" s="7">
        <v>30.0</v>
      </c>
      <c r="B31" s="8" t="s">
        <v>23</v>
      </c>
      <c r="C31" s="8" t="s">
        <v>56</v>
      </c>
      <c r="D31" s="9">
        <v>7.0</v>
      </c>
      <c r="E31" s="9">
        <v>7.0</v>
      </c>
      <c r="F31" s="10"/>
      <c r="G31" s="126">
        <v>102.0</v>
      </c>
      <c r="H31" s="10"/>
      <c r="I31" s="13">
        <f t="shared" si="1"/>
        <v>151</v>
      </c>
      <c r="J31" s="10"/>
      <c r="K31" s="126">
        <v>253.0</v>
      </c>
      <c r="L31" s="13">
        <f t="shared" si="2"/>
        <v>0</v>
      </c>
      <c r="M31" s="13">
        <f t="shared" si="3"/>
        <v>253</v>
      </c>
      <c r="N31" s="8"/>
      <c r="O31" s="8">
        <v>13.555</v>
      </c>
      <c r="P31" s="8">
        <v>14.888</v>
      </c>
      <c r="Q31" s="8">
        <f t="shared" si="4"/>
        <v>199.101</v>
      </c>
      <c r="R31" s="127">
        <v>273591.0</v>
      </c>
      <c r="S31" s="127">
        <v>273678.0</v>
      </c>
      <c r="T31" s="127">
        <v>273678.0</v>
      </c>
      <c r="U31" s="128">
        <v>273795.0</v>
      </c>
      <c r="V31" s="16">
        <f t="shared" si="5"/>
        <v>87</v>
      </c>
      <c r="W31" s="16">
        <f t="shared" si="6"/>
        <v>117</v>
      </c>
    </row>
    <row r="32" ht="15.75" customHeight="1">
      <c r="A32" s="35"/>
      <c r="B32" s="35"/>
      <c r="C32" s="36"/>
      <c r="D32" s="37" t="s">
        <v>57</v>
      </c>
      <c r="E32" s="38">
        <f>SUM(M:M)</f>
        <v>6829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5660.157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>
        <f>E32/E33</f>
        <v>1.206503636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>
        <f>AVERAGEIF(Q:Q,"&gt;0",Q:Q)</f>
        <v>195.1778276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3191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3191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3638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3638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6829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9">
        <v>7.0</v>
      </c>
      <c r="E2" s="9">
        <v>7.0</v>
      </c>
      <c r="F2" s="10"/>
      <c r="G2" s="126">
        <v>127.0</v>
      </c>
      <c r="H2" s="10"/>
      <c r="I2" s="13">
        <f t="shared" ref="I2:I31" si="1">max(0,K2-G2)</f>
        <v>105</v>
      </c>
      <c r="J2" s="10"/>
      <c r="K2" s="126">
        <v>232.0</v>
      </c>
      <c r="L2" s="13">
        <f t="shared" ref="L2:L31" si="2">J2+H2</f>
        <v>0</v>
      </c>
      <c r="M2" s="13">
        <f t="shared" ref="M2:M31" si="3">G2+H2+I2+J2</f>
        <v>232</v>
      </c>
      <c r="N2" s="8"/>
      <c r="O2" s="8">
        <v>13.555</v>
      </c>
      <c r="P2" s="8">
        <v>14.888</v>
      </c>
      <c r="Q2" s="8">
        <f t="shared" ref="Q2:Q31" si="4">(O2*D2)+(P2*E2)</f>
        <v>199.101</v>
      </c>
      <c r="R2" s="148">
        <v>294402.0</v>
      </c>
      <c r="S2" s="149">
        <v>294490.0</v>
      </c>
      <c r="T2" s="149">
        <v>294490.0</v>
      </c>
      <c r="U2" s="149">
        <v>294606.0</v>
      </c>
      <c r="V2" s="16">
        <f t="shared" ref="V2:V31" si="5">S2-R2</f>
        <v>88</v>
      </c>
      <c r="W2" s="16">
        <f t="shared" ref="W2:W31" si="6">U2-T2</f>
        <v>116</v>
      </c>
    </row>
    <row r="3" ht="15.75" customHeight="1">
      <c r="A3" s="7">
        <v>2.0</v>
      </c>
      <c r="B3" s="8" t="s">
        <v>23</v>
      </c>
      <c r="C3" s="8" t="s">
        <v>25</v>
      </c>
      <c r="D3" s="9">
        <v>7.0</v>
      </c>
      <c r="E3" s="9">
        <v>7.0</v>
      </c>
      <c r="F3" s="10"/>
      <c r="G3" s="126">
        <v>112.0</v>
      </c>
      <c r="H3" s="126">
        <v>20.0</v>
      </c>
      <c r="I3" s="13">
        <f t="shared" si="1"/>
        <v>129</v>
      </c>
      <c r="J3" s="10"/>
      <c r="K3" s="126">
        <v>241.0</v>
      </c>
      <c r="L3" s="13">
        <f t="shared" si="2"/>
        <v>20</v>
      </c>
      <c r="M3" s="13">
        <f t="shared" si="3"/>
        <v>261</v>
      </c>
      <c r="N3" s="8"/>
      <c r="O3" s="8">
        <v>13.555</v>
      </c>
      <c r="P3" s="8">
        <v>14.888</v>
      </c>
      <c r="Q3" s="8">
        <f t="shared" si="4"/>
        <v>199.101</v>
      </c>
      <c r="R3" s="148">
        <v>275588.0</v>
      </c>
      <c r="S3" s="149">
        <v>275677.0</v>
      </c>
      <c r="T3" s="149">
        <v>275677.0</v>
      </c>
      <c r="U3" s="149">
        <v>275793.0</v>
      </c>
      <c r="V3" s="16">
        <f t="shared" si="5"/>
        <v>89</v>
      </c>
      <c r="W3" s="16">
        <f t="shared" si="6"/>
        <v>116</v>
      </c>
    </row>
    <row r="4" ht="15.75" customHeight="1">
      <c r="A4" s="7">
        <v>3.0</v>
      </c>
      <c r="B4" s="8" t="s">
        <v>23</v>
      </c>
      <c r="C4" s="8" t="s">
        <v>26</v>
      </c>
      <c r="D4" s="9">
        <v>7.0</v>
      </c>
      <c r="E4" s="9">
        <v>7.0</v>
      </c>
      <c r="F4" s="10"/>
      <c r="G4" s="126">
        <v>108.0</v>
      </c>
      <c r="H4" s="10"/>
      <c r="I4" s="13">
        <f t="shared" si="1"/>
        <v>145</v>
      </c>
      <c r="J4" s="10"/>
      <c r="K4" s="126">
        <v>253.0</v>
      </c>
      <c r="L4" s="13">
        <f t="shared" si="2"/>
        <v>0</v>
      </c>
      <c r="M4" s="13">
        <f t="shared" si="3"/>
        <v>253</v>
      </c>
      <c r="N4" s="8"/>
      <c r="O4" s="8">
        <v>13.555</v>
      </c>
      <c r="P4" s="8">
        <v>14.888</v>
      </c>
      <c r="Q4" s="8">
        <f t="shared" si="4"/>
        <v>199.101</v>
      </c>
      <c r="R4" s="148">
        <v>459134.0</v>
      </c>
      <c r="S4" s="148">
        <v>459221.0</v>
      </c>
      <c r="T4" s="148">
        <v>459221.0</v>
      </c>
      <c r="U4" s="149">
        <v>459338.0</v>
      </c>
      <c r="V4" s="16">
        <f t="shared" si="5"/>
        <v>87</v>
      </c>
      <c r="W4" s="16">
        <f t="shared" si="6"/>
        <v>117</v>
      </c>
    </row>
    <row r="5" ht="15.75" customHeight="1">
      <c r="A5" s="7">
        <v>4.0</v>
      </c>
      <c r="B5" s="8" t="s">
        <v>23</v>
      </c>
      <c r="C5" s="8" t="s">
        <v>27</v>
      </c>
      <c r="D5" s="9">
        <v>7.0</v>
      </c>
      <c r="E5" s="9">
        <v>7.0</v>
      </c>
      <c r="F5" s="10"/>
      <c r="G5" s="126">
        <v>111.0</v>
      </c>
      <c r="H5" s="10"/>
      <c r="I5" s="13">
        <f t="shared" si="1"/>
        <v>136</v>
      </c>
      <c r="J5" s="10"/>
      <c r="K5" s="126">
        <v>247.0</v>
      </c>
      <c r="L5" s="13">
        <f t="shared" si="2"/>
        <v>0</v>
      </c>
      <c r="M5" s="13">
        <f t="shared" si="3"/>
        <v>247</v>
      </c>
      <c r="N5" s="8"/>
      <c r="O5" s="8">
        <v>13.555</v>
      </c>
      <c r="P5" s="8">
        <v>14.888</v>
      </c>
      <c r="Q5" s="8">
        <f t="shared" si="4"/>
        <v>199.101</v>
      </c>
      <c r="R5" s="148">
        <v>271026.0</v>
      </c>
      <c r="S5" s="148">
        <v>271127.0</v>
      </c>
      <c r="T5" s="148">
        <v>271127.0</v>
      </c>
      <c r="U5" s="149">
        <v>271229.0</v>
      </c>
      <c r="V5" s="16">
        <f t="shared" si="5"/>
        <v>101</v>
      </c>
      <c r="W5" s="16">
        <f t="shared" si="6"/>
        <v>102</v>
      </c>
    </row>
    <row r="6" ht="15.75" customHeight="1">
      <c r="A6" s="7">
        <v>5.0</v>
      </c>
      <c r="B6" s="8" t="s">
        <v>23</v>
      </c>
      <c r="C6" s="8" t="s">
        <v>28</v>
      </c>
      <c r="D6" s="9">
        <v>7.0</v>
      </c>
      <c r="E6" s="9">
        <v>7.0</v>
      </c>
      <c r="F6" s="10"/>
      <c r="G6" s="126">
        <v>110.0</v>
      </c>
      <c r="H6" s="10"/>
      <c r="I6" s="13">
        <f t="shared" si="1"/>
        <v>126</v>
      </c>
      <c r="J6" s="126">
        <v>25.0</v>
      </c>
      <c r="K6" s="126">
        <v>236.0</v>
      </c>
      <c r="L6" s="13">
        <f t="shared" si="2"/>
        <v>25</v>
      </c>
      <c r="M6" s="13">
        <f t="shared" si="3"/>
        <v>261</v>
      </c>
      <c r="N6" s="8"/>
      <c r="O6" s="8">
        <v>13.555</v>
      </c>
      <c r="P6" s="8">
        <v>14.888</v>
      </c>
      <c r="Q6" s="8">
        <f t="shared" si="4"/>
        <v>199.101</v>
      </c>
      <c r="R6" s="148">
        <v>280772.0</v>
      </c>
      <c r="S6" s="148">
        <v>280859.0</v>
      </c>
      <c r="T6" s="148">
        <v>280859.0</v>
      </c>
      <c r="U6" s="149">
        <v>280975.0</v>
      </c>
      <c r="V6" s="16">
        <f t="shared" si="5"/>
        <v>87</v>
      </c>
      <c r="W6" s="16">
        <f t="shared" si="6"/>
        <v>116</v>
      </c>
    </row>
    <row r="7" ht="15.75" customHeight="1">
      <c r="A7" s="7">
        <v>6.0</v>
      </c>
      <c r="B7" s="8" t="s">
        <v>23</v>
      </c>
      <c r="C7" s="8" t="s">
        <v>29</v>
      </c>
      <c r="D7" s="9">
        <v>7.0</v>
      </c>
      <c r="E7" s="9">
        <v>7.0</v>
      </c>
      <c r="F7" s="10"/>
      <c r="G7" s="126">
        <v>93.0</v>
      </c>
      <c r="H7" s="126">
        <v>11.0</v>
      </c>
      <c r="I7" s="13">
        <f t="shared" si="1"/>
        <v>155</v>
      </c>
      <c r="J7" s="10"/>
      <c r="K7" s="126">
        <v>248.0</v>
      </c>
      <c r="L7" s="13">
        <f t="shared" si="2"/>
        <v>11</v>
      </c>
      <c r="M7" s="13">
        <f t="shared" si="3"/>
        <v>259</v>
      </c>
      <c r="N7" s="8"/>
      <c r="O7" s="8">
        <v>13.555</v>
      </c>
      <c r="P7" s="8">
        <v>14.888</v>
      </c>
      <c r="Q7" s="8">
        <f t="shared" si="4"/>
        <v>199.101</v>
      </c>
      <c r="R7" s="148">
        <v>278036.0</v>
      </c>
      <c r="S7" s="148">
        <v>278138.0</v>
      </c>
      <c r="T7" s="148">
        <v>278138.0</v>
      </c>
      <c r="U7" s="149">
        <v>278240.0</v>
      </c>
      <c r="V7" s="16">
        <f t="shared" si="5"/>
        <v>102</v>
      </c>
      <c r="W7" s="16">
        <f t="shared" si="6"/>
        <v>102</v>
      </c>
    </row>
    <row r="8" ht="15.75" customHeight="1">
      <c r="A8" s="7">
        <v>7.0</v>
      </c>
      <c r="B8" s="8" t="s">
        <v>23</v>
      </c>
      <c r="C8" s="8" t="s">
        <v>30</v>
      </c>
      <c r="D8" s="9">
        <v>7.0</v>
      </c>
      <c r="E8" s="9">
        <v>7.0</v>
      </c>
      <c r="F8" s="10"/>
      <c r="G8" s="126">
        <v>88.0</v>
      </c>
      <c r="H8" s="10"/>
      <c r="I8" s="13">
        <f t="shared" si="1"/>
        <v>162</v>
      </c>
      <c r="J8" s="10"/>
      <c r="K8" s="126">
        <v>250.0</v>
      </c>
      <c r="L8" s="13">
        <f t="shared" si="2"/>
        <v>0</v>
      </c>
      <c r="M8" s="13">
        <f t="shared" si="3"/>
        <v>250</v>
      </c>
      <c r="N8" s="8"/>
      <c r="O8" s="8">
        <v>13.555</v>
      </c>
      <c r="P8" s="8">
        <v>14.888</v>
      </c>
      <c r="Q8" s="8">
        <f t="shared" si="4"/>
        <v>199.101</v>
      </c>
      <c r="R8" s="148">
        <v>270752.0</v>
      </c>
      <c r="S8" s="148">
        <v>270850.0</v>
      </c>
      <c r="T8" s="148">
        <v>270850.0</v>
      </c>
      <c r="U8" s="149">
        <v>270966.0</v>
      </c>
      <c r="V8" s="16">
        <f t="shared" si="5"/>
        <v>98</v>
      </c>
      <c r="W8" s="16">
        <f t="shared" si="6"/>
        <v>116</v>
      </c>
    </row>
    <row r="9" ht="15.75" customHeight="1">
      <c r="A9" s="7">
        <v>8.0</v>
      </c>
      <c r="B9" s="8" t="s">
        <v>23</v>
      </c>
      <c r="C9" s="8" t="s">
        <v>32</v>
      </c>
      <c r="D9" s="9">
        <v>7.0</v>
      </c>
      <c r="E9" s="9">
        <v>7.0</v>
      </c>
      <c r="F9" s="10"/>
      <c r="G9" s="126">
        <v>93.0</v>
      </c>
      <c r="H9" s="10"/>
      <c r="I9" s="13">
        <f t="shared" si="1"/>
        <v>154</v>
      </c>
      <c r="J9" s="10"/>
      <c r="K9" s="126">
        <v>247.0</v>
      </c>
      <c r="L9" s="13">
        <f t="shared" si="2"/>
        <v>0</v>
      </c>
      <c r="M9" s="13">
        <f t="shared" si="3"/>
        <v>247</v>
      </c>
      <c r="N9" s="8"/>
      <c r="O9" s="8">
        <v>13.555</v>
      </c>
      <c r="P9" s="8">
        <v>14.888</v>
      </c>
      <c r="Q9" s="8">
        <f t="shared" si="4"/>
        <v>199.101</v>
      </c>
      <c r="R9" s="148">
        <v>278232.0</v>
      </c>
      <c r="S9" s="148">
        <v>278321.0</v>
      </c>
      <c r="T9" s="148">
        <v>278321.0</v>
      </c>
      <c r="U9" s="149">
        <v>278437.0</v>
      </c>
      <c r="V9" s="16">
        <f t="shared" si="5"/>
        <v>89</v>
      </c>
      <c r="W9" s="16">
        <f t="shared" si="6"/>
        <v>116</v>
      </c>
    </row>
    <row r="10" ht="15.75" customHeight="1">
      <c r="A10" s="7">
        <v>9.0</v>
      </c>
      <c r="B10" s="8" t="s">
        <v>23</v>
      </c>
      <c r="C10" s="8" t="s">
        <v>33</v>
      </c>
      <c r="D10" s="9">
        <v>7.0</v>
      </c>
      <c r="E10" s="9">
        <v>7.0</v>
      </c>
      <c r="F10" s="10"/>
      <c r="G10" s="126">
        <v>110.0</v>
      </c>
      <c r="H10" s="10"/>
      <c r="I10" s="13">
        <f t="shared" si="1"/>
        <v>129</v>
      </c>
      <c r="J10" s="10"/>
      <c r="K10" s="126">
        <v>239.0</v>
      </c>
      <c r="L10" s="13">
        <f t="shared" si="2"/>
        <v>0</v>
      </c>
      <c r="M10" s="13">
        <f t="shared" si="3"/>
        <v>239</v>
      </c>
      <c r="N10" s="8"/>
      <c r="O10" s="8">
        <v>13.555</v>
      </c>
      <c r="P10" s="8">
        <v>14.888</v>
      </c>
      <c r="Q10" s="8">
        <f t="shared" si="4"/>
        <v>199.101</v>
      </c>
      <c r="R10" s="148">
        <v>353648.0</v>
      </c>
      <c r="S10" s="148">
        <v>353735.0</v>
      </c>
      <c r="T10" s="148">
        <v>353735.0</v>
      </c>
      <c r="U10" s="149">
        <v>353851.0</v>
      </c>
      <c r="V10" s="16">
        <f t="shared" si="5"/>
        <v>87</v>
      </c>
      <c r="W10" s="16">
        <f t="shared" si="6"/>
        <v>116</v>
      </c>
    </row>
    <row r="11" ht="15.75" customHeight="1">
      <c r="A11" s="7">
        <v>10.0</v>
      </c>
      <c r="B11" s="8" t="s">
        <v>23</v>
      </c>
      <c r="C11" s="8" t="s">
        <v>34</v>
      </c>
      <c r="D11" s="9">
        <v>7.0</v>
      </c>
      <c r="E11" s="9">
        <v>7.0</v>
      </c>
      <c r="F11" s="10"/>
      <c r="G11" s="126">
        <v>120.0</v>
      </c>
      <c r="H11" s="10"/>
      <c r="I11" s="13">
        <f t="shared" si="1"/>
        <v>95</v>
      </c>
      <c r="J11" s="10"/>
      <c r="K11" s="126">
        <v>215.0</v>
      </c>
      <c r="L11" s="13">
        <f t="shared" si="2"/>
        <v>0</v>
      </c>
      <c r="M11" s="13">
        <f t="shared" si="3"/>
        <v>215</v>
      </c>
      <c r="N11" s="8"/>
      <c r="O11" s="8">
        <v>13.555</v>
      </c>
      <c r="P11" s="8">
        <v>14.888</v>
      </c>
      <c r="Q11" s="8">
        <f t="shared" si="4"/>
        <v>199.101</v>
      </c>
      <c r="R11" s="148">
        <v>334205.0</v>
      </c>
      <c r="S11" s="148">
        <v>334292.0</v>
      </c>
      <c r="T11" s="148">
        <v>334292.0</v>
      </c>
      <c r="U11" s="149">
        <v>334407.0</v>
      </c>
      <c r="V11" s="16">
        <f t="shared" si="5"/>
        <v>87</v>
      </c>
      <c r="W11" s="16">
        <f t="shared" si="6"/>
        <v>115</v>
      </c>
    </row>
    <row r="12" ht="15.75" customHeight="1">
      <c r="A12" s="7">
        <v>11.0</v>
      </c>
      <c r="B12" s="8" t="s">
        <v>23</v>
      </c>
      <c r="C12" s="8" t="s">
        <v>36</v>
      </c>
      <c r="D12" s="9">
        <v>7.0</v>
      </c>
      <c r="E12" s="9">
        <v>7.0</v>
      </c>
      <c r="F12" s="10"/>
      <c r="G12" s="126">
        <v>90.0</v>
      </c>
      <c r="H12" s="126">
        <v>15.0</v>
      </c>
      <c r="I12" s="13">
        <f t="shared" si="1"/>
        <v>132</v>
      </c>
      <c r="J12" s="10"/>
      <c r="K12" s="126">
        <v>222.0</v>
      </c>
      <c r="L12" s="13">
        <f t="shared" si="2"/>
        <v>15</v>
      </c>
      <c r="M12" s="13">
        <f t="shared" si="3"/>
        <v>237</v>
      </c>
      <c r="N12" s="8"/>
      <c r="O12" s="8">
        <v>13.555</v>
      </c>
      <c r="P12" s="8">
        <v>14.888</v>
      </c>
      <c r="Q12" s="8">
        <f t="shared" si="4"/>
        <v>199.101</v>
      </c>
      <c r="R12" s="148">
        <v>397849.0</v>
      </c>
      <c r="S12" s="148">
        <v>397950.0</v>
      </c>
      <c r="T12" s="148">
        <v>397950.0</v>
      </c>
      <c r="U12" s="149">
        <v>398051.0</v>
      </c>
      <c r="V12" s="16">
        <f t="shared" si="5"/>
        <v>101</v>
      </c>
      <c r="W12" s="16">
        <f t="shared" si="6"/>
        <v>101</v>
      </c>
    </row>
    <row r="13" ht="15.75" customHeight="1">
      <c r="A13" s="7">
        <v>12.0</v>
      </c>
      <c r="B13" s="8" t="s">
        <v>23</v>
      </c>
      <c r="C13" s="8" t="s">
        <v>37</v>
      </c>
      <c r="D13" s="9">
        <v>7.0</v>
      </c>
      <c r="E13" s="9">
        <v>7.0</v>
      </c>
      <c r="F13" s="10"/>
      <c r="G13" s="126">
        <v>91.0</v>
      </c>
      <c r="H13" s="10"/>
      <c r="I13" s="13">
        <f t="shared" si="1"/>
        <v>148</v>
      </c>
      <c r="J13" s="10"/>
      <c r="K13" s="126">
        <v>239.0</v>
      </c>
      <c r="L13" s="13">
        <f t="shared" si="2"/>
        <v>0</v>
      </c>
      <c r="M13" s="13">
        <f t="shared" si="3"/>
        <v>239</v>
      </c>
      <c r="N13" s="8"/>
      <c r="O13" s="8">
        <v>13.555</v>
      </c>
      <c r="P13" s="8">
        <v>14.888</v>
      </c>
      <c r="Q13" s="8">
        <f t="shared" si="4"/>
        <v>199.101</v>
      </c>
      <c r="R13" s="148">
        <v>272161.0</v>
      </c>
      <c r="S13" s="148">
        <v>272262.0</v>
      </c>
      <c r="T13" s="148">
        <v>272262.0</v>
      </c>
      <c r="U13" s="149">
        <v>272364.0</v>
      </c>
      <c r="V13" s="16">
        <f t="shared" si="5"/>
        <v>101</v>
      </c>
      <c r="W13" s="16">
        <f t="shared" si="6"/>
        <v>102</v>
      </c>
    </row>
    <row r="14" ht="15.75" customHeight="1">
      <c r="A14" s="7">
        <v>13.0</v>
      </c>
      <c r="B14" s="8" t="s">
        <v>23</v>
      </c>
      <c r="C14" s="8" t="s">
        <v>38</v>
      </c>
      <c r="D14" s="9">
        <v>7.0</v>
      </c>
      <c r="E14" s="9">
        <v>7.0</v>
      </c>
      <c r="F14" s="10"/>
      <c r="G14" s="126">
        <v>96.0</v>
      </c>
      <c r="H14" s="10"/>
      <c r="I14" s="13">
        <f t="shared" si="1"/>
        <v>152</v>
      </c>
      <c r="J14" s="10"/>
      <c r="K14" s="126">
        <v>248.0</v>
      </c>
      <c r="L14" s="13">
        <f t="shared" si="2"/>
        <v>0</v>
      </c>
      <c r="M14" s="13">
        <f t="shared" si="3"/>
        <v>248</v>
      </c>
      <c r="N14" s="8"/>
      <c r="O14" s="8">
        <v>13.555</v>
      </c>
      <c r="P14" s="8">
        <v>14.888</v>
      </c>
      <c r="Q14" s="8">
        <f t="shared" si="4"/>
        <v>199.101</v>
      </c>
      <c r="R14" s="148">
        <v>366148.0</v>
      </c>
      <c r="S14" s="148">
        <v>366235.0</v>
      </c>
      <c r="T14" s="148">
        <v>366235.0</v>
      </c>
      <c r="U14" s="149">
        <v>366351.0</v>
      </c>
      <c r="V14" s="16">
        <f t="shared" si="5"/>
        <v>87</v>
      </c>
      <c r="W14" s="16">
        <f t="shared" si="6"/>
        <v>116</v>
      </c>
    </row>
    <row r="15" ht="15.75" customHeight="1">
      <c r="A15" s="7">
        <v>14.0</v>
      </c>
      <c r="B15" s="8" t="s">
        <v>23</v>
      </c>
      <c r="C15" s="8" t="s">
        <v>39</v>
      </c>
      <c r="D15" s="9">
        <v>7.0</v>
      </c>
      <c r="E15" s="9">
        <v>7.0</v>
      </c>
      <c r="F15" s="10"/>
      <c r="G15" s="126">
        <v>124.0</v>
      </c>
      <c r="H15" s="10"/>
      <c r="I15" s="13">
        <f t="shared" si="1"/>
        <v>134</v>
      </c>
      <c r="J15" s="10"/>
      <c r="K15" s="126">
        <v>258.0</v>
      </c>
      <c r="L15" s="13">
        <f t="shared" si="2"/>
        <v>0</v>
      </c>
      <c r="M15" s="13">
        <f t="shared" si="3"/>
        <v>258</v>
      </c>
      <c r="N15" s="8"/>
      <c r="O15" s="8">
        <v>13.555</v>
      </c>
      <c r="P15" s="8">
        <v>14.888</v>
      </c>
      <c r="Q15" s="8">
        <f t="shared" si="4"/>
        <v>199.101</v>
      </c>
      <c r="R15" s="148">
        <v>313892.0</v>
      </c>
      <c r="S15" s="148">
        <v>313979.0</v>
      </c>
      <c r="T15" s="148">
        <v>313979.0</v>
      </c>
      <c r="U15" s="149">
        <v>314095.0</v>
      </c>
      <c r="V15" s="16">
        <f t="shared" si="5"/>
        <v>87</v>
      </c>
      <c r="W15" s="16">
        <f t="shared" si="6"/>
        <v>116</v>
      </c>
    </row>
    <row r="16" ht="15.75" customHeight="1">
      <c r="A16" s="7">
        <v>15.0</v>
      </c>
      <c r="B16" s="8" t="s">
        <v>23</v>
      </c>
      <c r="C16" s="8" t="s">
        <v>40</v>
      </c>
      <c r="D16" s="9">
        <v>7.0</v>
      </c>
      <c r="E16" s="9">
        <v>7.0</v>
      </c>
      <c r="F16" s="10"/>
      <c r="G16" s="126">
        <v>113.0</v>
      </c>
      <c r="H16" s="10"/>
      <c r="I16" s="13">
        <f t="shared" si="1"/>
        <v>150</v>
      </c>
      <c r="J16" s="10"/>
      <c r="K16" s="126">
        <v>263.0</v>
      </c>
      <c r="L16" s="13">
        <f t="shared" si="2"/>
        <v>0</v>
      </c>
      <c r="M16" s="13">
        <f t="shared" si="3"/>
        <v>263</v>
      </c>
      <c r="N16" s="8"/>
      <c r="O16" s="8">
        <v>13.555</v>
      </c>
      <c r="P16" s="8">
        <v>14.888</v>
      </c>
      <c r="Q16" s="8">
        <f t="shared" si="4"/>
        <v>199.101</v>
      </c>
      <c r="R16" s="148">
        <v>411795.0</v>
      </c>
      <c r="S16" s="148">
        <v>411896.0</v>
      </c>
      <c r="T16" s="148">
        <v>411896.0</v>
      </c>
      <c r="U16" s="149">
        <v>412002.0</v>
      </c>
      <c r="V16" s="16">
        <f t="shared" si="5"/>
        <v>101</v>
      </c>
      <c r="W16" s="16">
        <f t="shared" si="6"/>
        <v>106</v>
      </c>
    </row>
    <row r="17" ht="15.75" customHeight="1">
      <c r="A17" s="7">
        <v>16.0</v>
      </c>
      <c r="B17" s="8" t="s">
        <v>23</v>
      </c>
      <c r="C17" s="27" t="s">
        <v>41</v>
      </c>
      <c r="D17" s="27"/>
      <c r="E17" s="27"/>
      <c r="F17" s="29"/>
      <c r="G17" s="29"/>
      <c r="H17" s="29"/>
      <c r="I17" s="31">
        <f t="shared" si="1"/>
        <v>0</v>
      </c>
      <c r="J17" s="29"/>
      <c r="K17" s="29"/>
      <c r="L17" s="31">
        <f t="shared" si="2"/>
        <v>0</v>
      </c>
      <c r="M17" s="31">
        <f t="shared" si="3"/>
        <v>0</v>
      </c>
      <c r="N17" s="28" t="s">
        <v>80</v>
      </c>
      <c r="O17" s="27">
        <v>13.555</v>
      </c>
      <c r="P17" s="27">
        <v>14.888</v>
      </c>
      <c r="Q17" s="27">
        <f t="shared" si="4"/>
        <v>0</v>
      </c>
      <c r="R17" s="150"/>
      <c r="S17" s="150"/>
      <c r="T17" s="150"/>
      <c r="U17" s="151"/>
      <c r="V17" s="34">
        <f t="shared" si="5"/>
        <v>0</v>
      </c>
      <c r="W17" s="34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9">
        <v>7.0</v>
      </c>
      <c r="E18" s="9">
        <v>7.0</v>
      </c>
      <c r="F18" s="10"/>
      <c r="G18" s="126">
        <v>127.0</v>
      </c>
      <c r="H18" s="10"/>
      <c r="I18" s="13">
        <f t="shared" si="1"/>
        <v>101</v>
      </c>
      <c r="J18" s="10"/>
      <c r="K18" s="126">
        <v>228.0</v>
      </c>
      <c r="L18" s="13">
        <f t="shared" si="2"/>
        <v>0</v>
      </c>
      <c r="M18" s="13">
        <f t="shared" si="3"/>
        <v>228</v>
      </c>
      <c r="N18" s="8"/>
      <c r="O18" s="8">
        <v>13.555</v>
      </c>
      <c r="P18" s="8">
        <v>14.888</v>
      </c>
      <c r="Q18" s="8">
        <f t="shared" si="4"/>
        <v>199.101</v>
      </c>
      <c r="R18" s="148">
        <v>269153.0</v>
      </c>
      <c r="S18" s="148">
        <v>269254.0</v>
      </c>
      <c r="T18" s="148">
        <v>269254.0</v>
      </c>
      <c r="U18" s="149">
        <v>269356.0</v>
      </c>
      <c r="V18" s="16">
        <f t="shared" si="5"/>
        <v>101</v>
      </c>
      <c r="W18" s="16">
        <f t="shared" si="6"/>
        <v>102</v>
      </c>
    </row>
    <row r="19" ht="15.75" customHeight="1">
      <c r="A19" s="7">
        <v>18.0</v>
      </c>
      <c r="B19" s="8" t="s">
        <v>23</v>
      </c>
      <c r="C19" s="8" t="s">
        <v>44</v>
      </c>
      <c r="D19" s="9">
        <v>7.0</v>
      </c>
      <c r="E19" s="9">
        <v>7.0</v>
      </c>
      <c r="F19" s="10"/>
      <c r="G19" s="126">
        <v>98.0</v>
      </c>
      <c r="H19" s="10"/>
      <c r="I19" s="13">
        <f t="shared" si="1"/>
        <v>141</v>
      </c>
      <c r="J19" s="10"/>
      <c r="K19" s="126">
        <v>239.0</v>
      </c>
      <c r="L19" s="13">
        <f t="shared" si="2"/>
        <v>0</v>
      </c>
      <c r="M19" s="13">
        <f t="shared" si="3"/>
        <v>239</v>
      </c>
      <c r="N19" s="8"/>
      <c r="O19" s="8">
        <v>13.555</v>
      </c>
      <c r="P19" s="8">
        <v>14.888</v>
      </c>
      <c r="Q19" s="8">
        <f t="shared" si="4"/>
        <v>199.101</v>
      </c>
      <c r="R19" s="148">
        <v>287282.0</v>
      </c>
      <c r="S19" s="148">
        <v>287370.0</v>
      </c>
      <c r="T19" s="148">
        <v>287370.0</v>
      </c>
      <c r="U19" s="149">
        <v>287486.0</v>
      </c>
      <c r="V19" s="16">
        <f t="shared" si="5"/>
        <v>88</v>
      </c>
      <c r="W19" s="16">
        <f t="shared" si="6"/>
        <v>116</v>
      </c>
    </row>
    <row r="20" ht="15.75" customHeight="1">
      <c r="A20" s="7">
        <v>19.0</v>
      </c>
      <c r="B20" s="8" t="s">
        <v>23</v>
      </c>
      <c r="C20" s="8" t="s">
        <v>45</v>
      </c>
      <c r="D20" s="9">
        <v>7.0</v>
      </c>
      <c r="E20" s="9">
        <v>7.0</v>
      </c>
      <c r="F20" s="10"/>
      <c r="G20" s="126">
        <v>117.0</v>
      </c>
      <c r="H20" s="10"/>
      <c r="I20" s="13">
        <f t="shared" si="1"/>
        <v>131</v>
      </c>
      <c r="J20" s="10"/>
      <c r="K20" s="126">
        <v>248.0</v>
      </c>
      <c r="L20" s="13">
        <f t="shared" si="2"/>
        <v>0</v>
      </c>
      <c r="M20" s="13">
        <f t="shared" si="3"/>
        <v>248</v>
      </c>
      <c r="N20" s="8"/>
      <c r="O20" s="8">
        <v>13.555</v>
      </c>
      <c r="P20" s="8">
        <v>14.888</v>
      </c>
      <c r="Q20" s="8">
        <f t="shared" si="4"/>
        <v>199.101</v>
      </c>
      <c r="R20" s="148">
        <v>285558.0</v>
      </c>
      <c r="S20" s="148">
        <v>285659.0</v>
      </c>
      <c r="T20" s="148">
        <v>285659.0</v>
      </c>
      <c r="U20" s="149">
        <v>285761.0</v>
      </c>
      <c r="V20" s="16">
        <f t="shared" si="5"/>
        <v>101</v>
      </c>
      <c r="W20" s="16">
        <f t="shared" si="6"/>
        <v>102</v>
      </c>
    </row>
    <row r="21" ht="15.75" customHeight="1">
      <c r="A21" s="7">
        <v>20.0</v>
      </c>
      <c r="B21" s="8" t="s">
        <v>23</v>
      </c>
      <c r="C21" s="8" t="s">
        <v>46</v>
      </c>
      <c r="D21" s="9">
        <v>7.0</v>
      </c>
      <c r="E21" s="9">
        <v>7.0</v>
      </c>
      <c r="F21" s="10"/>
      <c r="G21" s="126">
        <v>102.0</v>
      </c>
      <c r="H21" s="10"/>
      <c r="I21" s="13">
        <f t="shared" si="1"/>
        <v>157</v>
      </c>
      <c r="J21" s="10"/>
      <c r="K21" s="126">
        <v>259.0</v>
      </c>
      <c r="L21" s="13">
        <f t="shared" si="2"/>
        <v>0</v>
      </c>
      <c r="M21" s="13">
        <f t="shared" si="3"/>
        <v>259</v>
      </c>
      <c r="N21" s="8"/>
      <c r="O21" s="8">
        <v>13.555</v>
      </c>
      <c r="P21" s="8">
        <v>14.888</v>
      </c>
      <c r="Q21" s="8">
        <f t="shared" si="4"/>
        <v>199.101</v>
      </c>
      <c r="R21" s="148">
        <v>275674.0</v>
      </c>
      <c r="S21" s="148">
        <v>275764.0</v>
      </c>
      <c r="T21" s="148">
        <v>275764.0</v>
      </c>
      <c r="U21" s="149">
        <v>275884.0</v>
      </c>
      <c r="V21" s="16">
        <f t="shared" si="5"/>
        <v>90</v>
      </c>
      <c r="W21" s="16">
        <f t="shared" si="6"/>
        <v>120</v>
      </c>
    </row>
    <row r="22" ht="15.75" customHeight="1">
      <c r="A22" s="7">
        <v>21.0</v>
      </c>
      <c r="B22" s="8" t="s">
        <v>23</v>
      </c>
      <c r="C22" s="8" t="s">
        <v>47</v>
      </c>
      <c r="D22" s="9">
        <v>7.0</v>
      </c>
      <c r="E22" s="9">
        <v>7.0</v>
      </c>
      <c r="F22" s="10"/>
      <c r="G22" s="126">
        <v>140.0</v>
      </c>
      <c r="H22" s="10"/>
      <c r="I22" s="13">
        <f t="shared" si="1"/>
        <v>118</v>
      </c>
      <c r="J22" s="10"/>
      <c r="K22" s="126">
        <v>258.0</v>
      </c>
      <c r="L22" s="13">
        <f t="shared" si="2"/>
        <v>0</v>
      </c>
      <c r="M22" s="13">
        <f t="shared" si="3"/>
        <v>258</v>
      </c>
      <c r="N22" s="8"/>
      <c r="O22" s="8">
        <v>13.555</v>
      </c>
      <c r="P22" s="8">
        <v>14.888</v>
      </c>
      <c r="Q22" s="8">
        <f t="shared" si="4"/>
        <v>199.101</v>
      </c>
      <c r="R22" s="148">
        <v>281461.0</v>
      </c>
      <c r="S22" s="148">
        <v>281550.0</v>
      </c>
      <c r="T22" s="148">
        <v>281550.0</v>
      </c>
      <c r="U22" s="149">
        <v>281666.0</v>
      </c>
      <c r="V22" s="16">
        <f t="shared" si="5"/>
        <v>89</v>
      </c>
      <c r="W22" s="16">
        <f t="shared" si="6"/>
        <v>116</v>
      </c>
    </row>
    <row r="23" ht="15.75" customHeight="1">
      <c r="A23" s="7">
        <v>22.0</v>
      </c>
      <c r="B23" s="8" t="s">
        <v>23</v>
      </c>
      <c r="C23" s="8" t="s">
        <v>48</v>
      </c>
      <c r="D23" s="9">
        <v>7.0</v>
      </c>
      <c r="E23" s="9">
        <v>7.0</v>
      </c>
      <c r="F23" s="10"/>
      <c r="G23" s="126">
        <v>118.0</v>
      </c>
      <c r="H23" s="10"/>
      <c r="I23" s="13">
        <f t="shared" si="1"/>
        <v>130</v>
      </c>
      <c r="J23" s="10"/>
      <c r="K23" s="126">
        <v>248.0</v>
      </c>
      <c r="L23" s="13">
        <f t="shared" si="2"/>
        <v>0</v>
      </c>
      <c r="M23" s="13">
        <f t="shared" si="3"/>
        <v>248</v>
      </c>
      <c r="N23" s="8"/>
      <c r="O23" s="8">
        <v>13.555</v>
      </c>
      <c r="P23" s="8">
        <v>14.888</v>
      </c>
      <c r="Q23" s="8">
        <f t="shared" si="4"/>
        <v>199.101</v>
      </c>
      <c r="R23" s="148">
        <v>276888.0</v>
      </c>
      <c r="S23" s="148">
        <v>276978.0</v>
      </c>
      <c r="T23" s="148">
        <v>276978.0</v>
      </c>
      <c r="U23" s="149">
        <v>277097.0</v>
      </c>
      <c r="V23" s="16">
        <f t="shared" si="5"/>
        <v>90</v>
      </c>
      <c r="W23" s="16">
        <f t="shared" si="6"/>
        <v>119</v>
      </c>
    </row>
    <row r="24" ht="15.75" customHeight="1">
      <c r="A24" s="7">
        <v>23.0</v>
      </c>
      <c r="B24" s="8" t="s">
        <v>23</v>
      </c>
      <c r="C24" s="82" t="s">
        <v>49</v>
      </c>
      <c r="D24" s="82"/>
      <c r="E24" s="82"/>
      <c r="F24" s="113"/>
      <c r="G24" s="113"/>
      <c r="H24" s="113"/>
      <c r="I24" s="116">
        <f t="shared" si="1"/>
        <v>0</v>
      </c>
      <c r="J24" s="113"/>
      <c r="K24" s="113"/>
      <c r="L24" s="116">
        <f t="shared" si="2"/>
        <v>0</v>
      </c>
      <c r="M24" s="116">
        <f t="shared" si="3"/>
        <v>0</v>
      </c>
      <c r="N24" s="83" t="s">
        <v>81</v>
      </c>
      <c r="O24" s="82">
        <v>13.555</v>
      </c>
      <c r="P24" s="82">
        <v>14.888</v>
      </c>
      <c r="Q24" s="82">
        <f t="shared" si="4"/>
        <v>0</v>
      </c>
      <c r="R24" s="152"/>
      <c r="S24" s="152"/>
      <c r="T24" s="152"/>
      <c r="U24" s="153"/>
      <c r="V24" s="119">
        <f t="shared" si="5"/>
        <v>0</v>
      </c>
      <c r="W24" s="119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9">
        <v>7.0</v>
      </c>
      <c r="E25" s="9">
        <v>7.0</v>
      </c>
      <c r="F25" s="10"/>
      <c r="G25" s="126">
        <v>134.0</v>
      </c>
      <c r="H25" s="10"/>
      <c r="I25" s="13">
        <f t="shared" si="1"/>
        <v>132</v>
      </c>
      <c r="J25" s="10"/>
      <c r="K25" s="126">
        <v>266.0</v>
      </c>
      <c r="L25" s="13">
        <f t="shared" si="2"/>
        <v>0</v>
      </c>
      <c r="M25" s="13">
        <f t="shared" si="3"/>
        <v>266</v>
      </c>
      <c r="N25" s="8"/>
      <c r="O25" s="8">
        <v>13.555</v>
      </c>
      <c r="P25" s="8">
        <v>14.888</v>
      </c>
      <c r="Q25" s="8">
        <f t="shared" si="4"/>
        <v>199.101</v>
      </c>
      <c r="R25" s="148">
        <v>315740.0</v>
      </c>
      <c r="S25" s="148">
        <v>315826.0</v>
      </c>
      <c r="T25" s="148">
        <v>315826.0</v>
      </c>
      <c r="U25" s="149">
        <v>315942.0</v>
      </c>
      <c r="V25" s="16">
        <f t="shared" si="5"/>
        <v>86</v>
      </c>
      <c r="W25" s="16">
        <f t="shared" si="6"/>
        <v>116</v>
      </c>
    </row>
    <row r="26" ht="15.75" customHeight="1">
      <c r="A26" s="7">
        <v>25.0</v>
      </c>
      <c r="B26" s="8" t="s">
        <v>23</v>
      </c>
      <c r="C26" s="8" t="s">
        <v>51</v>
      </c>
      <c r="D26" s="9">
        <v>7.0</v>
      </c>
      <c r="E26" s="9">
        <v>7.0</v>
      </c>
      <c r="F26" s="10"/>
      <c r="G26" s="126">
        <v>107.0</v>
      </c>
      <c r="H26" s="10"/>
      <c r="I26" s="13">
        <f t="shared" si="1"/>
        <v>132</v>
      </c>
      <c r="J26" s="10"/>
      <c r="K26" s="126">
        <v>239.0</v>
      </c>
      <c r="L26" s="13">
        <f t="shared" si="2"/>
        <v>0</v>
      </c>
      <c r="M26" s="13">
        <f t="shared" si="3"/>
        <v>239</v>
      </c>
      <c r="N26" s="8"/>
      <c r="O26" s="8">
        <v>13.555</v>
      </c>
      <c r="P26" s="8">
        <v>14.888</v>
      </c>
      <c r="Q26" s="8">
        <f t="shared" si="4"/>
        <v>199.101</v>
      </c>
      <c r="R26" s="148">
        <v>309344.0</v>
      </c>
      <c r="S26" s="148">
        <v>309432.0</v>
      </c>
      <c r="T26" s="148">
        <v>309432.0</v>
      </c>
      <c r="U26" s="149">
        <v>309547.0</v>
      </c>
      <c r="V26" s="16">
        <f t="shared" si="5"/>
        <v>88</v>
      </c>
      <c r="W26" s="16">
        <f t="shared" si="6"/>
        <v>115</v>
      </c>
    </row>
    <row r="27" ht="15.75" customHeight="1">
      <c r="A27" s="7">
        <v>26.0</v>
      </c>
      <c r="B27" s="8" t="s">
        <v>23</v>
      </c>
      <c r="C27" s="8" t="s">
        <v>52</v>
      </c>
      <c r="D27" s="9">
        <v>7.0</v>
      </c>
      <c r="E27" s="9">
        <v>7.0</v>
      </c>
      <c r="F27" s="10"/>
      <c r="G27" s="126">
        <v>123.0</v>
      </c>
      <c r="H27" s="10"/>
      <c r="I27" s="13">
        <f t="shared" si="1"/>
        <v>135</v>
      </c>
      <c r="J27" s="10"/>
      <c r="K27" s="126">
        <v>258.0</v>
      </c>
      <c r="L27" s="13">
        <f t="shared" si="2"/>
        <v>0</v>
      </c>
      <c r="M27" s="13">
        <f t="shared" si="3"/>
        <v>258</v>
      </c>
      <c r="N27" s="8"/>
      <c r="O27" s="8">
        <v>13.555</v>
      </c>
      <c r="P27" s="8">
        <v>14.888</v>
      </c>
      <c r="Q27" s="8">
        <f t="shared" si="4"/>
        <v>199.101</v>
      </c>
      <c r="R27" s="148">
        <v>273369.0</v>
      </c>
      <c r="S27" s="148">
        <v>273456.0</v>
      </c>
      <c r="T27" s="148">
        <v>273456.0</v>
      </c>
      <c r="U27" s="149">
        <v>273572.0</v>
      </c>
      <c r="V27" s="16">
        <f t="shared" si="5"/>
        <v>87</v>
      </c>
      <c r="W27" s="16">
        <f t="shared" si="6"/>
        <v>116</v>
      </c>
    </row>
    <row r="28" ht="15.75" customHeight="1">
      <c r="A28" s="7">
        <v>27.0</v>
      </c>
      <c r="B28" s="8" t="s">
        <v>23</v>
      </c>
      <c r="C28" s="8" t="s">
        <v>53</v>
      </c>
      <c r="D28" s="9">
        <v>7.0</v>
      </c>
      <c r="E28" s="9">
        <v>7.0</v>
      </c>
      <c r="F28" s="10"/>
      <c r="G28" s="126">
        <v>112.0</v>
      </c>
      <c r="H28" s="10"/>
      <c r="I28" s="13">
        <f t="shared" si="1"/>
        <v>148</v>
      </c>
      <c r="J28" s="10"/>
      <c r="K28" s="126">
        <v>260.0</v>
      </c>
      <c r="L28" s="13">
        <f t="shared" si="2"/>
        <v>0</v>
      </c>
      <c r="M28" s="13">
        <f t="shared" si="3"/>
        <v>260</v>
      </c>
      <c r="N28" s="8"/>
      <c r="O28" s="8">
        <v>13.555</v>
      </c>
      <c r="P28" s="8">
        <v>14.888</v>
      </c>
      <c r="Q28" s="8">
        <f t="shared" si="4"/>
        <v>199.101</v>
      </c>
      <c r="R28" s="148">
        <v>269243.0</v>
      </c>
      <c r="S28" s="148">
        <v>269330.0</v>
      </c>
      <c r="T28" s="148">
        <v>269330.0</v>
      </c>
      <c r="U28" s="149">
        <v>269446.0</v>
      </c>
      <c r="V28" s="16">
        <f t="shared" si="5"/>
        <v>87</v>
      </c>
      <c r="W28" s="16">
        <f t="shared" si="6"/>
        <v>116</v>
      </c>
    </row>
    <row r="29" ht="15.75" customHeight="1">
      <c r="A29" s="7">
        <v>28.0</v>
      </c>
      <c r="B29" s="8" t="s">
        <v>23</v>
      </c>
      <c r="C29" s="8" t="s">
        <v>54</v>
      </c>
      <c r="D29" s="9">
        <v>7.0</v>
      </c>
      <c r="E29" s="9">
        <v>7.0</v>
      </c>
      <c r="F29" s="10"/>
      <c r="G29" s="126">
        <v>126.0</v>
      </c>
      <c r="H29" s="10"/>
      <c r="I29" s="13">
        <f t="shared" si="1"/>
        <v>121</v>
      </c>
      <c r="J29" s="10"/>
      <c r="K29" s="126">
        <v>247.0</v>
      </c>
      <c r="L29" s="13">
        <f t="shared" si="2"/>
        <v>0</v>
      </c>
      <c r="M29" s="13">
        <f t="shared" si="3"/>
        <v>247</v>
      </c>
      <c r="N29" s="8"/>
      <c r="O29" s="8">
        <v>13.555</v>
      </c>
      <c r="P29" s="8">
        <v>14.888</v>
      </c>
      <c r="Q29" s="8">
        <f t="shared" si="4"/>
        <v>199.101</v>
      </c>
      <c r="R29" s="148">
        <v>264973.0</v>
      </c>
      <c r="S29" s="148">
        <v>265060.0</v>
      </c>
      <c r="T29" s="148">
        <v>265060.0</v>
      </c>
      <c r="U29" s="149">
        <v>265176.0</v>
      </c>
      <c r="V29" s="16">
        <f t="shared" si="5"/>
        <v>87</v>
      </c>
      <c r="W29" s="16">
        <f t="shared" si="6"/>
        <v>116</v>
      </c>
    </row>
    <row r="30" ht="15.75" customHeight="1">
      <c r="A30" s="7">
        <v>29.0</v>
      </c>
      <c r="B30" s="8" t="s">
        <v>23</v>
      </c>
      <c r="C30" s="8" t="s">
        <v>55</v>
      </c>
      <c r="D30" s="9">
        <v>7.0</v>
      </c>
      <c r="E30" s="9">
        <v>7.0</v>
      </c>
      <c r="F30" s="10"/>
      <c r="G30" s="126">
        <v>147.0</v>
      </c>
      <c r="H30" s="10"/>
      <c r="I30" s="13">
        <f t="shared" si="1"/>
        <v>122</v>
      </c>
      <c r="J30" s="10"/>
      <c r="K30" s="126">
        <v>269.0</v>
      </c>
      <c r="L30" s="13">
        <f t="shared" si="2"/>
        <v>0</v>
      </c>
      <c r="M30" s="13">
        <f t="shared" si="3"/>
        <v>269</v>
      </c>
      <c r="N30" s="8"/>
      <c r="O30" s="8">
        <v>13.555</v>
      </c>
      <c r="P30" s="8">
        <v>14.888</v>
      </c>
      <c r="Q30" s="8">
        <f t="shared" si="4"/>
        <v>199.101</v>
      </c>
      <c r="R30" s="148">
        <v>272386.0</v>
      </c>
      <c r="S30" s="148">
        <v>272487.0</v>
      </c>
      <c r="T30" s="148">
        <v>272487.0</v>
      </c>
      <c r="U30" s="149">
        <v>272590.0</v>
      </c>
      <c r="V30" s="16">
        <f t="shared" si="5"/>
        <v>101</v>
      </c>
      <c r="W30" s="16">
        <f t="shared" si="6"/>
        <v>103</v>
      </c>
    </row>
    <row r="31" ht="15.75" customHeight="1">
      <c r="A31" s="7">
        <v>30.0</v>
      </c>
      <c r="B31" s="8" t="s">
        <v>23</v>
      </c>
      <c r="C31" s="8" t="s">
        <v>56</v>
      </c>
      <c r="D31" s="9">
        <v>7.0</v>
      </c>
      <c r="E31" s="9">
        <v>7.0</v>
      </c>
      <c r="F31" s="10"/>
      <c r="G31" s="126">
        <v>143.0</v>
      </c>
      <c r="H31" s="10"/>
      <c r="I31" s="13">
        <f t="shared" si="1"/>
        <v>115</v>
      </c>
      <c r="J31" s="10"/>
      <c r="K31" s="126">
        <v>258.0</v>
      </c>
      <c r="L31" s="13">
        <f t="shared" si="2"/>
        <v>0</v>
      </c>
      <c r="M31" s="13">
        <f t="shared" si="3"/>
        <v>258</v>
      </c>
      <c r="N31" s="8"/>
      <c r="O31" s="8">
        <v>13.555</v>
      </c>
      <c r="P31" s="8">
        <v>14.888</v>
      </c>
      <c r="Q31" s="8">
        <f t="shared" si="4"/>
        <v>199.101</v>
      </c>
      <c r="R31" s="148">
        <v>273797.0</v>
      </c>
      <c r="S31" s="148">
        <v>273884.0</v>
      </c>
      <c r="T31" s="148">
        <v>273884.0</v>
      </c>
      <c r="U31" s="149">
        <v>274000.0</v>
      </c>
      <c r="V31" s="16">
        <f t="shared" si="5"/>
        <v>87</v>
      </c>
      <c r="W31" s="16">
        <f t="shared" si="6"/>
        <v>116</v>
      </c>
    </row>
    <row r="32" ht="15.75" customHeight="1">
      <c r="A32" s="35"/>
      <c r="B32" s="35"/>
      <c r="C32" s="36"/>
      <c r="D32" s="37" t="s">
        <v>57</v>
      </c>
      <c r="E32" s="38">
        <f>SUM(M:M)</f>
        <v>6986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5574.828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>
        <f>E32/E33</f>
        <v>1.253132832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>
        <f>AVERAGEIF(Q:Q,"&gt;0",Q:Q)</f>
        <v>199.101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3180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46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3226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3735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25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3760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6915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71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54" t="s">
        <v>17</v>
      </c>
      <c r="S1" s="155" t="s">
        <v>18</v>
      </c>
      <c r="T1" s="155" t="s">
        <v>19</v>
      </c>
      <c r="U1" s="155" t="s">
        <v>20</v>
      </c>
      <c r="V1" s="156" t="s">
        <v>21</v>
      </c>
      <c r="W1" s="156" t="s">
        <v>22</v>
      </c>
    </row>
    <row r="2" ht="15.75" customHeight="1">
      <c r="A2" s="157">
        <v>1.0</v>
      </c>
      <c r="B2" s="158" t="s">
        <v>23</v>
      </c>
      <c r="C2" s="158" t="s">
        <v>24</v>
      </c>
      <c r="D2" s="159">
        <v>7.0</v>
      </c>
      <c r="E2" s="159">
        <v>7.0</v>
      </c>
      <c r="F2" s="160"/>
      <c r="G2" s="161">
        <v>83.0</v>
      </c>
      <c r="H2" s="162"/>
      <c r="I2" s="163">
        <f t="shared" ref="I2:I31" si="1">max(0,K2-G2)</f>
        <v>0</v>
      </c>
      <c r="J2" s="162"/>
      <c r="K2" s="162"/>
      <c r="L2" s="163">
        <f t="shared" ref="L2:L31" si="2">J2+H2</f>
        <v>0</v>
      </c>
      <c r="M2" s="163">
        <f t="shared" ref="M2:M31" si="3">G2+H2+I2+J2</f>
        <v>83</v>
      </c>
      <c r="N2" s="158"/>
      <c r="O2" s="158">
        <v>13.555</v>
      </c>
      <c r="P2" s="158">
        <v>14.888</v>
      </c>
      <c r="Q2" s="158">
        <f t="shared" ref="Q2:Q31" si="4">(O2*D2)+(P2*E2)</f>
        <v>199.101</v>
      </c>
      <c r="R2" s="148">
        <v>294613.0</v>
      </c>
      <c r="S2" s="149">
        <v>294700.0</v>
      </c>
      <c r="T2" s="149">
        <v>294700.0</v>
      </c>
      <c r="U2" s="164"/>
      <c r="V2" s="165">
        <f t="shared" ref="V2:V31" si="5">S2-R2</f>
        <v>87</v>
      </c>
      <c r="W2" s="165">
        <f t="shared" ref="W2:W31" si="6">U2-T2</f>
        <v>-294700</v>
      </c>
    </row>
    <row r="3" ht="15.75" customHeight="1">
      <c r="A3" s="157">
        <v>2.0</v>
      </c>
      <c r="B3" s="158" t="s">
        <v>23</v>
      </c>
      <c r="C3" s="158" t="s">
        <v>25</v>
      </c>
      <c r="D3" s="159">
        <v>7.0</v>
      </c>
      <c r="E3" s="159">
        <v>7.0</v>
      </c>
      <c r="F3" s="160"/>
      <c r="G3" s="161">
        <v>95.0</v>
      </c>
      <c r="H3" s="162"/>
      <c r="I3" s="163">
        <f t="shared" si="1"/>
        <v>0</v>
      </c>
      <c r="J3" s="162"/>
      <c r="K3" s="162"/>
      <c r="L3" s="163">
        <f t="shared" si="2"/>
        <v>0</v>
      </c>
      <c r="M3" s="163">
        <f t="shared" si="3"/>
        <v>95</v>
      </c>
      <c r="N3" s="158"/>
      <c r="O3" s="158">
        <v>13.555</v>
      </c>
      <c r="P3" s="158">
        <v>14.888</v>
      </c>
      <c r="Q3" s="158">
        <f t="shared" si="4"/>
        <v>199.101</v>
      </c>
      <c r="R3" s="148">
        <v>275794.0</v>
      </c>
      <c r="S3" s="149">
        <v>275881.0</v>
      </c>
      <c r="T3" s="149">
        <v>275881.0</v>
      </c>
      <c r="U3" s="164"/>
      <c r="V3" s="165">
        <f t="shared" si="5"/>
        <v>87</v>
      </c>
      <c r="W3" s="165">
        <f t="shared" si="6"/>
        <v>-275881</v>
      </c>
    </row>
    <row r="4" ht="15.75" customHeight="1">
      <c r="A4" s="157">
        <v>3.0</v>
      </c>
      <c r="B4" s="158" t="s">
        <v>23</v>
      </c>
      <c r="C4" s="158" t="s">
        <v>26</v>
      </c>
      <c r="D4" s="159">
        <v>7.0</v>
      </c>
      <c r="E4" s="159">
        <v>7.0</v>
      </c>
      <c r="F4" s="160"/>
      <c r="G4" s="161">
        <v>79.0</v>
      </c>
      <c r="H4" s="162"/>
      <c r="I4" s="163">
        <f t="shared" si="1"/>
        <v>0</v>
      </c>
      <c r="J4" s="162"/>
      <c r="K4" s="162"/>
      <c r="L4" s="163">
        <f t="shared" si="2"/>
        <v>0</v>
      </c>
      <c r="M4" s="163">
        <f t="shared" si="3"/>
        <v>79</v>
      </c>
      <c r="N4" s="158"/>
      <c r="O4" s="158">
        <v>13.555</v>
      </c>
      <c r="P4" s="158">
        <v>14.888</v>
      </c>
      <c r="Q4" s="158">
        <f t="shared" si="4"/>
        <v>199.101</v>
      </c>
      <c r="R4" s="148">
        <v>459356.0</v>
      </c>
      <c r="S4" s="148">
        <v>459443.0</v>
      </c>
      <c r="T4" s="148">
        <v>459443.0</v>
      </c>
      <c r="U4" s="164"/>
      <c r="V4" s="165">
        <f t="shared" si="5"/>
        <v>87</v>
      </c>
      <c r="W4" s="165">
        <f t="shared" si="6"/>
        <v>-459443</v>
      </c>
    </row>
    <row r="5" ht="15.75" customHeight="1">
      <c r="A5" s="157">
        <v>4.0</v>
      </c>
      <c r="B5" s="158" t="s">
        <v>23</v>
      </c>
      <c r="C5" s="158" t="s">
        <v>27</v>
      </c>
      <c r="D5" s="159">
        <v>7.0</v>
      </c>
      <c r="E5" s="159">
        <v>7.0</v>
      </c>
      <c r="F5" s="160"/>
      <c r="G5" s="161">
        <v>111.0</v>
      </c>
      <c r="H5" s="162"/>
      <c r="I5" s="163">
        <f t="shared" si="1"/>
        <v>0</v>
      </c>
      <c r="J5" s="162"/>
      <c r="K5" s="162"/>
      <c r="L5" s="163">
        <f t="shared" si="2"/>
        <v>0</v>
      </c>
      <c r="M5" s="163">
        <f t="shared" si="3"/>
        <v>111</v>
      </c>
      <c r="N5" s="158"/>
      <c r="O5" s="158">
        <v>13.555</v>
      </c>
      <c r="P5" s="158">
        <v>14.888</v>
      </c>
      <c r="Q5" s="158">
        <f t="shared" si="4"/>
        <v>199.101</v>
      </c>
      <c r="R5" s="148">
        <v>271240.0</v>
      </c>
      <c r="S5" s="148">
        <v>271341.0</v>
      </c>
      <c r="T5" s="148">
        <v>271341.0</v>
      </c>
      <c r="U5" s="164"/>
      <c r="V5" s="165">
        <f t="shared" si="5"/>
        <v>101</v>
      </c>
      <c r="W5" s="165">
        <f t="shared" si="6"/>
        <v>-271341</v>
      </c>
    </row>
    <row r="6" ht="15.75" customHeight="1">
      <c r="A6" s="157">
        <v>5.0</v>
      </c>
      <c r="B6" s="158" t="s">
        <v>23</v>
      </c>
      <c r="C6" s="158" t="s">
        <v>28</v>
      </c>
      <c r="D6" s="159">
        <v>7.0</v>
      </c>
      <c r="E6" s="159">
        <v>7.0</v>
      </c>
      <c r="F6" s="160"/>
      <c r="G6" s="161">
        <v>83.0</v>
      </c>
      <c r="H6" s="161">
        <v>35.0</v>
      </c>
      <c r="I6" s="163">
        <f t="shared" si="1"/>
        <v>0</v>
      </c>
      <c r="J6" s="162"/>
      <c r="K6" s="162"/>
      <c r="L6" s="163">
        <f t="shared" si="2"/>
        <v>35</v>
      </c>
      <c r="M6" s="163">
        <f t="shared" si="3"/>
        <v>118</v>
      </c>
      <c r="N6" s="158"/>
      <c r="O6" s="158">
        <v>13.555</v>
      </c>
      <c r="P6" s="158">
        <v>14.888</v>
      </c>
      <c r="Q6" s="158">
        <f t="shared" si="4"/>
        <v>199.101</v>
      </c>
      <c r="R6" s="148">
        <v>280993.0</v>
      </c>
      <c r="S6" s="148">
        <v>281079.0</v>
      </c>
      <c r="T6" s="148">
        <v>281079.0</v>
      </c>
      <c r="U6" s="164"/>
      <c r="V6" s="165">
        <f t="shared" si="5"/>
        <v>86</v>
      </c>
      <c r="W6" s="165">
        <f t="shared" si="6"/>
        <v>-281079</v>
      </c>
    </row>
    <row r="7" ht="15.75" customHeight="1">
      <c r="A7" s="157">
        <v>6.0</v>
      </c>
      <c r="B7" s="158" t="s">
        <v>23</v>
      </c>
      <c r="C7" s="158" t="s">
        <v>29</v>
      </c>
      <c r="D7" s="159">
        <v>7.0</v>
      </c>
      <c r="E7" s="159">
        <v>7.0</v>
      </c>
      <c r="F7" s="160"/>
      <c r="G7" s="161">
        <v>128.0</v>
      </c>
      <c r="H7" s="162"/>
      <c r="I7" s="163">
        <f t="shared" si="1"/>
        <v>0</v>
      </c>
      <c r="J7" s="162"/>
      <c r="K7" s="162"/>
      <c r="L7" s="163">
        <f t="shared" si="2"/>
        <v>0</v>
      </c>
      <c r="M7" s="163">
        <f t="shared" si="3"/>
        <v>128</v>
      </c>
      <c r="N7" s="158"/>
      <c r="O7" s="158">
        <v>13.555</v>
      </c>
      <c r="P7" s="158">
        <v>14.888</v>
      </c>
      <c r="Q7" s="158">
        <f t="shared" si="4"/>
        <v>199.101</v>
      </c>
      <c r="R7" s="148">
        <v>278246.0</v>
      </c>
      <c r="S7" s="148">
        <v>278348.0</v>
      </c>
      <c r="T7" s="148">
        <v>278348.0</v>
      </c>
      <c r="U7" s="164"/>
      <c r="V7" s="165">
        <f t="shared" si="5"/>
        <v>102</v>
      </c>
      <c r="W7" s="165">
        <f t="shared" si="6"/>
        <v>-278348</v>
      </c>
    </row>
    <row r="8" ht="15.75" customHeight="1">
      <c r="A8" s="157">
        <v>7.0</v>
      </c>
      <c r="B8" s="158" t="s">
        <v>23</v>
      </c>
      <c r="C8" s="158" t="s">
        <v>30</v>
      </c>
      <c r="D8" s="159">
        <v>7.0</v>
      </c>
      <c r="E8" s="159">
        <v>7.0</v>
      </c>
      <c r="F8" s="160"/>
      <c r="G8" s="161">
        <v>85.0</v>
      </c>
      <c r="H8" s="162"/>
      <c r="I8" s="163">
        <f t="shared" si="1"/>
        <v>127</v>
      </c>
      <c r="J8" s="162"/>
      <c r="K8" s="161">
        <v>212.0</v>
      </c>
      <c r="L8" s="163">
        <f t="shared" si="2"/>
        <v>0</v>
      </c>
      <c r="M8" s="163">
        <f t="shared" si="3"/>
        <v>212</v>
      </c>
      <c r="N8" s="158"/>
      <c r="O8" s="158">
        <v>13.555</v>
      </c>
      <c r="P8" s="158">
        <v>14.888</v>
      </c>
      <c r="Q8" s="158">
        <f t="shared" si="4"/>
        <v>199.101</v>
      </c>
      <c r="R8" s="148">
        <v>270980.0</v>
      </c>
      <c r="S8" s="148">
        <v>271068.0</v>
      </c>
      <c r="T8" s="148">
        <v>271068.0</v>
      </c>
      <c r="U8" s="164"/>
      <c r="V8" s="165">
        <f t="shared" si="5"/>
        <v>88</v>
      </c>
      <c r="W8" s="165">
        <f t="shared" si="6"/>
        <v>-271068</v>
      </c>
    </row>
    <row r="9" ht="15.75" customHeight="1">
      <c r="A9" s="157">
        <v>8.0</v>
      </c>
      <c r="B9" s="158" t="s">
        <v>23</v>
      </c>
      <c r="C9" s="158" t="s">
        <v>32</v>
      </c>
      <c r="D9" s="159">
        <v>7.0</v>
      </c>
      <c r="E9" s="159">
        <v>7.0</v>
      </c>
      <c r="F9" s="160"/>
      <c r="G9" s="161">
        <v>89.0</v>
      </c>
      <c r="H9" s="162"/>
      <c r="I9" s="163">
        <f t="shared" si="1"/>
        <v>183</v>
      </c>
      <c r="J9" s="162"/>
      <c r="K9" s="161">
        <v>272.0</v>
      </c>
      <c r="L9" s="163">
        <f t="shared" si="2"/>
        <v>0</v>
      </c>
      <c r="M9" s="163">
        <f t="shared" si="3"/>
        <v>272</v>
      </c>
      <c r="N9" s="158"/>
      <c r="O9" s="158">
        <v>13.555</v>
      </c>
      <c r="P9" s="158">
        <v>14.888</v>
      </c>
      <c r="Q9" s="158">
        <f t="shared" si="4"/>
        <v>199.101</v>
      </c>
      <c r="R9" s="148">
        <v>278455.0</v>
      </c>
      <c r="S9" s="148">
        <v>278543.0</v>
      </c>
      <c r="T9" s="148">
        <v>278543.0</v>
      </c>
      <c r="U9" s="164"/>
      <c r="V9" s="165">
        <f t="shared" si="5"/>
        <v>88</v>
      </c>
      <c r="W9" s="165">
        <f t="shared" si="6"/>
        <v>-278543</v>
      </c>
    </row>
    <row r="10" ht="15.75" customHeight="1">
      <c r="A10" s="157">
        <v>9.0</v>
      </c>
      <c r="B10" s="158" t="s">
        <v>23</v>
      </c>
      <c r="C10" s="158" t="s">
        <v>33</v>
      </c>
      <c r="D10" s="159">
        <v>7.0</v>
      </c>
      <c r="E10" s="159">
        <v>7.0</v>
      </c>
      <c r="F10" s="160"/>
      <c r="G10" s="161">
        <v>96.0</v>
      </c>
      <c r="H10" s="162"/>
      <c r="I10" s="163">
        <f t="shared" si="1"/>
        <v>115</v>
      </c>
      <c r="J10" s="162"/>
      <c r="K10" s="161">
        <v>211.0</v>
      </c>
      <c r="L10" s="163">
        <f t="shared" si="2"/>
        <v>0</v>
      </c>
      <c r="M10" s="163">
        <f t="shared" si="3"/>
        <v>211</v>
      </c>
      <c r="N10" s="158"/>
      <c r="O10" s="158">
        <v>13.555</v>
      </c>
      <c r="P10" s="158">
        <v>14.888</v>
      </c>
      <c r="Q10" s="158">
        <f t="shared" si="4"/>
        <v>199.101</v>
      </c>
      <c r="R10" s="148">
        <v>353859.0</v>
      </c>
      <c r="S10" s="148">
        <v>353946.0</v>
      </c>
      <c r="T10" s="148">
        <v>353946.0</v>
      </c>
      <c r="U10" s="164"/>
      <c r="V10" s="165">
        <f t="shared" si="5"/>
        <v>87</v>
      </c>
      <c r="W10" s="165">
        <f t="shared" si="6"/>
        <v>-353946</v>
      </c>
    </row>
    <row r="11" ht="15.75" customHeight="1">
      <c r="A11" s="157">
        <v>10.0</v>
      </c>
      <c r="B11" s="158" t="s">
        <v>23</v>
      </c>
      <c r="C11" s="158" t="s">
        <v>34</v>
      </c>
      <c r="D11" s="159">
        <v>7.0</v>
      </c>
      <c r="E11" s="159">
        <v>7.0</v>
      </c>
      <c r="F11" s="160"/>
      <c r="G11" s="161">
        <v>124.0</v>
      </c>
      <c r="H11" s="162"/>
      <c r="I11" s="163">
        <f t="shared" si="1"/>
        <v>0</v>
      </c>
      <c r="J11" s="162"/>
      <c r="K11" s="162"/>
      <c r="L11" s="163">
        <f t="shared" si="2"/>
        <v>0</v>
      </c>
      <c r="M11" s="163">
        <f t="shared" si="3"/>
        <v>124</v>
      </c>
      <c r="N11" s="158"/>
      <c r="O11" s="158">
        <v>13.555</v>
      </c>
      <c r="P11" s="158">
        <v>14.888</v>
      </c>
      <c r="Q11" s="158">
        <f t="shared" si="4"/>
        <v>199.101</v>
      </c>
      <c r="R11" s="148">
        <v>334415.0</v>
      </c>
      <c r="S11" s="148">
        <v>334502.0</v>
      </c>
      <c r="T11" s="148">
        <v>334502.0</v>
      </c>
      <c r="U11" s="164"/>
      <c r="V11" s="165">
        <f t="shared" si="5"/>
        <v>87</v>
      </c>
      <c r="W11" s="165">
        <f t="shared" si="6"/>
        <v>-334502</v>
      </c>
    </row>
    <row r="12" ht="15.75" customHeight="1">
      <c r="A12" s="157">
        <v>11.0</v>
      </c>
      <c r="B12" s="158" t="s">
        <v>23</v>
      </c>
      <c r="C12" s="158" t="s">
        <v>36</v>
      </c>
      <c r="D12" s="159">
        <v>7.0</v>
      </c>
      <c r="E12" s="159">
        <v>7.0</v>
      </c>
      <c r="F12" s="160"/>
      <c r="G12" s="161">
        <v>111.0</v>
      </c>
      <c r="H12" s="161">
        <v>15.0</v>
      </c>
      <c r="I12" s="163">
        <f t="shared" si="1"/>
        <v>0</v>
      </c>
      <c r="J12" s="162"/>
      <c r="K12" s="162"/>
      <c r="L12" s="163">
        <f t="shared" si="2"/>
        <v>15</v>
      </c>
      <c r="M12" s="163">
        <f t="shared" si="3"/>
        <v>126</v>
      </c>
      <c r="N12" s="158"/>
      <c r="O12" s="158">
        <v>13.555</v>
      </c>
      <c r="P12" s="158">
        <v>14.888</v>
      </c>
      <c r="Q12" s="158">
        <f t="shared" si="4"/>
        <v>199.101</v>
      </c>
      <c r="R12" s="148">
        <v>368056.0</v>
      </c>
      <c r="S12" s="148">
        <v>368157.0</v>
      </c>
      <c r="T12" s="148">
        <v>368157.0</v>
      </c>
      <c r="U12" s="164"/>
      <c r="V12" s="165">
        <f t="shared" si="5"/>
        <v>101</v>
      </c>
      <c r="W12" s="165">
        <f t="shared" si="6"/>
        <v>-368157</v>
      </c>
    </row>
    <row r="13" ht="15.75" customHeight="1">
      <c r="A13" s="157">
        <v>12.0</v>
      </c>
      <c r="B13" s="158" t="s">
        <v>23</v>
      </c>
      <c r="C13" s="158" t="s">
        <v>37</v>
      </c>
      <c r="D13" s="159">
        <v>7.0</v>
      </c>
      <c r="E13" s="159">
        <v>7.0</v>
      </c>
      <c r="F13" s="160"/>
      <c r="G13" s="161">
        <v>79.0</v>
      </c>
      <c r="H13" s="162"/>
      <c r="I13" s="163">
        <f t="shared" si="1"/>
        <v>0</v>
      </c>
      <c r="J13" s="162"/>
      <c r="K13" s="162"/>
      <c r="L13" s="163">
        <f t="shared" si="2"/>
        <v>0</v>
      </c>
      <c r="M13" s="163">
        <f t="shared" si="3"/>
        <v>79</v>
      </c>
      <c r="N13" s="158"/>
      <c r="O13" s="158">
        <v>13.555</v>
      </c>
      <c r="P13" s="158">
        <v>14.888</v>
      </c>
      <c r="Q13" s="158">
        <f t="shared" si="4"/>
        <v>199.101</v>
      </c>
      <c r="R13" s="148">
        <v>272369.0</v>
      </c>
      <c r="S13" s="148">
        <v>272470.0</v>
      </c>
      <c r="T13" s="148">
        <v>272470.0</v>
      </c>
      <c r="U13" s="164"/>
      <c r="V13" s="165">
        <f t="shared" si="5"/>
        <v>101</v>
      </c>
      <c r="W13" s="165">
        <f t="shared" si="6"/>
        <v>-272470</v>
      </c>
    </row>
    <row r="14" ht="15.75" customHeight="1">
      <c r="A14" s="157">
        <v>13.0</v>
      </c>
      <c r="B14" s="158" t="s">
        <v>23</v>
      </c>
      <c r="C14" s="158" t="s">
        <v>38</v>
      </c>
      <c r="D14" s="159">
        <v>7.0</v>
      </c>
      <c r="E14" s="159">
        <v>7.0</v>
      </c>
      <c r="F14" s="160"/>
      <c r="G14" s="161">
        <v>90.0</v>
      </c>
      <c r="H14" s="162"/>
      <c r="I14" s="163">
        <f t="shared" si="1"/>
        <v>0</v>
      </c>
      <c r="J14" s="162"/>
      <c r="K14" s="162"/>
      <c r="L14" s="163">
        <f t="shared" si="2"/>
        <v>0</v>
      </c>
      <c r="M14" s="163">
        <f t="shared" si="3"/>
        <v>90</v>
      </c>
      <c r="N14" s="158"/>
      <c r="O14" s="158">
        <v>13.555</v>
      </c>
      <c r="P14" s="158">
        <v>14.888</v>
      </c>
      <c r="Q14" s="158">
        <f t="shared" si="4"/>
        <v>199.101</v>
      </c>
      <c r="R14" s="148">
        <v>366360.0</v>
      </c>
      <c r="S14" s="148">
        <v>366447.0</v>
      </c>
      <c r="T14" s="148">
        <v>366447.0</v>
      </c>
      <c r="U14" s="164"/>
      <c r="V14" s="165">
        <f t="shared" si="5"/>
        <v>87</v>
      </c>
      <c r="W14" s="165">
        <f t="shared" si="6"/>
        <v>-366447</v>
      </c>
    </row>
    <row r="15" ht="15.75" customHeight="1">
      <c r="A15" s="157">
        <v>14.0</v>
      </c>
      <c r="B15" s="158" t="s">
        <v>23</v>
      </c>
      <c r="C15" s="158" t="s">
        <v>39</v>
      </c>
      <c r="D15" s="159">
        <v>7.0</v>
      </c>
      <c r="E15" s="159">
        <v>7.0</v>
      </c>
      <c r="F15" s="160"/>
      <c r="G15" s="161">
        <v>83.0</v>
      </c>
      <c r="H15" s="162"/>
      <c r="I15" s="163">
        <f t="shared" si="1"/>
        <v>0</v>
      </c>
      <c r="J15" s="162"/>
      <c r="K15" s="162"/>
      <c r="L15" s="163">
        <f t="shared" si="2"/>
        <v>0</v>
      </c>
      <c r="M15" s="163">
        <f t="shared" si="3"/>
        <v>83</v>
      </c>
      <c r="N15" s="158"/>
      <c r="O15" s="158">
        <v>13.555</v>
      </c>
      <c r="P15" s="158">
        <v>14.888</v>
      </c>
      <c r="Q15" s="158">
        <f t="shared" si="4"/>
        <v>199.101</v>
      </c>
      <c r="R15" s="148">
        <v>314096.0</v>
      </c>
      <c r="S15" s="148">
        <v>314182.0</v>
      </c>
      <c r="T15" s="148">
        <v>314182.0</v>
      </c>
      <c r="U15" s="164"/>
      <c r="V15" s="165">
        <f t="shared" si="5"/>
        <v>86</v>
      </c>
      <c r="W15" s="165">
        <f t="shared" si="6"/>
        <v>-314182</v>
      </c>
    </row>
    <row r="16" ht="15.75" customHeight="1">
      <c r="A16" s="157">
        <v>15.0</v>
      </c>
      <c r="B16" s="158" t="s">
        <v>23</v>
      </c>
      <c r="C16" s="158" t="s">
        <v>40</v>
      </c>
      <c r="D16" s="159">
        <v>7.0</v>
      </c>
      <c r="E16" s="159">
        <v>7.0</v>
      </c>
      <c r="F16" s="160"/>
      <c r="G16" s="161">
        <v>134.0</v>
      </c>
      <c r="H16" s="162"/>
      <c r="I16" s="163">
        <f t="shared" si="1"/>
        <v>0</v>
      </c>
      <c r="J16" s="162"/>
      <c r="K16" s="162"/>
      <c r="L16" s="163">
        <f t="shared" si="2"/>
        <v>0</v>
      </c>
      <c r="M16" s="163">
        <f t="shared" si="3"/>
        <v>134</v>
      </c>
      <c r="N16" s="158"/>
      <c r="O16" s="158">
        <v>13.555</v>
      </c>
      <c r="P16" s="158">
        <v>14.888</v>
      </c>
      <c r="Q16" s="158">
        <f t="shared" si="4"/>
        <v>199.101</v>
      </c>
      <c r="R16" s="148">
        <v>412012.0</v>
      </c>
      <c r="S16" s="148">
        <v>412113.0</v>
      </c>
      <c r="T16" s="148">
        <v>412113.0</v>
      </c>
      <c r="U16" s="164"/>
      <c r="V16" s="165">
        <f t="shared" si="5"/>
        <v>101</v>
      </c>
      <c r="W16" s="165">
        <f t="shared" si="6"/>
        <v>-412113</v>
      </c>
    </row>
    <row r="17" ht="15.75" customHeight="1">
      <c r="A17" s="157">
        <v>16.0</v>
      </c>
      <c r="B17" s="158" t="s">
        <v>23</v>
      </c>
      <c r="C17" s="158" t="s">
        <v>41</v>
      </c>
      <c r="D17" s="159">
        <v>7.0</v>
      </c>
      <c r="E17" s="159">
        <v>7.0</v>
      </c>
      <c r="F17" s="160"/>
      <c r="G17" s="161">
        <v>133.0</v>
      </c>
      <c r="H17" s="162"/>
      <c r="I17" s="163">
        <f t="shared" si="1"/>
        <v>0</v>
      </c>
      <c r="J17" s="162"/>
      <c r="K17" s="162"/>
      <c r="L17" s="163">
        <f t="shared" si="2"/>
        <v>0</v>
      </c>
      <c r="M17" s="163">
        <f t="shared" si="3"/>
        <v>133</v>
      </c>
      <c r="N17" s="158"/>
      <c r="O17" s="158">
        <v>13.555</v>
      </c>
      <c r="P17" s="158">
        <v>14.888</v>
      </c>
      <c r="Q17" s="158">
        <f t="shared" si="4"/>
        <v>199.101</v>
      </c>
      <c r="R17" s="148">
        <v>377093.0</v>
      </c>
      <c r="S17" s="148">
        <v>377194.0</v>
      </c>
      <c r="T17" s="148">
        <v>377194.0</v>
      </c>
      <c r="U17" s="164"/>
      <c r="V17" s="165">
        <f t="shared" si="5"/>
        <v>101</v>
      </c>
      <c r="W17" s="165">
        <f t="shared" si="6"/>
        <v>-377194</v>
      </c>
    </row>
    <row r="18" ht="15.75" customHeight="1">
      <c r="A18" s="157">
        <v>17.0</v>
      </c>
      <c r="B18" s="158" t="s">
        <v>23</v>
      </c>
      <c r="C18" s="158" t="s">
        <v>43</v>
      </c>
      <c r="D18" s="159">
        <v>7.0</v>
      </c>
      <c r="E18" s="159">
        <v>7.0</v>
      </c>
      <c r="F18" s="160"/>
      <c r="G18" s="161">
        <v>111.0</v>
      </c>
      <c r="H18" s="162"/>
      <c r="I18" s="163">
        <f t="shared" si="1"/>
        <v>0</v>
      </c>
      <c r="J18" s="162"/>
      <c r="K18" s="162"/>
      <c r="L18" s="163">
        <f t="shared" si="2"/>
        <v>0</v>
      </c>
      <c r="M18" s="163">
        <f t="shared" si="3"/>
        <v>111</v>
      </c>
      <c r="N18" s="158"/>
      <c r="O18" s="158">
        <v>13.555</v>
      </c>
      <c r="P18" s="158">
        <v>14.888</v>
      </c>
      <c r="Q18" s="158">
        <f t="shared" si="4"/>
        <v>199.101</v>
      </c>
      <c r="R18" s="148">
        <v>269365.0</v>
      </c>
      <c r="S18" s="148">
        <v>269466.0</v>
      </c>
      <c r="T18" s="148">
        <v>269466.0</v>
      </c>
      <c r="U18" s="164"/>
      <c r="V18" s="165">
        <f t="shared" si="5"/>
        <v>101</v>
      </c>
      <c r="W18" s="165">
        <f t="shared" si="6"/>
        <v>-269466</v>
      </c>
    </row>
    <row r="19" ht="15.75" customHeight="1">
      <c r="A19" s="157">
        <v>18.0</v>
      </c>
      <c r="B19" s="158" t="s">
        <v>23</v>
      </c>
      <c r="C19" s="158" t="s">
        <v>44</v>
      </c>
      <c r="D19" s="159">
        <v>7.0</v>
      </c>
      <c r="E19" s="159">
        <v>7.0</v>
      </c>
      <c r="F19" s="160"/>
      <c r="G19" s="161">
        <v>83.0</v>
      </c>
      <c r="H19" s="162"/>
      <c r="I19" s="163">
        <f t="shared" si="1"/>
        <v>0</v>
      </c>
      <c r="J19" s="162"/>
      <c r="K19" s="162"/>
      <c r="L19" s="163">
        <f t="shared" si="2"/>
        <v>0</v>
      </c>
      <c r="M19" s="163">
        <f t="shared" si="3"/>
        <v>83</v>
      </c>
      <c r="N19" s="158"/>
      <c r="O19" s="158">
        <v>13.555</v>
      </c>
      <c r="P19" s="158">
        <v>14.888</v>
      </c>
      <c r="Q19" s="158">
        <f t="shared" si="4"/>
        <v>199.101</v>
      </c>
      <c r="R19" s="148">
        <v>287512.0</v>
      </c>
      <c r="S19" s="148">
        <v>287600.0</v>
      </c>
      <c r="T19" s="148">
        <v>287600.0</v>
      </c>
      <c r="U19" s="164"/>
      <c r="V19" s="165">
        <f t="shared" si="5"/>
        <v>88</v>
      </c>
      <c r="W19" s="165">
        <f t="shared" si="6"/>
        <v>-287600</v>
      </c>
    </row>
    <row r="20" ht="15.75" customHeight="1">
      <c r="A20" s="157">
        <v>19.0</v>
      </c>
      <c r="B20" s="158" t="s">
        <v>23</v>
      </c>
      <c r="C20" s="158" t="s">
        <v>45</v>
      </c>
      <c r="D20" s="159">
        <v>7.0</v>
      </c>
      <c r="E20" s="159">
        <v>7.0</v>
      </c>
      <c r="F20" s="160"/>
      <c r="G20" s="161">
        <v>120.0</v>
      </c>
      <c r="H20" s="162"/>
      <c r="I20" s="163">
        <f t="shared" si="1"/>
        <v>0</v>
      </c>
      <c r="J20" s="162"/>
      <c r="K20" s="162"/>
      <c r="L20" s="163">
        <f t="shared" si="2"/>
        <v>0</v>
      </c>
      <c r="M20" s="163">
        <f t="shared" si="3"/>
        <v>120</v>
      </c>
      <c r="N20" s="158"/>
      <c r="O20" s="158">
        <v>13.555</v>
      </c>
      <c r="P20" s="158">
        <v>14.888</v>
      </c>
      <c r="Q20" s="158">
        <f t="shared" si="4"/>
        <v>199.101</v>
      </c>
      <c r="R20" s="148">
        <v>285766.0</v>
      </c>
      <c r="S20" s="148">
        <v>285867.0</v>
      </c>
      <c r="T20" s="148">
        <v>285867.0</v>
      </c>
      <c r="U20" s="164"/>
      <c r="V20" s="165">
        <f t="shared" si="5"/>
        <v>101</v>
      </c>
      <c r="W20" s="165">
        <f t="shared" si="6"/>
        <v>-285867</v>
      </c>
    </row>
    <row r="21" ht="15.75" customHeight="1">
      <c r="A21" s="157">
        <v>20.0</v>
      </c>
      <c r="B21" s="158" t="s">
        <v>23</v>
      </c>
      <c r="C21" s="158" t="s">
        <v>46</v>
      </c>
      <c r="D21" s="159">
        <v>7.0</v>
      </c>
      <c r="E21" s="159">
        <v>7.0</v>
      </c>
      <c r="F21" s="160"/>
      <c r="G21" s="161">
        <v>88.0</v>
      </c>
      <c r="H21" s="162"/>
      <c r="I21" s="163">
        <f t="shared" si="1"/>
        <v>0</v>
      </c>
      <c r="J21" s="162"/>
      <c r="K21" s="162"/>
      <c r="L21" s="163">
        <f t="shared" si="2"/>
        <v>0</v>
      </c>
      <c r="M21" s="163">
        <f t="shared" si="3"/>
        <v>88</v>
      </c>
      <c r="N21" s="158"/>
      <c r="O21" s="158">
        <v>13.555</v>
      </c>
      <c r="P21" s="158">
        <v>14.888</v>
      </c>
      <c r="Q21" s="158">
        <f t="shared" si="4"/>
        <v>199.101</v>
      </c>
      <c r="R21" s="148">
        <v>275893.0</v>
      </c>
      <c r="S21" s="148">
        <v>275983.0</v>
      </c>
      <c r="T21" s="148">
        <v>275983.0</v>
      </c>
      <c r="U21" s="164"/>
      <c r="V21" s="165">
        <f t="shared" si="5"/>
        <v>90</v>
      </c>
      <c r="W21" s="165">
        <f t="shared" si="6"/>
        <v>-275983</v>
      </c>
    </row>
    <row r="22" ht="15.75" customHeight="1">
      <c r="A22" s="157">
        <v>21.0</v>
      </c>
      <c r="B22" s="158" t="s">
        <v>23</v>
      </c>
      <c r="C22" s="158" t="s">
        <v>47</v>
      </c>
      <c r="D22" s="159">
        <v>7.0</v>
      </c>
      <c r="E22" s="159">
        <v>7.0</v>
      </c>
      <c r="F22" s="160"/>
      <c r="G22" s="161">
        <v>141.0</v>
      </c>
      <c r="H22" s="162"/>
      <c r="I22" s="163">
        <f t="shared" si="1"/>
        <v>0</v>
      </c>
      <c r="J22" s="162"/>
      <c r="K22" s="162"/>
      <c r="L22" s="163">
        <f t="shared" si="2"/>
        <v>0</v>
      </c>
      <c r="M22" s="163">
        <f t="shared" si="3"/>
        <v>141</v>
      </c>
      <c r="N22" s="158"/>
      <c r="O22" s="158">
        <v>13.555</v>
      </c>
      <c r="P22" s="158">
        <v>14.888</v>
      </c>
      <c r="Q22" s="158">
        <f t="shared" si="4"/>
        <v>199.101</v>
      </c>
      <c r="R22" s="148">
        <v>281677.0</v>
      </c>
      <c r="S22" s="148">
        <v>281766.0</v>
      </c>
      <c r="T22" s="148">
        <v>281766.0</v>
      </c>
      <c r="U22" s="164"/>
      <c r="V22" s="165">
        <f t="shared" si="5"/>
        <v>89</v>
      </c>
      <c r="W22" s="165">
        <f t="shared" si="6"/>
        <v>-281766</v>
      </c>
    </row>
    <row r="23" ht="15.75" customHeight="1">
      <c r="A23" s="157">
        <v>22.0</v>
      </c>
      <c r="B23" s="158" t="s">
        <v>23</v>
      </c>
      <c r="C23" s="158" t="s">
        <v>48</v>
      </c>
      <c r="D23" s="159">
        <v>7.0</v>
      </c>
      <c r="E23" s="159">
        <v>7.0</v>
      </c>
      <c r="F23" s="160"/>
      <c r="G23" s="161">
        <v>121.0</v>
      </c>
      <c r="H23" s="162"/>
      <c r="I23" s="163">
        <f t="shared" si="1"/>
        <v>0</v>
      </c>
      <c r="J23" s="162"/>
      <c r="K23" s="162"/>
      <c r="L23" s="163">
        <f t="shared" si="2"/>
        <v>0</v>
      </c>
      <c r="M23" s="163">
        <f t="shared" si="3"/>
        <v>121</v>
      </c>
      <c r="N23" s="158"/>
      <c r="O23" s="158">
        <v>13.555</v>
      </c>
      <c r="P23" s="158">
        <v>14.888</v>
      </c>
      <c r="Q23" s="158">
        <f t="shared" si="4"/>
        <v>199.101</v>
      </c>
      <c r="R23" s="148">
        <v>277109.0</v>
      </c>
      <c r="S23" s="148">
        <v>277199.0</v>
      </c>
      <c r="T23" s="148">
        <v>277199.0</v>
      </c>
      <c r="U23" s="164"/>
      <c r="V23" s="165">
        <f t="shared" si="5"/>
        <v>90</v>
      </c>
      <c r="W23" s="165">
        <f t="shared" si="6"/>
        <v>-277199</v>
      </c>
    </row>
    <row r="24" ht="15.75" customHeight="1">
      <c r="A24" s="157">
        <v>23.0</v>
      </c>
      <c r="B24" s="158" t="s">
        <v>23</v>
      </c>
      <c r="C24" s="158" t="s">
        <v>49</v>
      </c>
      <c r="D24" s="159">
        <v>7.0</v>
      </c>
      <c r="E24" s="159">
        <v>7.0</v>
      </c>
      <c r="F24" s="160"/>
      <c r="G24" s="161">
        <v>141.0</v>
      </c>
      <c r="H24" s="162"/>
      <c r="I24" s="163">
        <f t="shared" si="1"/>
        <v>0</v>
      </c>
      <c r="J24" s="162"/>
      <c r="K24" s="162"/>
      <c r="L24" s="163">
        <f t="shared" si="2"/>
        <v>0</v>
      </c>
      <c r="M24" s="163">
        <f t="shared" si="3"/>
        <v>141</v>
      </c>
      <c r="N24" s="158"/>
      <c r="O24" s="158">
        <v>13.555</v>
      </c>
      <c r="P24" s="158">
        <v>14.888</v>
      </c>
      <c r="Q24" s="158">
        <f t="shared" si="4"/>
        <v>199.101</v>
      </c>
      <c r="R24" s="148">
        <v>276510.0</v>
      </c>
      <c r="S24" s="148">
        <v>276597.0</v>
      </c>
      <c r="T24" s="148">
        <v>276597.0</v>
      </c>
      <c r="U24" s="164"/>
      <c r="V24" s="165">
        <f t="shared" si="5"/>
        <v>87</v>
      </c>
      <c r="W24" s="165">
        <f t="shared" si="6"/>
        <v>-276597</v>
      </c>
    </row>
    <row r="25" ht="15.75" customHeight="1">
      <c r="A25" s="157">
        <v>24.0</v>
      </c>
      <c r="B25" s="158" t="s">
        <v>23</v>
      </c>
      <c r="C25" s="158" t="s">
        <v>50</v>
      </c>
      <c r="D25" s="159">
        <v>7.0</v>
      </c>
      <c r="E25" s="159">
        <v>7.0</v>
      </c>
      <c r="F25" s="160"/>
      <c r="G25" s="161">
        <v>139.0</v>
      </c>
      <c r="H25" s="162"/>
      <c r="I25" s="163">
        <f t="shared" si="1"/>
        <v>0</v>
      </c>
      <c r="J25" s="162"/>
      <c r="K25" s="162"/>
      <c r="L25" s="163">
        <f t="shared" si="2"/>
        <v>0</v>
      </c>
      <c r="M25" s="163">
        <f t="shared" si="3"/>
        <v>139</v>
      </c>
      <c r="N25" s="158"/>
      <c r="O25" s="158">
        <v>13.555</v>
      </c>
      <c r="P25" s="158">
        <v>14.888</v>
      </c>
      <c r="Q25" s="158">
        <f t="shared" si="4"/>
        <v>199.101</v>
      </c>
      <c r="R25" s="148">
        <v>315943.0</v>
      </c>
      <c r="S25" s="148">
        <v>316031.0</v>
      </c>
      <c r="T25" s="148">
        <v>316031.0</v>
      </c>
      <c r="U25" s="164"/>
      <c r="V25" s="165">
        <f t="shared" si="5"/>
        <v>88</v>
      </c>
      <c r="W25" s="165">
        <f t="shared" si="6"/>
        <v>-316031</v>
      </c>
    </row>
    <row r="26" ht="15.75" customHeight="1">
      <c r="A26" s="157">
        <v>25.0</v>
      </c>
      <c r="B26" s="158" t="s">
        <v>23</v>
      </c>
      <c r="C26" s="158" t="s">
        <v>51</v>
      </c>
      <c r="D26" s="159">
        <v>7.0</v>
      </c>
      <c r="E26" s="159">
        <v>7.0</v>
      </c>
      <c r="F26" s="160"/>
      <c r="G26" s="161">
        <v>137.0</v>
      </c>
      <c r="H26" s="162"/>
      <c r="I26" s="163">
        <f t="shared" si="1"/>
        <v>0</v>
      </c>
      <c r="J26" s="162"/>
      <c r="K26" s="162"/>
      <c r="L26" s="163">
        <f t="shared" si="2"/>
        <v>0</v>
      </c>
      <c r="M26" s="163">
        <f t="shared" si="3"/>
        <v>137</v>
      </c>
      <c r="N26" s="158"/>
      <c r="O26" s="158">
        <v>13.555</v>
      </c>
      <c r="P26" s="158">
        <v>14.888</v>
      </c>
      <c r="Q26" s="158">
        <f t="shared" si="4"/>
        <v>199.101</v>
      </c>
      <c r="R26" s="148">
        <v>309563.0</v>
      </c>
      <c r="S26" s="148">
        <v>309650.0</v>
      </c>
      <c r="T26" s="148">
        <v>309650.0</v>
      </c>
      <c r="U26" s="164"/>
      <c r="V26" s="165">
        <f t="shared" si="5"/>
        <v>87</v>
      </c>
      <c r="W26" s="165">
        <f t="shared" si="6"/>
        <v>-309650</v>
      </c>
    </row>
    <row r="27" ht="15.75" customHeight="1">
      <c r="A27" s="157">
        <v>26.0</v>
      </c>
      <c r="B27" s="158" t="s">
        <v>23</v>
      </c>
      <c r="C27" s="158" t="s">
        <v>52</v>
      </c>
      <c r="D27" s="159">
        <v>7.0</v>
      </c>
      <c r="E27" s="159">
        <v>7.0</v>
      </c>
      <c r="F27" s="160"/>
      <c r="G27" s="161">
        <v>106.0</v>
      </c>
      <c r="H27" s="162"/>
      <c r="I27" s="163">
        <f t="shared" si="1"/>
        <v>0</v>
      </c>
      <c r="J27" s="162"/>
      <c r="K27" s="162"/>
      <c r="L27" s="163">
        <f t="shared" si="2"/>
        <v>0</v>
      </c>
      <c r="M27" s="163">
        <f t="shared" si="3"/>
        <v>106</v>
      </c>
      <c r="N27" s="158"/>
      <c r="O27" s="158">
        <v>13.555</v>
      </c>
      <c r="P27" s="158">
        <v>14.888</v>
      </c>
      <c r="Q27" s="158">
        <f t="shared" si="4"/>
        <v>199.101</v>
      </c>
      <c r="R27" s="148">
        <v>273563.0</v>
      </c>
      <c r="S27" s="148">
        <v>273668.0</v>
      </c>
      <c r="T27" s="148">
        <v>273668.0</v>
      </c>
      <c r="U27" s="164"/>
      <c r="V27" s="165">
        <f t="shared" si="5"/>
        <v>105</v>
      </c>
      <c r="W27" s="165">
        <f t="shared" si="6"/>
        <v>-273668</v>
      </c>
    </row>
    <row r="28" ht="15.75" customHeight="1">
      <c r="A28" s="157">
        <v>27.0</v>
      </c>
      <c r="B28" s="158" t="s">
        <v>23</v>
      </c>
      <c r="C28" s="158" t="s">
        <v>53</v>
      </c>
      <c r="D28" s="159">
        <v>7.0</v>
      </c>
      <c r="E28" s="159">
        <v>7.0</v>
      </c>
      <c r="F28" s="160"/>
      <c r="G28" s="161">
        <v>100.0</v>
      </c>
      <c r="H28" s="162"/>
      <c r="I28" s="163">
        <f t="shared" si="1"/>
        <v>0</v>
      </c>
      <c r="J28" s="162"/>
      <c r="K28" s="162"/>
      <c r="L28" s="163">
        <f t="shared" si="2"/>
        <v>0</v>
      </c>
      <c r="M28" s="163">
        <f t="shared" si="3"/>
        <v>100</v>
      </c>
      <c r="N28" s="158"/>
      <c r="O28" s="158">
        <v>13.555</v>
      </c>
      <c r="P28" s="158">
        <v>14.888</v>
      </c>
      <c r="Q28" s="158">
        <f t="shared" si="4"/>
        <v>199.101</v>
      </c>
      <c r="R28" s="148">
        <v>269455.0</v>
      </c>
      <c r="S28" s="148">
        <v>269543.0</v>
      </c>
      <c r="T28" s="148">
        <v>269543.0</v>
      </c>
      <c r="U28" s="164"/>
      <c r="V28" s="165">
        <f t="shared" si="5"/>
        <v>88</v>
      </c>
      <c r="W28" s="165">
        <f t="shared" si="6"/>
        <v>-269543</v>
      </c>
    </row>
    <row r="29" ht="15.75" customHeight="1">
      <c r="A29" s="157">
        <v>28.0</v>
      </c>
      <c r="B29" s="158" t="s">
        <v>23</v>
      </c>
      <c r="C29" s="158" t="s">
        <v>54</v>
      </c>
      <c r="D29" s="159">
        <v>7.0</v>
      </c>
      <c r="E29" s="159">
        <v>7.0</v>
      </c>
      <c r="F29" s="160"/>
      <c r="G29" s="161">
        <v>110.0</v>
      </c>
      <c r="H29" s="162"/>
      <c r="I29" s="163">
        <f t="shared" si="1"/>
        <v>0</v>
      </c>
      <c r="J29" s="162"/>
      <c r="K29" s="162"/>
      <c r="L29" s="163">
        <f t="shared" si="2"/>
        <v>0</v>
      </c>
      <c r="M29" s="163">
        <f t="shared" si="3"/>
        <v>110</v>
      </c>
      <c r="N29" s="158"/>
      <c r="O29" s="158">
        <v>13.555</v>
      </c>
      <c r="P29" s="158">
        <v>14.888</v>
      </c>
      <c r="Q29" s="158">
        <f t="shared" si="4"/>
        <v>199.101</v>
      </c>
      <c r="R29" s="148">
        <v>265185.0</v>
      </c>
      <c r="S29" s="148">
        <v>265272.0</v>
      </c>
      <c r="T29" s="148">
        <v>265272.0</v>
      </c>
      <c r="U29" s="164"/>
      <c r="V29" s="165">
        <f t="shared" si="5"/>
        <v>87</v>
      </c>
      <c r="W29" s="165">
        <f t="shared" si="6"/>
        <v>-265272</v>
      </c>
    </row>
    <row r="30" ht="15.75" customHeight="1">
      <c r="A30" s="157">
        <v>29.0</v>
      </c>
      <c r="B30" s="158" t="s">
        <v>23</v>
      </c>
      <c r="C30" s="166" t="s">
        <v>55</v>
      </c>
      <c r="D30" s="167">
        <v>4.0</v>
      </c>
      <c r="E30" s="167">
        <v>3.0</v>
      </c>
      <c r="F30" s="168"/>
      <c r="G30" s="169">
        <v>167.0</v>
      </c>
      <c r="H30" s="170"/>
      <c r="I30" s="171">
        <f t="shared" si="1"/>
        <v>0</v>
      </c>
      <c r="J30" s="170"/>
      <c r="K30" s="170"/>
      <c r="L30" s="171">
        <f t="shared" si="2"/>
        <v>0</v>
      </c>
      <c r="M30" s="171">
        <f t="shared" si="3"/>
        <v>167</v>
      </c>
      <c r="N30" s="167" t="s">
        <v>82</v>
      </c>
      <c r="O30" s="166">
        <v>13.555</v>
      </c>
      <c r="P30" s="166">
        <v>14.888</v>
      </c>
      <c r="Q30" s="166">
        <f t="shared" si="4"/>
        <v>98.884</v>
      </c>
      <c r="R30" s="172">
        <v>272614.0</v>
      </c>
      <c r="S30" s="172">
        <v>272716.0</v>
      </c>
      <c r="T30" s="172"/>
      <c r="U30" s="173"/>
      <c r="V30" s="174">
        <f t="shared" si="5"/>
        <v>102</v>
      </c>
      <c r="W30" s="174">
        <f t="shared" si="6"/>
        <v>0</v>
      </c>
    </row>
    <row r="31" ht="15.75" customHeight="1">
      <c r="A31" s="157">
        <v>30.0</v>
      </c>
      <c r="B31" s="158" t="s">
        <v>23</v>
      </c>
      <c r="C31" s="158" t="s">
        <v>56</v>
      </c>
      <c r="D31" s="159">
        <v>7.0</v>
      </c>
      <c r="E31" s="159">
        <v>7.0</v>
      </c>
      <c r="F31" s="160"/>
      <c r="G31" s="161">
        <v>132.0</v>
      </c>
      <c r="H31" s="160"/>
      <c r="I31" s="163">
        <f t="shared" si="1"/>
        <v>0</v>
      </c>
      <c r="J31" s="162"/>
      <c r="K31" s="162"/>
      <c r="L31" s="163">
        <f t="shared" si="2"/>
        <v>0</v>
      </c>
      <c r="M31" s="163">
        <f t="shared" si="3"/>
        <v>132</v>
      </c>
      <c r="N31" s="158"/>
      <c r="O31" s="158">
        <v>13.555</v>
      </c>
      <c r="P31" s="158">
        <v>14.888</v>
      </c>
      <c r="Q31" s="158">
        <f t="shared" si="4"/>
        <v>199.101</v>
      </c>
      <c r="R31" s="148">
        <v>274002.0</v>
      </c>
      <c r="S31" s="148">
        <v>274089.0</v>
      </c>
      <c r="T31" s="148">
        <v>274089.0</v>
      </c>
      <c r="U31" s="164"/>
      <c r="V31" s="165">
        <f t="shared" si="5"/>
        <v>87</v>
      </c>
      <c r="W31" s="165">
        <f t="shared" si="6"/>
        <v>-274089</v>
      </c>
    </row>
    <row r="32" ht="15.75" customHeight="1">
      <c r="A32" s="35"/>
      <c r="B32" s="35"/>
      <c r="C32" s="36"/>
      <c r="D32" s="37" t="s">
        <v>57</v>
      </c>
      <c r="E32" s="38">
        <f>SUM(M:M)</f>
        <v>3774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5872.813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>
        <f>E32/E33</f>
        <v>0.6426221983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>
        <f>AVERAGEIF(Q:Q,"&gt;0",Q:Q)</f>
        <v>195.7604333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3299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50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3349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425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425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3724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50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77"/>
      <c r="K2" s="177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77"/>
      <c r="K3" s="177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77"/>
      <c r="K4" s="177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77"/>
      <c r="K5" s="177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77"/>
      <c r="K6" s="177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77"/>
      <c r="K7" s="177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77"/>
      <c r="K8" s="177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77"/>
      <c r="K9" s="177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77"/>
      <c r="K10" s="177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77"/>
      <c r="K11" s="177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77"/>
      <c r="K12" s="177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77"/>
      <c r="K13" s="177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77"/>
      <c r="K14" s="177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77"/>
      <c r="K15" s="177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77"/>
      <c r="K16" s="177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77"/>
      <c r="K17" s="177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77"/>
      <c r="K18" s="177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77"/>
      <c r="K19" s="177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77"/>
      <c r="K20" s="177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77"/>
      <c r="K21" s="177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77"/>
      <c r="K22" s="177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77"/>
      <c r="K23" s="177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77"/>
      <c r="K24" s="177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77"/>
      <c r="K25" s="177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77"/>
      <c r="K26" s="177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77"/>
      <c r="K27" s="177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77"/>
      <c r="K28" s="177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77"/>
      <c r="K29" s="177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77"/>
      <c r="K30" s="177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77"/>
      <c r="K31" s="177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6.88"/>
    <col customWidth="1" min="6" max="6" width="11.75"/>
    <col customWidth="1" min="14" max="14" width="23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9" t="s">
        <v>17</v>
      </c>
      <c r="S1" s="50" t="s">
        <v>18</v>
      </c>
      <c r="T1" s="50" t="s">
        <v>19</v>
      </c>
      <c r="U1" s="50" t="s">
        <v>20</v>
      </c>
      <c r="V1" s="51" t="s">
        <v>21</v>
      </c>
      <c r="W1" s="51" t="s">
        <v>22</v>
      </c>
    </row>
    <row r="2" ht="15.75" customHeight="1">
      <c r="A2" s="7">
        <v>1.0</v>
      </c>
      <c r="B2" s="8" t="s">
        <v>23</v>
      </c>
      <c r="C2" s="8" t="s">
        <v>24</v>
      </c>
      <c r="D2" s="8"/>
      <c r="E2" s="8"/>
      <c r="F2" s="10"/>
      <c r="G2" s="10"/>
      <c r="H2" s="10"/>
      <c r="I2" s="13">
        <f t="shared" ref="I2:I31" si="1">max(0,K2-G2)</f>
        <v>0</v>
      </c>
      <c r="J2" s="10"/>
      <c r="K2" s="10"/>
      <c r="L2" s="13">
        <f t="shared" ref="L2:L31" si="2">J2+H2</f>
        <v>0</v>
      </c>
      <c r="M2" s="13">
        <f t="shared" ref="M2:M31" si="3">G2+H2+I2+J2</f>
        <v>0</v>
      </c>
      <c r="N2" s="8"/>
      <c r="O2" s="8">
        <v>13.555</v>
      </c>
      <c r="P2" s="8">
        <v>14.888</v>
      </c>
      <c r="Q2" s="8">
        <f t="shared" ref="Q2:Q31" si="4">(O2*D2)+(P2*E2)</f>
        <v>0</v>
      </c>
      <c r="R2" s="175"/>
      <c r="S2" s="176"/>
      <c r="T2" s="176"/>
      <c r="U2" s="176"/>
      <c r="V2" s="16">
        <f t="shared" ref="V2:V31" si="5">S2-R2</f>
        <v>0</v>
      </c>
      <c r="W2" s="16">
        <f t="shared" ref="W2:W31" si="6">U2-T2</f>
        <v>0</v>
      </c>
    </row>
    <row r="3" ht="15.75" customHeight="1">
      <c r="A3" s="7">
        <v>2.0</v>
      </c>
      <c r="B3" s="8" t="s">
        <v>23</v>
      </c>
      <c r="C3" s="8" t="s">
        <v>25</v>
      </c>
      <c r="D3" s="8"/>
      <c r="E3" s="8"/>
      <c r="F3" s="10"/>
      <c r="G3" s="10"/>
      <c r="H3" s="10"/>
      <c r="I3" s="13">
        <f t="shared" si="1"/>
        <v>0</v>
      </c>
      <c r="J3" s="10"/>
      <c r="K3" s="10"/>
      <c r="L3" s="13">
        <f t="shared" si="2"/>
        <v>0</v>
      </c>
      <c r="M3" s="13">
        <f t="shared" si="3"/>
        <v>0</v>
      </c>
      <c r="N3" s="8"/>
      <c r="O3" s="8">
        <v>13.555</v>
      </c>
      <c r="P3" s="8">
        <v>14.888</v>
      </c>
      <c r="Q3" s="8">
        <f t="shared" si="4"/>
        <v>0</v>
      </c>
      <c r="R3" s="175"/>
      <c r="S3" s="176"/>
      <c r="T3" s="176"/>
      <c r="U3" s="176"/>
      <c r="V3" s="16">
        <f t="shared" si="5"/>
        <v>0</v>
      </c>
      <c r="W3" s="16">
        <f t="shared" si="6"/>
        <v>0</v>
      </c>
    </row>
    <row r="4" ht="15.75" customHeight="1">
      <c r="A4" s="7">
        <v>3.0</v>
      </c>
      <c r="B4" s="8" t="s">
        <v>23</v>
      </c>
      <c r="C4" s="8" t="s">
        <v>26</v>
      </c>
      <c r="D4" s="8"/>
      <c r="E4" s="8"/>
      <c r="F4" s="10"/>
      <c r="G4" s="10"/>
      <c r="H4" s="10"/>
      <c r="I4" s="13">
        <f t="shared" si="1"/>
        <v>0</v>
      </c>
      <c r="J4" s="10"/>
      <c r="K4" s="10"/>
      <c r="L4" s="13">
        <f t="shared" si="2"/>
        <v>0</v>
      </c>
      <c r="M4" s="13">
        <f t="shared" si="3"/>
        <v>0</v>
      </c>
      <c r="N4" s="8"/>
      <c r="O4" s="8">
        <v>13.555</v>
      </c>
      <c r="P4" s="8">
        <v>14.888</v>
      </c>
      <c r="Q4" s="8">
        <f t="shared" si="4"/>
        <v>0</v>
      </c>
      <c r="R4" s="175"/>
      <c r="S4" s="175"/>
      <c r="T4" s="175"/>
      <c r="U4" s="176"/>
      <c r="V4" s="16">
        <f t="shared" si="5"/>
        <v>0</v>
      </c>
      <c r="W4" s="16">
        <f t="shared" si="6"/>
        <v>0</v>
      </c>
    </row>
    <row r="5" ht="15.75" customHeight="1">
      <c r="A5" s="7">
        <v>4.0</v>
      </c>
      <c r="B5" s="8" t="s">
        <v>23</v>
      </c>
      <c r="C5" s="8" t="s">
        <v>27</v>
      </c>
      <c r="D5" s="8"/>
      <c r="E5" s="8"/>
      <c r="F5" s="10"/>
      <c r="G5" s="10"/>
      <c r="H5" s="10"/>
      <c r="I5" s="13">
        <f t="shared" si="1"/>
        <v>0</v>
      </c>
      <c r="J5" s="10"/>
      <c r="K5" s="10"/>
      <c r="L5" s="13">
        <f t="shared" si="2"/>
        <v>0</v>
      </c>
      <c r="M5" s="13">
        <f t="shared" si="3"/>
        <v>0</v>
      </c>
      <c r="N5" s="8"/>
      <c r="O5" s="8">
        <v>13.555</v>
      </c>
      <c r="P5" s="8">
        <v>14.888</v>
      </c>
      <c r="Q5" s="8">
        <f t="shared" si="4"/>
        <v>0</v>
      </c>
      <c r="R5" s="175"/>
      <c r="S5" s="175"/>
      <c r="T5" s="175"/>
      <c r="U5" s="176"/>
      <c r="V5" s="16">
        <f t="shared" si="5"/>
        <v>0</v>
      </c>
      <c r="W5" s="16">
        <f t="shared" si="6"/>
        <v>0</v>
      </c>
    </row>
    <row r="6" ht="15.75" customHeight="1">
      <c r="A6" s="7">
        <v>5.0</v>
      </c>
      <c r="B6" s="8" t="s">
        <v>23</v>
      </c>
      <c r="C6" s="8" t="s">
        <v>28</v>
      </c>
      <c r="D6" s="8"/>
      <c r="E6" s="8"/>
      <c r="F6" s="10"/>
      <c r="G6" s="10"/>
      <c r="H6" s="10"/>
      <c r="I6" s="13">
        <f t="shared" si="1"/>
        <v>0</v>
      </c>
      <c r="J6" s="10"/>
      <c r="K6" s="10"/>
      <c r="L6" s="13">
        <f t="shared" si="2"/>
        <v>0</v>
      </c>
      <c r="M6" s="13">
        <f t="shared" si="3"/>
        <v>0</v>
      </c>
      <c r="N6" s="8"/>
      <c r="O6" s="8">
        <v>13.555</v>
      </c>
      <c r="P6" s="8">
        <v>14.888</v>
      </c>
      <c r="Q6" s="8">
        <f t="shared" si="4"/>
        <v>0</v>
      </c>
      <c r="R6" s="175"/>
      <c r="S6" s="175"/>
      <c r="T6" s="175"/>
      <c r="U6" s="176"/>
      <c r="V6" s="16">
        <f t="shared" si="5"/>
        <v>0</v>
      </c>
      <c r="W6" s="16">
        <f t="shared" si="6"/>
        <v>0</v>
      </c>
    </row>
    <row r="7" ht="15.75" customHeight="1">
      <c r="A7" s="7">
        <v>6.0</v>
      </c>
      <c r="B7" s="8" t="s">
        <v>23</v>
      </c>
      <c r="C7" s="8" t="s">
        <v>29</v>
      </c>
      <c r="D7" s="8"/>
      <c r="E7" s="8"/>
      <c r="F7" s="10"/>
      <c r="G7" s="10"/>
      <c r="H7" s="10"/>
      <c r="I7" s="13">
        <f t="shared" si="1"/>
        <v>0</v>
      </c>
      <c r="J7" s="10"/>
      <c r="K7" s="10"/>
      <c r="L7" s="13">
        <f t="shared" si="2"/>
        <v>0</v>
      </c>
      <c r="M7" s="13">
        <f t="shared" si="3"/>
        <v>0</v>
      </c>
      <c r="N7" s="8"/>
      <c r="O7" s="8">
        <v>13.555</v>
      </c>
      <c r="P7" s="8">
        <v>14.888</v>
      </c>
      <c r="Q7" s="8">
        <f t="shared" si="4"/>
        <v>0</v>
      </c>
      <c r="R7" s="175"/>
      <c r="S7" s="175"/>
      <c r="T7" s="175"/>
      <c r="U7" s="176"/>
      <c r="V7" s="16">
        <f t="shared" si="5"/>
        <v>0</v>
      </c>
      <c r="W7" s="16">
        <f t="shared" si="6"/>
        <v>0</v>
      </c>
    </row>
    <row r="8" ht="15.75" customHeight="1">
      <c r="A8" s="7">
        <v>7.0</v>
      </c>
      <c r="B8" s="8" t="s">
        <v>23</v>
      </c>
      <c r="C8" s="8" t="s">
        <v>30</v>
      </c>
      <c r="D8" s="8"/>
      <c r="E8" s="8"/>
      <c r="F8" s="10"/>
      <c r="G8" s="10"/>
      <c r="H8" s="10"/>
      <c r="I8" s="13">
        <f t="shared" si="1"/>
        <v>0</v>
      </c>
      <c r="J8" s="10"/>
      <c r="K8" s="10"/>
      <c r="L8" s="13">
        <f t="shared" si="2"/>
        <v>0</v>
      </c>
      <c r="M8" s="13">
        <f t="shared" si="3"/>
        <v>0</v>
      </c>
      <c r="N8" s="8"/>
      <c r="O8" s="8">
        <v>13.555</v>
      </c>
      <c r="P8" s="8">
        <v>14.888</v>
      </c>
      <c r="Q8" s="8">
        <f t="shared" si="4"/>
        <v>0</v>
      </c>
      <c r="R8" s="175"/>
      <c r="S8" s="175"/>
      <c r="T8" s="175"/>
      <c r="U8" s="176"/>
      <c r="V8" s="16">
        <f t="shared" si="5"/>
        <v>0</v>
      </c>
      <c r="W8" s="16">
        <f t="shared" si="6"/>
        <v>0</v>
      </c>
    </row>
    <row r="9" ht="15.75" customHeight="1">
      <c r="A9" s="7">
        <v>8.0</v>
      </c>
      <c r="B9" s="8" t="s">
        <v>23</v>
      </c>
      <c r="C9" s="8" t="s">
        <v>32</v>
      </c>
      <c r="D9" s="8"/>
      <c r="E9" s="8"/>
      <c r="F9" s="10"/>
      <c r="G9" s="10"/>
      <c r="H9" s="10"/>
      <c r="I9" s="13">
        <f t="shared" si="1"/>
        <v>0</v>
      </c>
      <c r="J9" s="10"/>
      <c r="K9" s="10"/>
      <c r="L9" s="13">
        <f t="shared" si="2"/>
        <v>0</v>
      </c>
      <c r="M9" s="13">
        <f t="shared" si="3"/>
        <v>0</v>
      </c>
      <c r="N9" s="8"/>
      <c r="O9" s="8">
        <v>13.555</v>
      </c>
      <c r="P9" s="8">
        <v>14.888</v>
      </c>
      <c r="Q9" s="8">
        <f t="shared" si="4"/>
        <v>0</v>
      </c>
      <c r="R9" s="175"/>
      <c r="S9" s="175"/>
      <c r="T9" s="175"/>
      <c r="U9" s="176"/>
      <c r="V9" s="16">
        <f t="shared" si="5"/>
        <v>0</v>
      </c>
      <c r="W9" s="16">
        <f t="shared" si="6"/>
        <v>0</v>
      </c>
    </row>
    <row r="10" ht="15.75" customHeight="1">
      <c r="A10" s="7">
        <v>9.0</v>
      </c>
      <c r="B10" s="8" t="s">
        <v>23</v>
      </c>
      <c r="C10" s="8" t="s">
        <v>33</v>
      </c>
      <c r="D10" s="8"/>
      <c r="E10" s="8"/>
      <c r="F10" s="10"/>
      <c r="G10" s="10"/>
      <c r="H10" s="10"/>
      <c r="I10" s="13">
        <f t="shared" si="1"/>
        <v>0</v>
      </c>
      <c r="J10" s="10"/>
      <c r="K10" s="10"/>
      <c r="L10" s="13">
        <f t="shared" si="2"/>
        <v>0</v>
      </c>
      <c r="M10" s="13">
        <f t="shared" si="3"/>
        <v>0</v>
      </c>
      <c r="N10" s="8"/>
      <c r="O10" s="8">
        <v>13.555</v>
      </c>
      <c r="P10" s="8">
        <v>14.888</v>
      </c>
      <c r="Q10" s="8">
        <f t="shared" si="4"/>
        <v>0</v>
      </c>
      <c r="R10" s="175"/>
      <c r="S10" s="175"/>
      <c r="T10" s="175"/>
      <c r="U10" s="176"/>
      <c r="V10" s="16">
        <f t="shared" si="5"/>
        <v>0</v>
      </c>
      <c r="W10" s="16">
        <f t="shared" si="6"/>
        <v>0</v>
      </c>
    </row>
    <row r="11" ht="15.75" customHeight="1">
      <c r="A11" s="7">
        <v>10.0</v>
      </c>
      <c r="B11" s="8" t="s">
        <v>23</v>
      </c>
      <c r="C11" s="8" t="s">
        <v>34</v>
      </c>
      <c r="D11" s="8"/>
      <c r="E11" s="8"/>
      <c r="F11" s="10"/>
      <c r="G11" s="10"/>
      <c r="H11" s="10"/>
      <c r="I11" s="13">
        <f t="shared" si="1"/>
        <v>0</v>
      </c>
      <c r="J11" s="10"/>
      <c r="K11" s="10"/>
      <c r="L11" s="13">
        <f t="shared" si="2"/>
        <v>0</v>
      </c>
      <c r="M11" s="13">
        <f t="shared" si="3"/>
        <v>0</v>
      </c>
      <c r="N11" s="8"/>
      <c r="O11" s="8">
        <v>13.555</v>
      </c>
      <c r="P11" s="8">
        <v>14.888</v>
      </c>
      <c r="Q11" s="8">
        <f t="shared" si="4"/>
        <v>0</v>
      </c>
      <c r="R11" s="175"/>
      <c r="S11" s="175"/>
      <c r="T11" s="175"/>
      <c r="U11" s="176"/>
      <c r="V11" s="16">
        <f t="shared" si="5"/>
        <v>0</v>
      </c>
      <c r="W11" s="16">
        <f t="shared" si="6"/>
        <v>0</v>
      </c>
    </row>
    <row r="12" ht="15.75" customHeight="1">
      <c r="A12" s="7">
        <v>11.0</v>
      </c>
      <c r="B12" s="8" t="s">
        <v>23</v>
      </c>
      <c r="C12" s="8" t="s">
        <v>36</v>
      </c>
      <c r="D12" s="8"/>
      <c r="E12" s="8"/>
      <c r="F12" s="10"/>
      <c r="G12" s="10"/>
      <c r="H12" s="10"/>
      <c r="I12" s="13">
        <f t="shared" si="1"/>
        <v>0</v>
      </c>
      <c r="J12" s="10"/>
      <c r="K12" s="10"/>
      <c r="L12" s="13">
        <f t="shared" si="2"/>
        <v>0</v>
      </c>
      <c r="M12" s="13">
        <f t="shared" si="3"/>
        <v>0</v>
      </c>
      <c r="N12" s="8"/>
      <c r="O12" s="8">
        <v>13.555</v>
      </c>
      <c r="P12" s="8">
        <v>14.888</v>
      </c>
      <c r="Q12" s="8">
        <f t="shared" si="4"/>
        <v>0</v>
      </c>
      <c r="R12" s="175"/>
      <c r="S12" s="175"/>
      <c r="T12" s="175"/>
      <c r="U12" s="176"/>
      <c r="V12" s="16">
        <f t="shared" si="5"/>
        <v>0</v>
      </c>
      <c r="W12" s="16">
        <f t="shared" si="6"/>
        <v>0</v>
      </c>
    </row>
    <row r="13" ht="15.75" customHeight="1">
      <c r="A13" s="7">
        <v>12.0</v>
      </c>
      <c r="B13" s="8" t="s">
        <v>23</v>
      </c>
      <c r="C13" s="8" t="s">
        <v>37</v>
      </c>
      <c r="D13" s="8"/>
      <c r="E13" s="8"/>
      <c r="F13" s="10"/>
      <c r="G13" s="10"/>
      <c r="H13" s="10"/>
      <c r="I13" s="13">
        <f t="shared" si="1"/>
        <v>0</v>
      </c>
      <c r="J13" s="10"/>
      <c r="K13" s="10"/>
      <c r="L13" s="13">
        <f t="shared" si="2"/>
        <v>0</v>
      </c>
      <c r="M13" s="13">
        <f t="shared" si="3"/>
        <v>0</v>
      </c>
      <c r="N13" s="8"/>
      <c r="O13" s="8">
        <v>13.555</v>
      </c>
      <c r="P13" s="8">
        <v>14.888</v>
      </c>
      <c r="Q13" s="8">
        <f t="shared" si="4"/>
        <v>0</v>
      </c>
      <c r="R13" s="175"/>
      <c r="S13" s="175"/>
      <c r="T13" s="175"/>
      <c r="U13" s="176"/>
      <c r="V13" s="16">
        <f t="shared" si="5"/>
        <v>0</v>
      </c>
      <c r="W13" s="16">
        <f t="shared" si="6"/>
        <v>0</v>
      </c>
    </row>
    <row r="14" ht="15.75" customHeight="1">
      <c r="A14" s="7">
        <v>13.0</v>
      </c>
      <c r="B14" s="8" t="s">
        <v>23</v>
      </c>
      <c r="C14" s="8" t="s">
        <v>38</v>
      </c>
      <c r="D14" s="8"/>
      <c r="E14" s="8"/>
      <c r="F14" s="10"/>
      <c r="G14" s="10"/>
      <c r="H14" s="10"/>
      <c r="I14" s="13">
        <f t="shared" si="1"/>
        <v>0</v>
      </c>
      <c r="J14" s="10"/>
      <c r="K14" s="10"/>
      <c r="L14" s="13">
        <f t="shared" si="2"/>
        <v>0</v>
      </c>
      <c r="M14" s="13">
        <f t="shared" si="3"/>
        <v>0</v>
      </c>
      <c r="N14" s="8"/>
      <c r="O14" s="8">
        <v>13.555</v>
      </c>
      <c r="P14" s="8">
        <v>14.888</v>
      </c>
      <c r="Q14" s="8">
        <f t="shared" si="4"/>
        <v>0</v>
      </c>
      <c r="R14" s="175"/>
      <c r="S14" s="175"/>
      <c r="T14" s="175"/>
      <c r="U14" s="176"/>
      <c r="V14" s="16">
        <f t="shared" si="5"/>
        <v>0</v>
      </c>
      <c r="W14" s="16">
        <f t="shared" si="6"/>
        <v>0</v>
      </c>
    </row>
    <row r="15" ht="15.75" customHeight="1">
      <c r="A15" s="7">
        <v>14.0</v>
      </c>
      <c r="B15" s="8" t="s">
        <v>23</v>
      </c>
      <c r="C15" s="8" t="s">
        <v>39</v>
      </c>
      <c r="D15" s="8"/>
      <c r="E15" s="8"/>
      <c r="F15" s="10"/>
      <c r="G15" s="10"/>
      <c r="H15" s="10"/>
      <c r="I15" s="13">
        <f t="shared" si="1"/>
        <v>0</v>
      </c>
      <c r="J15" s="10"/>
      <c r="K15" s="10"/>
      <c r="L15" s="13">
        <f t="shared" si="2"/>
        <v>0</v>
      </c>
      <c r="M15" s="13">
        <f t="shared" si="3"/>
        <v>0</v>
      </c>
      <c r="N15" s="8"/>
      <c r="O15" s="8">
        <v>13.555</v>
      </c>
      <c r="P15" s="8">
        <v>14.888</v>
      </c>
      <c r="Q15" s="8">
        <f t="shared" si="4"/>
        <v>0</v>
      </c>
      <c r="R15" s="175"/>
      <c r="S15" s="175"/>
      <c r="T15" s="175"/>
      <c r="U15" s="176"/>
      <c r="V15" s="16">
        <f t="shared" si="5"/>
        <v>0</v>
      </c>
      <c r="W15" s="16">
        <f t="shared" si="6"/>
        <v>0</v>
      </c>
    </row>
    <row r="16" ht="15.75" customHeight="1">
      <c r="A16" s="7">
        <v>15.0</v>
      </c>
      <c r="B16" s="8" t="s">
        <v>23</v>
      </c>
      <c r="C16" s="8" t="s">
        <v>40</v>
      </c>
      <c r="D16" s="8"/>
      <c r="E16" s="8"/>
      <c r="F16" s="10"/>
      <c r="G16" s="10"/>
      <c r="H16" s="10"/>
      <c r="I16" s="13">
        <f t="shared" si="1"/>
        <v>0</v>
      </c>
      <c r="J16" s="10"/>
      <c r="K16" s="10"/>
      <c r="L16" s="13">
        <f t="shared" si="2"/>
        <v>0</v>
      </c>
      <c r="M16" s="13">
        <f t="shared" si="3"/>
        <v>0</v>
      </c>
      <c r="N16" s="8"/>
      <c r="O16" s="8">
        <v>13.555</v>
      </c>
      <c r="P16" s="8">
        <v>14.888</v>
      </c>
      <c r="Q16" s="8">
        <f t="shared" si="4"/>
        <v>0</v>
      </c>
      <c r="R16" s="175"/>
      <c r="S16" s="175"/>
      <c r="T16" s="175"/>
      <c r="U16" s="176"/>
      <c r="V16" s="16">
        <f t="shared" si="5"/>
        <v>0</v>
      </c>
      <c r="W16" s="16">
        <f t="shared" si="6"/>
        <v>0</v>
      </c>
    </row>
    <row r="17" ht="15.75" customHeight="1">
      <c r="A17" s="7">
        <v>16.0</v>
      </c>
      <c r="B17" s="8" t="s">
        <v>23</v>
      </c>
      <c r="C17" s="8" t="s">
        <v>41</v>
      </c>
      <c r="D17" s="8"/>
      <c r="E17" s="8"/>
      <c r="F17" s="10"/>
      <c r="G17" s="10"/>
      <c r="H17" s="10"/>
      <c r="I17" s="13">
        <f t="shared" si="1"/>
        <v>0</v>
      </c>
      <c r="J17" s="10"/>
      <c r="K17" s="10"/>
      <c r="L17" s="13">
        <f t="shared" si="2"/>
        <v>0</v>
      </c>
      <c r="M17" s="13">
        <f t="shared" si="3"/>
        <v>0</v>
      </c>
      <c r="N17" s="8"/>
      <c r="O17" s="8">
        <v>13.555</v>
      </c>
      <c r="P17" s="8">
        <v>14.888</v>
      </c>
      <c r="Q17" s="8">
        <f t="shared" si="4"/>
        <v>0</v>
      </c>
      <c r="R17" s="175"/>
      <c r="S17" s="175"/>
      <c r="T17" s="175"/>
      <c r="U17" s="176"/>
      <c r="V17" s="16">
        <f t="shared" si="5"/>
        <v>0</v>
      </c>
      <c r="W17" s="16">
        <f t="shared" si="6"/>
        <v>0</v>
      </c>
    </row>
    <row r="18" ht="15.75" customHeight="1">
      <c r="A18" s="7">
        <v>17.0</v>
      </c>
      <c r="B18" s="8" t="s">
        <v>23</v>
      </c>
      <c r="C18" s="8" t="s">
        <v>43</v>
      </c>
      <c r="D18" s="8"/>
      <c r="E18" s="8"/>
      <c r="F18" s="10"/>
      <c r="G18" s="10"/>
      <c r="H18" s="10"/>
      <c r="I18" s="13">
        <f t="shared" si="1"/>
        <v>0</v>
      </c>
      <c r="J18" s="10"/>
      <c r="K18" s="10"/>
      <c r="L18" s="13">
        <f t="shared" si="2"/>
        <v>0</v>
      </c>
      <c r="M18" s="13">
        <f t="shared" si="3"/>
        <v>0</v>
      </c>
      <c r="N18" s="8"/>
      <c r="O18" s="8">
        <v>13.555</v>
      </c>
      <c r="P18" s="8">
        <v>14.888</v>
      </c>
      <c r="Q18" s="8">
        <f t="shared" si="4"/>
        <v>0</v>
      </c>
      <c r="R18" s="175"/>
      <c r="S18" s="175"/>
      <c r="T18" s="175"/>
      <c r="U18" s="176"/>
      <c r="V18" s="16">
        <f t="shared" si="5"/>
        <v>0</v>
      </c>
      <c r="W18" s="16">
        <f t="shared" si="6"/>
        <v>0</v>
      </c>
    </row>
    <row r="19" ht="15.75" customHeight="1">
      <c r="A19" s="7">
        <v>18.0</v>
      </c>
      <c r="B19" s="8" t="s">
        <v>23</v>
      </c>
      <c r="C19" s="8" t="s">
        <v>44</v>
      </c>
      <c r="D19" s="8"/>
      <c r="E19" s="8"/>
      <c r="F19" s="10"/>
      <c r="G19" s="10"/>
      <c r="H19" s="10"/>
      <c r="I19" s="13">
        <f t="shared" si="1"/>
        <v>0</v>
      </c>
      <c r="J19" s="10"/>
      <c r="K19" s="10"/>
      <c r="L19" s="13">
        <f t="shared" si="2"/>
        <v>0</v>
      </c>
      <c r="M19" s="13">
        <f t="shared" si="3"/>
        <v>0</v>
      </c>
      <c r="N19" s="8"/>
      <c r="O19" s="8">
        <v>13.555</v>
      </c>
      <c r="P19" s="8">
        <v>14.888</v>
      </c>
      <c r="Q19" s="8">
        <f t="shared" si="4"/>
        <v>0</v>
      </c>
      <c r="R19" s="175"/>
      <c r="S19" s="175"/>
      <c r="T19" s="175"/>
      <c r="U19" s="176"/>
      <c r="V19" s="16">
        <f t="shared" si="5"/>
        <v>0</v>
      </c>
      <c r="W19" s="16">
        <f t="shared" si="6"/>
        <v>0</v>
      </c>
    </row>
    <row r="20" ht="15.75" customHeight="1">
      <c r="A20" s="7">
        <v>19.0</v>
      </c>
      <c r="B20" s="8" t="s">
        <v>23</v>
      </c>
      <c r="C20" s="8" t="s">
        <v>45</v>
      </c>
      <c r="D20" s="8"/>
      <c r="E20" s="8"/>
      <c r="F20" s="10"/>
      <c r="G20" s="10"/>
      <c r="H20" s="10"/>
      <c r="I20" s="13">
        <f t="shared" si="1"/>
        <v>0</v>
      </c>
      <c r="J20" s="10"/>
      <c r="K20" s="10"/>
      <c r="L20" s="13">
        <f t="shared" si="2"/>
        <v>0</v>
      </c>
      <c r="M20" s="13">
        <f t="shared" si="3"/>
        <v>0</v>
      </c>
      <c r="N20" s="8"/>
      <c r="O20" s="8">
        <v>13.555</v>
      </c>
      <c r="P20" s="8">
        <v>14.888</v>
      </c>
      <c r="Q20" s="8">
        <f t="shared" si="4"/>
        <v>0</v>
      </c>
      <c r="R20" s="175"/>
      <c r="S20" s="175"/>
      <c r="T20" s="175"/>
      <c r="U20" s="176"/>
      <c r="V20" s="16">
        <f t="shared" si="5"/>
        <v>0</v>
      </c>
      <c r="W20" s="16">
        <f t="shared" si="6"/>
        <v>0</v>
      </c>
    </row>
    <row r="21" ht="15.75" customHeight="1">
      <c r="A21" s="7">
        <v>20.0</v>
      </c>
      <c r="B21" s="8" t="s">
        <v>23</v>
      </c>
      <c r="C21" s="8" t="s">
        <v>46</v>
      </c>
      <c r="D21" s="8"/>
      <c r="E21" s="8"/>
      <c r="F21" s="10"/>
      <c r="G21" s="10"/>
      <c r="H21" s="10"/>
      <c r="I21" s="13">
        <f t="shared" si="1"/>
        <v>0</v>
      </c>
      <c r="J21" s="10"/>
      <c r="K21" s="10"/>
      <c r="L21" s="13">
        <f t="shared" si="2"/>
        <v>0</v>
      </c>
      <c r="M21" s="13">
        <f t="shared" si="3"/>
        <v>0</v>
      </c>
      <c r="N21" s="8"/>
      <c r="O21" s="8">
        <v>13.555</v>
      </c>
      <c r="P21" s="8">
        <v>14.888</v>
      </c>
      <c r="Q21" s="8">
        <f t="shared" si="4"/>
        <v>0</v>
      </c>
      <c r="R21" s="175"/>
      <c r="S21" s="175"/>
      <c r="T21" s="175"/>
      <c r="U21" s="176"/>
      <c r="V21" s="16">
        <f t="shared" si="5"/>
        <v>0</v>
      </c>
      <c r="W21" s="16">
        <f t="shared" si="6"/>
        <v>0</v>
      </c>
    </row>
    <row r="22" ht="15.75" customHeight="1">
      <c r="A22" s="7">
        <v>21.0</v>
      </c>
      <c r="B22" s="8" t="s">
        <v>23</v>
      </c>
      <c r="C22" s="8" t="s">
        <v>47</v>
      </c>
      <c r="D22" s="8"/>
      <c r="E22" s="8"/>
      <c r="F22" s="10"/>
      <c r="G22" s="10"/>
      <c r="H22" s="10"/>
      <c r="I22" s="13">
        <f t="shared" si="1"/>
        <v>0</v>
      </c>
      <c r="J22" s="10"/>
      <c r="K22" s="10"/>
      <c r="L22" s="13">
        <f t="shared" si="2"/>
        <v>0</v>
      </c>
      <c r="M22" s="13">
        <f t="shared" si="3"/>
        <v>0</v>
      </c>
      <c r="N22" s="8"/>
      <c r="O22" s="8">
        <v>13.555</v>
      </c>
      <c r="P22" s="8">
        <v>14.888</v>
      </c>
      <c r="Q22" s="8">
        <f t="shared" si="4"/>
        <v>0</v>
      </c>
      <c r="R22" s="175"/>
      <c r="S22" s="175"/>
      <c r="T22" s="175"/>
      <c r="U22" s="176"/>
      <c r="V22" s="16">
        <f t="shared" si="5"/>
        <v>0</v>
      </c>
      <c r="W22" s="16">
        <f t="shared" si="6"/>
        <v>0</v>
      </c>
    </row>
    <row r="23" ht="15.75" customHeight="1">
      <c r="A23" s="7">
        <v>22.0</v>
      </c>
      <c r="B23" s="8" t="s">
        <v>23</v>
      </c>
      <c r="C23" s="8" t="s">
        <v>48</v>
      </c>
      <c r="D23" s="8"/>
      <c r="E23" s="8"/>
      <c r="F23" s="10"/>
      <c r="G23" s="10"/>
      <c r="H23" s="10"/>
      <c r="I23" s="13">
        <f t="shared" si="1"/>
        <v>0</v>
      </c>
      <c r="J23" s="10"/>
      <c r="K23" s="10"/>
      <c r="L23" s="13">
        <f t="shared" si="2"/>
        <v>0</v>
      </c>
      <c r="M23" s="13">
        <f t="shared" si="3"/>
        <v>0</v>
      </c>
      <c r="N23" s="8"/>
      <c r="O23" s="8">
        <v>13.555</v>
      </c>
      <c r="P23" s="8">
        <v>14.888</v>
      </c>
      <c r="Q23" s="8">
        <f t="shared" si="4"/>
        <v>0</v>
      </c>
      <c r="R23" s="175"/>
      <c r="S23" s="175"/>
      <c r="T23" s="175"/>
      <c r="U23" s="176"/>
      <c r="V23" s="16">
        <f t="shared" si="5"/>
        <v>0</v>
      </c>
      <c r="W23" s="16">
        <f t="shared" si="6"/>
        <v>0</v>
      </c>
    </row>
    <row r="24" ht="15.75" customHeight="1">
      <c r="A24" s="7">
        <v>23.0</v>
      </c>
      <c r="B24" s="8" t="s">
        <v>23</v>
      </c>
      <c r="C24" s="8" t="s">
        <v>49</v>
      </c>
      <c r="D24" s="8"/>
      <c r="E24" s="8"/>
      <c r="F24" s="10"/>
      <c r="G24" s="10"/>
      <c r="H24" s="10"/>
      <c r="I24" s="13">
        <f t="shared" si="1"/>
        <v>0</v>
      </c>
      <c r="J24" s="10"/>
      <c r="K24" s="10"/>
      <c r="L24" s="13">
        <f t="shared" si="2"/>
        <v>0</v>
      </c>
      <c r="M24" s="13">
        <f t="shared" si="3"/>
        <v>0</v>
      </c>
      <c r="N24" s="8"/>
      <c r="O24" s="8">
        <v>13.555</v>
      </c>
      <c r="P24" s="8">
        <v>14.888</v>
      </c>
      <c r="Q24" s="8">
        <f t="shared" si="4"/>
        <v>0</v>
      </c>
      <c r="R24" s="175"/>
      <c r="S24" s="175"/>
      <c r="T24" s="175"/>
      <c r="U24" s="176"/>
      <c r="V24" s="16">
        <f t="shared" si="5"/>
        <v>0</v>
      </c>
      <c r="W24" s="16">
        <f t="shared" si="6"/>
        <v>0</v>
      </c>
    </row>
    <row r="25" ht="15.75" customHeight="1">
      <c r="A25" s="7">
        <v>24.0</v>
      </c>
      <c r="B25" s="8" t="s">
        <v>23</v>
      </c>
      <c r="C25" s="8" t="s">
        <v>50</v>
      </c>
      <c r="D25" s="8"/>
      <c r="E25" s="8"/>
      <c r="F25" s="10"/>
      <c r="G25" s="10"/>
      <c r="H25" s="10"/>
      <c r="I25" s="13">
        <f t="shared" si="1"/>
        <v>0</v>
      </c>
      <c r="J25" s="10"/>
      <c r="K25" s="10"/>
      <c r="L25" s="13">
        <f t="shared" si="2"/>
        <v>0</v>
      </c>
      <c r="M25" s="13">
        <f t="shared" si="3"/>
        <v>0</v>
      </c>
      <c r="N25" s="8"/>
      <c r="O25" s="8">
        <v>13.555</v>
      </c>
      <c r="P25" s="8">
        <v>14.888</v>
      </c>
      <c r="Q25" s="8">
        <f t="shared" si="4"/>
        <v>0</v>
      </c>
      <c r="R25" s="175"/>
      <c r="S25" s="175"/>
      <c r="T25" s="175"/>
      <c r="U25" s="176"/>
      <c r="V25" s="16">
        <f t="shared" si="5"/>
        <v>0</v>
      </c>
      <c r="W25" s="16">
        <f t="shared" si="6"/>
        <v>0</v>
      </c>
    </row>
    <row r="26" ht="15.75" customHeight="1">
      <c r="A26" s="7">
        <v>25.0</v>
      </c>
      <c r="B26" s="8" t="s">
        <v>23</v>
      </c>
      <c r="C26" s="8" t="s">
        <v>51</v>
      </c>
      <c r="D26" s="8"/>
      <c r="E26" s="8"/>
      <c r="F26" s="10"/>
      <c r="G26" s="10"/>
      <c r="H26" s="10"/>
      <c r="I26" s="13">
        <f t="shared" si="1"/>
        <v>0</v>
      </c>
      <c r="J26" s="10"/>
      <c r="K26" s="10"/>
      <c r="L26" s="13">
        <f t="shared" si="2"/>
        <v>0</v>
      </c>
      <c r="M26" s="13">
        <f t="shared" si="3"/>
        <v>0</v>
      </c>
      <c r="N26" s="8"/>
      <c r="O26" s="8">
        <v>13.555</v>
      </c>
      <c r="P26" s="8">
        <v>14.888</v>
      </c>
      <c r="Q26" s="8">
        <f t="shared" si="4"/>
        <v>0</v>
      </c>
      <c r="R26" s="175"/>
      <c r="S26" s="175"/>
      <c r="T26" s="175"/>
      <c r="U26" s="176"/>
      <c r="V26" s="16">
        <f t="shared" si="5"/>
        <v>0</v>
      </c>
      <c r="W26" s="16">
        <f t="shared" si="6"/>
        <v>0</v>
      </c>
    </row>
    <row r="27" ht="15.75" customHeight="1">
      <c r="A27" s="7">
        <v>26.0</v>
      </c>
      <c r="B27" s="8" t="s">
        <v>23</v>
      </c>
      <c r="C27" s="8" t="s">
        <v>52</v>
      </c>
      <c r="D27" s="8"/>
      <c r="E27" s="8"/>
      <c r="F27" s="10"/>
      <c r="G27" s="10"/>
      <c r="H27" s="10"/>
      <c r="I27" s="13">
        <f t="shared" si="1"/>
        <v>0</v>
      </c>
      <c r="J27" s="10"/>
      <c r="K27" s="10"/>
      <c r="L27" s="13">
        <f t="shared" si="2"/>
        <v>0</v>
      </c>
      <c r="M27" s="13">
        <f t="shared" si="3"/>
        <v>0</v>
      </c>
      <c r="N27" s="8"/>
      <c r="O27" s="8">
        <v>13.555</v>
      </c>
      <c r="P27" s="8">
        <v>14.888</v>
      </c>
      <c r="Q27" s="8">
        <f t="shared" si="4"/>
        <v>0</v>
      </c>
      <c r="R27" s="175"/>
      <c r="S27" s="175"/>
      <c r="T27" s="175"/>
      <c r="U27" s="176"/>
      <c r="V27" s="16">
        <f t="shared" si="5"/>
        <v>0</v>
      </c>
      <c r="W27" s="16">
        <f t="shared" si="6"/>
        <v>0</v>
      </c>
    </row>
    <row r="28" ht="15.75" customHeight="1">
      <c r="A28" s="7">
        <v>27.0</v>
      </c>
      <c r="B28" s="8" t="s">
        <v>23</v>
      </c>
      <c r="C28" s="8" t="s">
        <v>53</v>
      </c>
      <c r="D28" s="8"/>
      <c r="E28" s="8"/>
      <c r="F28" s="10"/>
      <c r="G28" s="10"/>
      <c r="H28" s="10"/>
      <c r="I28" s="13">
        <f t="shared" si="1"/>
        <v>0</v>
      </c>
      <c r="J28" s="10"/>
      <c r="K28" s="10"/>
      <c r="L28" s="13">
        <f t="shared" si="2"/>
        <v>0</v>
      </c>
      <c r="M28" s="13">
        <f t="shared" si="3"/>
        <v>0</v>
      </c>
      <c r="N28" s="8"/>
      <c r="O28" s="8">
        <v>13.555</v>
      </c>
      <c r="P28" s="8">
        <v>14.888</v>
      </c>
      <c r="Q28" s="8">
        <f t="shared" si="4"/>
        <v>0</v>
      </c>
      <c r="R28" s="175"/>
      <c r="S28" s="175"/>
      <c r="T28" s="175"/>
      <c r="U28" s="176"/>
      <c r="V28" s="16">
        <f t="shared" si="5"/>
        <v>0</v>
      </c>
      <c r="W28" s="16">
        <f t="shared" si="6"/>
        <v>0</v>
      </c>
    </row>
    <row r="29" ht="15.75" customHeight="1">
      <c r="A29" s="7">
        <v>28.0</v>
      </c>
      <c r="B29" s="8" t="s">
        <v>23</v>
      </c>
      <c r="C29" s="8" t="s">
        <v>54</v>
      </c>
      <c r="D29" s="8"/>
      <c r="E29" s="8"/>
      <c r="F29" s="10"/>
      <c r="G29" s="10"/>
      <c r="H29" s="10"/>
      <c r="I29" s="13">
        <f t="shared" si="1"/>
        <v>0</v>
      </c>
      <c r="J29" s="10"/>
      <c r="K29" s="10"/>
      <c r="L29" s="13">
        <f t="shared" si="2"/>
        <v>0</v>
      </c>
      <c r="M29" s="13">
        <f t="shared" si="3"/>
        <v>0</v>
      </c>
      <c r="N29" s="8"/>
      <c r="O29" s="8">
        <v>13.555</v>
      </c>
      <c r="P29" s="8">
        <v>14.888</v>
      </c>
      <c r="Q29" s="8">
        <f t="shared" si="4"/>
        <v>0</v>
      </c>
      <c r="R29" s="175"/>
      <c r="S29" s="175"/>
      <c r="T29" s="175"/>
      <c r="U29" s="176"/>
      <c r="V29" s="16">
        <f t="shared" si="5"/>
        <v>0</v>
      </c>
      <c r="W29" s="16">
        <f t="shared" si="6"/>
        <v>0</v>
      </c>
    </row>
    <row r="30" ht="15.75" customHeight="1">
      <c r="A30" s="7">
        <v>29.0</v>
      </c>
      <c r="B30" s="8" t="s">
        <v>23</v>
      </c>
      <c r="C30" s="8" t="s">
        <v>55</v>
      </c>
      <c r="D30" s="8"/>
      <c r="E30" s="8"/>
      <c r="F30" s="10"/>
      <c r="G30" s="10"/>
      <c r="H30" s="10"/>
      <c r="I30" s="13">
        <f t="shared" si="1"/>
        <v>0</v>
      </c>
      <c r="J30" s="10"/>
      <c r="K30" s="10"/>
      <c r="L30" s="13">
        <f t="shared" si="2"/>
        <v>0</v>
      </c>
      <c r="M30" s="13">
        <f t="shared" si="3"/>
        <v>0</v>
      </c>
      <c r="N30" s="8"/>
      <c r="O30" s="8">
        <v>13.555</v>
      </c>
      <c r="P30" s="8">
        <v>14.888</v>
      </c>
      <c r="Q30" s="8">
        <f t="shared" si="4"/>
        <v>0</v>
      </c>
      <c r="R30" s="175"/>
      <c r="S30" s="175"/>
      <c r="T30" s="175"/>
      <c r="U30" s="176"/>
      <c r="V30" s="16">
        <f t="shared" si="5"/>
        <v>0</v>
      </c>
      <c r="W30" s="16">
        <f t="shared" si="6"/>
        <v>0</v>
      </c>
    </row>
    <row r="31" ht="15.75" customHeight="1">
      <c r="A31" s="7">
        <v>30.0</v>
      </c>
      <c r="B31" s="8" t="s">
        <v>23</v>
      </c>
      <c r="C31" s="8" t="s">
        <v>56</v>
      </c>
      <c r="D31" s="8"/>
      <c r="E31" s="8"/>
      <c r="F31" s="10"/>
      <c r="G31" s="10"/>
      <c r="H31" s="10"/>
      <c r="I31" s="13">
        <f t="shared" si="1"/>
        <v>0</v>
      </c>
      <c r="J31" s="10"/>
      <c r="K31" s="10"/>
      <c r="L31" s="13">
        <f t="shared" si="2"/>
        <v>0</v>
      </c>
      <c r="M31" s="13">
        <f t="shared" si="3"/>
        <v>0</v>
      </c>
      <c r="N31" s="8"/>
      <c r="O31" s="8">
        <v>13.555</v>
      </c>
      <c r="P31" s="8">
        <v>14.888</v>
      </c>
      <c r="Q31" s="8">
        <f t="shared" si="4"/>
        <v>0</v>
      </c>
      <c r="R31" s="175"/>
      <c r="S31" s="175"/>
      <c r="T31" s="175"/>
      <c r="U31" s="176"/>
      <c r="V31" s="16">
        <f t="shared" si="5"/>
        <v>0</v>
      </c>
      <c r="W31" s="16">
        <f t="shared" si="6"/>
        <v>0</v>
      </c>
    </row>
    <row r="32" ht="15.75" customHeight="1">
      <c r="A32" s="35"/>
      <c r="B32" s="35"/>
      <c r="C32" s="36"/>
      <c r="D32" s="37" t="s">
        <v>57</v>
      </c>
      <c r="E32" s="38">
        <f>SUM(M:M)</f>
        <v>0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A33" s="35"/>
      <c r="B33" s="35"/>
      <c r="C33" s="36"/>
      <c r="D33" s="37" t="s">
        <v>58</v>
      </c>
      <c r="E33" s="38">
        <f>SUM(Q:Q)</f>
        <v>0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5.75" customHeight="1">
      <c r="A34" s="35"/>
      <c r="B34" s="35"/>
      <c r="C34" s="36"/>
      <c r="D34" s="37" t="s">
        <v>59</v>
      </c>
      <c r="E34" s="38" t="str">
        <f>E32/E33</f>
        <v>#DIV/0!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5"/>
      <c r="C36" s="36"/>
      <c r="D36" s="41" t="s">
        <v>60</v>
      </c>
      <c r="E36" s="42" t="str">
        <f>AVERAGEIF(Q:Q,"&gt;0",Q:Q)</f>
        <v>#DIV/0!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5.75" customHeight="1">
      <c r="A37" s="35"/>
      <c r="B37" s="35"/>
      <c r="C37" s="35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5.75" customHeight="1">
      <c r="A38" s="35"/>
      <c r="B38" s="35"/>
      <c r="C38" s="35"/>
      <c r="D38" s="43" t="s">
        <v>61</v>
      </c>
      <c r="E38" s="44">
        <f>SUM(G:G)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5.75" customHeight="1">
      <c r="A39" s="35"/>
      <c r="B39" s="35"/>
      <c r="C39" s="35"/>
      <c r="D39" s="43" t="s">
        <v>62</v>
      </c>
      <c r="E39" s="44">
        <f>SUM(H:H)</f>
        <v>0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5.75" customHeight="1">
      <c r="A40" s="35"/>
      <c r="B40" s="35"/>
      <c r="C40" s="36"/>
      <c r="D40" s="43" t="s">
        <v>63</v>
      </c>
      <c r="E40" s="44">
        <f>E39+E38</f>
        <v>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5.75" customHeight="1">
      <c r="A41" s="35"/>
      <c r="B41" s="35"/>
      <c r="C41" s="35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5.75" customHeight="1">
      <c r="A42" s="35"/>
      <c r="B42" s="35"/>
      <c r="C42" s="35"/>
      <c r="D42" s="45" t="s">
        <v>64</v>
      </c>
      <c r="E42" s="46">
        <f>SUM(I:I)</f>
        <v>0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5.75" customHeight="1">
      <c r="A43" s="35"/>
      <c r="B43" s="35"/>
      <c r="C43" s="35"/>
      <c r="D43" s="45" t="s">
        <v>65</v>
      </c>
      <c r="E43" s="46">
        <f>SUM(J:J)</f>
        <v>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5.75" customHeight="1">
      <c r="A44" s="35"/>
      <c r="B44" s="35"/>
      <c r="C44" s="36"/>
      <c r="D44" s="45" t="s">
        <v>66</v>
      </c>
      <c r="E44" s="46">
        <f>E43+E42</f>
        <v>0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5.75" customHeight="1">
      <c r="A45" s="35"/>
      <c r="B45" s="35"/>
      <c r="C45" s="35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5.75" customHeight="1">
      <c r="A46" s="35"/>
      <c r="B46" s="35"/>
      <c r="C46" s="36"/>
      <c r="D46" s="47" t="s">
        <v>10</v>
      </c>
      <c r="E46" s="48">
        <f t="shared" ref="E46:E47" si="7">E42+E38</f>
        <v>0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5.75" customHeight="1">
      <c r="A47" s="35"/>
      <c r="B47" s="35"/>
      <c r="C47" s="35"/>
      <c r="D47" s="47" t="s">
        <v>11</v>
      </c>
      <c r="E47" s="48">
        <f t="shared" si="7"/>
        <v>0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