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STER POROS" sheetId="1" r:id="rId5"/>
    <sheet state="visible" name="1" sheetId="2" r:id="rId6"/>
    <sheet state="visible" name="2" sheetId="3" r:id="rId7"/>
    <sheet state="visible" name="3" sheetId="4" r:id="rId8"/>
    <sheet state="visible" name="4" sheetId="5" r:id="rId9"/>
    <sheet state="visible" name="5" sheetId="6" r:id="rId10"/>
    <sheet state="visible" name="6" sheetId="7" r:id="rId11"/>
    <sheet state="visible" name="7" sheetId="8" r:id="rId12"/>
    <sheet state="visible" name="8" sheetId="9" r:id="rId13"/>
    <sheet state="visible" name="9" sheetId="10" r:id="rId14"/>
    <sheet state="visible" name="10" sheetId="11" r:id="rId15"/>
    <sheet state="visible" name="11" sheetId="12" r:id="rId16"/>
    <sheet state="visible" name="12" sheetId="13" r:id="rId17"/>
    <sheet state="visible" name="13" sheetId="14" r:id="rId18"/>
    <sheet state="visible" name="14" sheetId="15" r:id="rId19"/>
    <sheet state="visible" name="15" sheetId="16" r:id="rId20"/>
    <sheet state="visible" name="16" sheetId="17" r:id="rId21"/>
    <sheet state="visible" name="17" sheetId="18" r:id="rId22"/>
    <sheet state="visible" name="18" sheetId="19" r:id="rId23"/>
    <sheet state="visible" name="19" sheetId="20" r:id="rId24"/>
    <sheet state="visible" name="20" sheetId="21" r:id="rId25"/>
    <sheet state="visible" name="21" sheetId="22" r:id="rId26"/>
    <sheet state="visible" name="22" sheetId="23" r:id="rId27"/>
    <sheet state="visible" name="23" sheetId="24" r:id="rId28"/>
    <sheet state="visible" name="24" sheetId="25" r:id="rId29"/>
    <sheet state="visible" name="25" sheetId="26" r:id="rId30"/>
    <sheet state="visible" name="26" sheetId="27" r:id="rId31"/>
    <sheet state="visible" name="27" sheetId="28" r:id="rId32"/>
    <sheet state="visible" name="28" sheetId="29" r:id="rId33"/>
    <sheet state="visible" name="29" sheetId="30" r:id="rId34"/>
    <sheet state="visible" name="30" sheetId="31" r:id="rId35"/>
    <sheet state="visible" name="31" sheetId="32" r:id="rId36"/>
  </sheets>
  <definedNames/>
  <calcPr/>
</workbook>
</file>

<file path=xl/sharedStrings.xml><?xml version="1.0" encoding="utf-8"?>
<sst xmlns="http://schemas.openxmlformats.org/spreadsheetml/2006/main" count="5027" uniqueCount="122">
  <si>
    <t>NO</t>
  </si>
  <si>
    <t>Kode Rute</t>
  </si>
  <si>
    <t>No Body</t>
  </si>
  <si>
    <t>TANJUNG PRIOK - RUSUN MARUNDA</t>
  </si>
  <si>
    <t>RUSUN MARUNDA - TANJUNG PRIOK</t>
  </si>
  <si>
    <t>TANJUNG PRIUK - LESTARI - TANJUNG PRIUK</t>
  </si>
  <si>
    <t>TRIP PENGALIHAN</t>
  </si>
  <si>
    <t>TOA SHIFT 1</t>
  </si>
  <si>
    <t>MANUAL SHIFT 1</t>
  </si>
  <si>
    <t>TOA SHIFT 2</t>
  </si>
  <si>
    <t>MANUAL SHIFT 2</t>
  </si>
  <si>
    <t>TOTAL TOA</t>
  </si>
  <si>
    <t>TOTAL MANUAL</t>
  </si>
  <si>
    <t>TOTAL PELANGGAN</t>
  </si>
  <si>
    <t>KETERANGAN</t>
  </si>
  <si>
    <t>KM 1</t>
  </si>
  <si>
    <t>KM 2</t>
  </si>
  <si>
    <t>KM 3</t>
  </si>
  <si>
    <t>TOTAL KM</t>
  </si>
  <si>
    <t>Kilometer Awal Shift 1</t>
  </si>
  <si>
    <t>Kilometer Akhir Shift 1</t>
  </si>
  <si>
    <t>Kilometer Awal Shift 2</t>
  </si>
  <si>
    <t>Kilometer Akhir Shift 2</t>
  </si>
  <si>
    <t>Total Kilometer Shift 1</t>
  </si>
  <si>
    <t>Total Kilometer Shift 2</t>
  </si>
  <si>
    <t>JAK.15</t>
  </si>
  <si>
    <t>KWK 084</t>
  </si>
  <si>
    <t>KWK 085</t>
  </si>
  <si>
    <t>KWK 086</t>
  </si>
  <si>
    <t>KWK 087</t>
  </si>
  <si>
    <t>KWK 088</t>
  </si>
  <si>
    <t>KWK 089</t>
  </si>
  <si>
    <t>KWK 090</t>
  </si>
  <si>
    <t>KWK 091</t>
  </si>
  <si>
    <t>KWK 092</t>
  </si>
  <si>
    <t>KWK 093</t>
  </si>
  <si>
    <t>KWK 094</t>
  </si>
  <si>
    <t>KWK 095</t>
  </si>
  <si>
    <t>KWK 096</t>
  </si>
  <si>
    <t>KWK 097</t>
  </si>
  <si>
    <t>KWK 098</t>
  </si>
  <si>
    <t>KWK 099</t>
  </si>
  <si>
    <t>KWK 100</t>
  </si>
  <si>
    <t>KWK 101</t>
  </si>
  <si>
    <t>KWK 102</t>
  </si>
  <si>
    <t>KWK 103</t>
  </si>
  <si>
    <t>KWK 104</t>
  </si>
  <si>
    <t>KWK 105</t>
  </si>
  <si>
    <t>KWK 106</t>
  </si>
  <si>
    <t>KWK 107</t>
  </si>
  <si>
    <t>KWK 108</t>
  </si>
  <si>
    <t>KWK 109</t>
  </si>
  <si>
    <t>KWK 110</t>
  </si>
  <si>
    <t>KWK 111</t>
  </si>
  <si>
    <t>KWK 112</t>
  </si>
  <si>
    <t>KWK 113</t>
  </si>
  <si>
    <t>KWK 114</t>
  </si>
  <si>
    <t>KWK 204</t>
  </si>
  <si>
    <t>KWK 205</t>
  </si>
  <si>
    <t>KWK 206</t>
  </si>
  <si>
    <t>KWK 207</t>
  </si>
  <si>
    <t>KWK 208</t>
  </si>
  <si>
    <t>KWK 209</t>
  </si>
  <si>
    <t>KWK 235</t>
  </si>
  <si>
    <t>KWK 236</t>
  </si>
  <si>
    <t>KWK 237</t>
  </si>
  <si>
    <t>KWK 238</t>
  </si>
  <si>
    <t>KWK 239</t>
  </si>
  <si>
    <t>KWK 240</t>
  </si>
  <si>
    <t>KWK 241</t>
  </si>
  <si>
    <t>KWK 242</t>
  </si>
  <si>
    <t>KWK 243</t>
  </si>
  <si>
    <t>KWK 244</t>
  </si>
  <si>
    <t>KWK 245</t>
  </si>
  <si>
    <t>KWK 622</t>
  </si>
  <si>
    <t>KWK 624</t>
  </si>
  <si>
    <t>KWK 625</t>
  </si>
  <si>
    <t>KWK 627</t>
  </si>
  <si>
    <t>KWK 628</t>
  </si>
  <si>
    <t>KWK 631</t>
  </si>
  <si>
    <t>KWK 632</t>
  </si>
  <si>
    <t>KWK 1677</t>
  </si>
  <si>
    <t>KWK 1678</t>
  </si>
  <si>
    <t>KWK 1679</t>
  </si>
  <si>
    <t>KWK 1680</t>
  </si>
  <si>
    <t>KWK 1746</t>
  </si>
  <si>
    <t>Total Pelanggan</t>
  </si>
  <si>
    <t>Total KM</t>
  </si>
  <si>
    <t>Total Pelanggan/KM</t>
  </si>
  <si>
    <t>KM/BUS</t>
  </si>
  <si>
    <t>TOTAL TOA SHIFT 1</t>
  </si>
  <si>
    <t>TOTAL MANUAL SHIFT 1</t>
  </si>
  <si>
    <t>TOTAL SHIFT 1</t>
  </si>
  <si>
    <t>TOTAL TOA SHIFT 2</t>
  </si>
  <si>
    <t>TOTAL MANUAL SHIFT 2</t>
  </si>
  <si>
    <t>TOTAL SHIFT 2</t>
  </si>
  <si>
    <t>uji fisik ke depo Cawang /</t>
  </si>
  <si>
    <t>BA02 PRAMUDI SAKIT PINGGANG</t>
  </si>
  <si>
    <t>NP.1 &amp; 2</t>
  </si>
  <si>
    <t>BA02 NP 2</t>
  </si>
  <si>
    <t>BA02 NP2</t>
  </si>
  <si>
    <t>program keur / RENOPS</t>
  </si>
  <si>
    <t>ba02 pramudi sakit kepala / OKB</t>
  </si>
  <si>
    <t>NP 1&amp;2</t>
  </si>
  <si>
    <t>BA 02 NP 2</t>
  </si>
  <si>
    <t>NP 1/RENOPS</t>
  </si>
  <si>
    <t>NP</t>
  </si>
  <si>
    <t xml:space="preserve">NP / RENOPS </t>
  </si>
  <si>
    <t>BA02-PRAMUDI SAKIT / OKB</t>
  </si>
  <si>
    <t>NP / RENOPS</t>
  </si>
  <si>
    <t>BA02-NP 2</t>
  </si>
  <si>
    <t>BA02 NP</t>
  </si>
  <si>
    <t>LIBUR</t>
  </si>
  <si>
    <t>BA02 URUSAN KELUARGA / NP 2</t>
  </si>
  <si>
    <t>NP1/RENOPS</t>
  </si>
  <si>
    <t>467613</t>
  </si>
  <si>
    <t>BA02 KAMPAS KOPLING RUSAK</t>
  </si>
  <si>
    <t xml:space="preserve">Ba02 NP 2 </t>
  </si>
  <si>
    <t xml:space="preserve">NP 1 /Renop </t>
  </si>
  <si>
    <t>NP 1 &amp;2</t>
  </si>
  <si>
    <t xml:space="preserve">NP </t>
  </si>
  <si>
    <t>BA02-NP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</si>
</sst>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sz val="9.0"/>
      <color theme="1"/>
      <name val="Calibri"/>
    </font>
    <font>
      <b/>
      <color theme="1"/>
      <name val="Calibri"/>
    </font>
    <font>
      <b/>
      <sz val="12.0"/>
      <color theme="1"/>
      <name val="Calibri"/>
    </font>
    <font>
      <b/>
      <sz val="11.0"/>
      <color theme="1"/>
      <name val="Arial"/>
    </font>
    <font>
      <b/>
      <color theme="1"/>
      <name val="Arial"/>
    </font>
    <font>
      <b/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b/>
      <sz val="9.0"/>
      <color theme="1"/>
      <name val="Calibri"/>
      <scheme val="minor"/>
    </font>
    <font>
      <b/>
      <sz val="10.0"/>
      <color theme="1"/>
      <name val="Calibri"/>
      <scheme val="minor"/>
    </font>
    <font>
      <b/>
      <sz val="10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  <fill>
      <patternFill patternType="solid">
        <fgColor rgb="FFF2DBDB"/>
        <bgColor rgb="FFF2DBDB"/>
      </patternFill>
    </fill>
    <fill>
      <patternFill patternType="solid">
        <fgColor rgb="FFDAEEF3"/>
        <bgColor rgb="FFDAEEF3"/>
      </patternFill>
    </fill>
    <fill>
      <patternFill patternType="solid">
        <fgColor rgb="FFD6E3BC"/>
        <bgColor rgb="FFD6E3BC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2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2" fillId="3" fontId="2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1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1" numFmtId="1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1" xfId="0" applyAlignment="1" applyBorder="1" applyFont="1" applyNumberForma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7" fillId="3" fontId="2" numFmtId="0" xfId="0" applyAlignment="1" applyBorder="1" applyFont="1">
      <alignment horizontal="center" shrinkToFit="0" vertical="center" wrapText="1"/>
    </xf>
    <xf borderId="8" fillId="3" fontId="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1" fillId="9" fontId="1" numFmtId="0" xfId="0" applyAlignment="1" applyBorder="1" applyFill="1" applyFont="1">
      <alignment horizontal="center" shrinkToFit="0" vertical="center" wrapText="1"/>
    </xf>
    <xf borderId="1" fillId="9" fontId="5" numFmtId="0" xfId="0" applyAlignment="1" applyBorder="1" applyFont="1">
      <alignment horizontal="center" shrinkToFit="0" vertical="center" wrapText="1"/>
    </xf>
    <xf borderId="1" fillId="9" fontId="5" numFmtId="0" xfId="0" applyAlignment="1" applyBorder="1" applyFont="1">
      <alignment horizontal="center" readingOrder="0" shrinkToFit="0" vertical="center" wrapText="1"/>
    </xf>
    <xf borderId="1" fillId="9" fontId="5" numFmtId="0" xfId="0" applyAlignment="1" applyBorder="1" applyFont="1">
      <alignment horizontal="center" vertical="center"/>
    </xf>
    <xf borderId="9" fillId="9" fontId="5" numFmtId="0" xfId="0" applyAlignment="1" applyBorder="1" applyFont="1">
      <alignment horizontal="center" readingOrder="0" shrinkToFit="0" vertical="center" wrapText="1"/>
    </xf>
    <xf borderId="1" fillId="9" fontId="5" numFmtId="0" xfId="0" applyAlignment="1" applyBorder="1" applyFont="1">
      <alignment horizontal="center" shrinkToFit="0" vertical="center" wrapText="1"/>
    </xf>
    <xf borderId="1" fillId="9" fontId="6" numFmtId="0" xfId="0" applyAlignment="1" applyBorder="1" applyFont="1">
      <alignment horizontal="center" shrinkToFit="0" vertical="center" wrapText="1"/>
    </xf>
    <xf borderId="1" fillId="9" fontId="3" numFmtId="0" xfId="0" applyAlignment="1" applyBorder="1" applyFont="1">
      <alignment horizontal="center" vertical="center"/>
    </xf>
    <xf borderId="4" fillId="9" fontId="1" numFmtId="1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vertical="center"/>
    </xf>
    <xf borderId="9" fillId="4" fontId="5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readingOrder="0" vertical="center"/>
    </xf>
    <xf borderId="4" fillId="4" fontId="1" numFmtId="1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vertical="center"/>
    </xf>
    <xf borderId="1" fillId="10" fontId="1" numFmtId="0" xfId="0" applyAlignment="1" applyBorder="1" applyFill="1" applyFont="1">
      <alignment horizontal="center" shrinkToFit="0" vertical="center" wrapText="1"/>
    </xf>
    <xf borderId="1" fillId="10" fontId="5" numFmtId="0" xfId="0" applyAlignment="1" applyBorder="1" applyFont="1">
      <alignment horizontal="center" shrinkToFit="0" vertical="center" wrapText="1"/>
    </xf>
    <xf borderId="1" fillId="10" fontId="5" numFmtId="0" xfId="0" applyAlignment="1" applyBorder="1" applyFont="1">
      <alignment horizontal="center" readingOrder="0" shrinkToFit="0" vertical="center" wrapText="1"/>
    </xf>
    <xf borderId="1" fillId="10" fontId="5" numFmtId="0" xfId="0" applyAlignment="1" applyBorder="1" applyFont="1">
      <alignment horizontal="center" vertical="center"/>
    </xf>
    <xf borderId="1" fillId="10" fontId="5" numFmtId="0" xfId="0" applyAlignment="1" applyBorder="1" applyFont="1">
      <alignment horizontal="center" readingOrder="0" vertical="center"/>
    </xf>
    <xf borderId="9" fillId="10" fontId="5" numFmtId="0" xfId="0" applyAlignment="1" applyBorder="1" applyFont="1">
      <alignment horizontal="center" readingOrder="0" shrinkToFit="0" vertical="center" wrapText="1"/>
    </xf>
    <xf borderId="1" fillId="10" fontId="5" numFmtId="0" xfId="0" applyAlignment="1" applyBorder="1" applyFont="1">
      <alignment horizontal="center" shrinkToFit="0" vertical="center" wrapText="1"/>
    </xf>
    <xf borderId="1" fillId="10" fontId="6" numFmtId="0" xfId="0" applyAlignment="1" applyBorder="1" applyFont="1">
      <alignment horizontal="center" shrinkToFit="0" vertical="center" wrapText="1"/>
    </xf>
    <xf borderId="1" fillId="10" fontId="3" numFmtId="0" xfId="0" applyAlignment="1" applyBorder="1" applyFont="1">
      <alignment horizontal="center" vertical="center"/>
    </xf>
    <xf borderId="4" fillId="10" fontId="1" numFmtId="1" xfId="0" applyAlignment="1" applyBorder="1" applyFont="1" applyNumberFormat="1">
      <alignment horizontal="center" shrinkToFit="0" vertical="center" wrapText="1"/>
    </xf>
    <xf borderId="1" fillId="10" fontId="1" numFmtId="0" xfId="0" applyAlignment="1" applyBorder="1" applyFont="1">
      <alignment horizontal="center" readingOrder="0" shrinkToFit="0" vertical="center" wrapText="1"/>
    </xf>
    <xf borderId="1" fillId="10" fontId="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3" fontId="2" numFmtId="0" xfId="0" applyAlignment="1" applyBorder="1" applyFont="1">
      <alignment horizontal="center" shrinkToFit="0" wrapText="1"/>
    </xf>
    <xf borderId="2" fillId="3" fontId="2" numFmtId="0" xfId="0" applyAlignment="1" applyBorder="1" applyFont="1">
      <alignment horizontal="center" shrinkToFit="0" wrapText="1"/>
    </xf>
    <xf borderId="2" fillId="3" fontId="2" numFmtId="1" xfId="0" applyAlignment="1" applyBorder="1" applyFont="1" applyNumberFormat="1">
      <alignment horizontal="center" shrinkToFit="0" wrapText="1"/>
    </xf>
    <xf borderId="0" fillId="0" fontId="8" numFmtId="0" xfId="0" applyAlignment="1" applyFont="1">
      <alignment shrinkToFit="0" wrapText="1"/>
    </xf>
    <xf borderId="1" fillId="9" fontId="8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bottom" wrapText="1"/>
    </xf>
    <xf borderId="1" fillId="9" fontId="9" numFmtId="0" xfId="0" applyAlignment="1" applyBorder="1" applyFont="1">
      <alignment vertical="bottom"/>
    </xf>
    <xf borderId="3" fillId="9" fontId="8" numFmtId="0" xfId="0" applyBorder="1" applyFont="1"/>
    <xf borderId="4" fillId="9" fontId="8" numFmtId="0" xfId="0" applyBorder="1" applyFont="1"/>
    <xf borderId="4" fillId="9" fontId="1" numFmtId="0" xfId="0" applyAlignment="1" applyBorder="1" applyFont="1">
      <alignment horizontal="center"/>
    </xf>
    <xf borderId="4" fillId="9" fontId="1" numFmtId="1" xfId="0" applyAlignment="1" applyBorder="1" applyFont="1" applyNumberFormat="1">
      <alignment horizontal="center" shrinkToFit="0" wrapText="1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vertical="bottom"/>
    </xf>
    <xf borderId="1" fillId="0" fontId="9" numFmtId="0" xfId="0" applyAlignment="1" applyBorder="1" applyFont="1">
      <alignment readingOrder="0" vertical="bottom"/>
    </xf>
    <xf borderId="3" fillId="0" fontId="8" numFmtId="0" xfId="0" applyAlignment="1" applyBorder="1" applyFont="1">
      <alignment readingOrder="0"/>
    </xf>
    <xf borderId="4" fillId="0" fontId="8" numFmtId="0" xfId="0" applyBorder="1" applyFont="1"/>
    <xf borderId="4" fillId="0" fontId="1" numFmtId="1" xfId="0" applyAlignment="1" applyBorder="1" applyFont="1" applyNumberFormat="1">
      <alignment horizontal="center" shrinkToFit="0" wrapText="1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1" fillId="9" fontId="8" numFmtId="0" xfId="0" applyAlignment="1" applyBorder="1" applyFont="1">
      <alignment horizontal="center" readingOrder="0" shrinkToFit="0" vertical="center" wrapText="1"/>
    </xf>
    <xf borderId="3" fillId="9" fontId="1" numFmtId="0" xfId="0" applyAlignment="1" applyBorder="1" applyFont="1">
      <alignment horizontal="center" readingOrder="0"/>
    </xf>
    <xf borderId="3" fillId="9" fontId="1" numFmtId="0" xfId="0" applyAlignment="1" applyBorder="1" applyFont="1">
      <alignment horizontal="center"/>
    </xf>
    <xf borderId="1" fillId="11" fontId="1" numFmtId="0" xfId="0" applyAlignment="1" applyBorder="1" applyFill="1" applyFont="1">
      <alignment horizontal="center" shrinkToFit="0" vertical="center" wrapText="1"/>
    </xf>
    <xf borderId="1" fillId="11" fontId="5" numFmtId="0" xfId="0" applyAlignment="1" applyBorder="1" applyFont="1">
      <alignment horizontal="center" shrinkToFit="0" vertical="center" wrapText="1"/>
    </xf>
    <xf borderId="1" fillId="11" fontId="5" numFmtId="0" xfId="0" applyAlignment="1" applyBorder="1" applyFont="1">
      <alignment horizontal="center" readingOrder="0" shrinkToFit="0" vertical="center" wrapText="1"/>
    </xf>
    <xf borderId="1" fillId="11" fontId="8" numFmtId="0" xfId="0" applyAlignment="1" applyBorder="1" applyFont="1">
      <alignment horizontal="center" shrinkToFit="0" vertical="center" wrapText="1"/>
    </xf>
    <xf borderId="1" fillId="11" fontId="8" numFmtId="0" xfId="0" applyAlignment="1" applyBorder="1" applyFont="1">
      <alignment horizontal="center" readingOrder="0" shrinkToFit="0" vertical="center" wrapText="1"/>
    </xf>
    <xf borderId="1" fillId="11" fontId="1" numFmtId="0" xfId="0" applyAlignment="1" applyBorder="1" applyFont="1">
      <alignment horizontal="center" shrinkToFit="0" vertical="bottom" wrapText="1"/>
    </xf>
    <xf borderId="1" fillId="11" fontId="9" numFmtId="0" xfId="0" applyAlignment="1" applyBorder="1" applyFont="1">
      <alignment vertical="bottom"/>
    </xf>
    <xf borderId="3" fillId="11" fontId="1" numFmtId="0" xfId="0" applyAlignment="1" applyBorder="1" applyFont="1">
      <alignment horizontal="center" readingOrder="0"/>
    </xf>
    <xf borderId="3" fillId="11" fontId="1" numFmtId="0" xfId="0" applyAlignment="1" applyBorder="1" applyFont="1">
      <alignment horizontal="center"/>
    </xf>
    <xf borderId="4" fillId="11" fontId="1" numFmtId="0" xfId="0" applyAlignment="1" applyBorder="1" applyFont="1">
      <alignment horizontal="center"/>
    </xf>
    <xf borderId="4" fillId="11" fontId="1" numFmtId="1" xfId="0" applyAlignment="1" applyBorder="1" applyFont="1" applyNumberFormat="1">
      <alignment horizontal="center" shrinkToFit="0" wrapText="1"/>
    </xf>
    <xf borderId="3" fillId="0" fontId="8" numFmtId="0" xfId="0" applyBorder="1" applyFont="1"/>
    <xf borderId="1" fillId="11" fontId="9" numFmtId="0" xfId="0" applyAlignment="1" applyBorder="1" applyFont="1">
      <alignment readingOrder="0" vertical="bottom"/>
    </xf>
    <xf borderId="3" fillId="11" fontId="8" numFmtId="0" xfId="0" applyBorder="1" applyFont="1"/>
    <xf borderId="4" fillId="11" fontId="8" numFmtId="0" xfId="0" applyBorder="1" applyFont="1"/>
    <xf borderId="5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6" fillId="0" fontId="1" numFmtId="1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1" xfId="0" applyAlignment="1" applyBorder="1" applyFont="1" applyNumberFormat="1">
      <alignment horizontal="center" shrinkToFit="0" wrapText="1"/>
    </xf>
    <xf borderId="0" fillId="0" fontId="8" numFmtId="0" xfId="0" applyAlignment="1" applyFont="1">
      <alignment horizontal="center"/>
    </xf>
    <xf borderId="1" fillId="4" fontId="4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1" fillId="5" fontId="1" numFmtId="0" xfId="0" applyAlignment="1" applyBorder="1" applyFont="1">
      <alignment shrinkToFit="0" vertical="center" wrapText="1"/>
    </xf>
    <xf borderId="1" fillId="6" fontId="4" numFmtId="0" xfId="0" applyAlignment="1" applyBorder="1" applyFont="1">
      <alignment shrinkToFit="0" vertical="center" wrapText="1"/>
    </xf>
    <xf borderId="1" fillId="6" fontId="1" numFmtId="0" xfId="0" applyAlignment="1" applyBorder="1" applyFont="1">
      <alignment shrinkToFit="0" vertical="center" wrapText="1"/>
    </xf>
    <xf borderId="1" fillId="7" fontId="4" numFmtId="0" xfId="0" applyAlignment="1" applyBorder="1" applyFont="1">
      <alignment shrinkToFit="0" vertical="center" wrapText="1"/>
    </xf>
    <xf borderId="1" fillId="7" fontId="1" numFmtId="0" xfId="0" applyAlignment="1" applyBorder="1" applyFont="1">
      <alignment shrinkToFit="0" vertical="center" wrapText="1"/>
    </xf>
    <xf borderId="1" fillId="8" fontId="4" numFmtId="0" xfId="0" applyAlignment="1" applyBorder="1" applyFont="1">
      <alignment shrinkToFit="0" vertical="center" wrapText="1"/>
    </xf>
    <xf borderId="1" fillId="8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1" fillId="9" fontId="1" numFmtId="0" xfId="0" applyAlignment="1" applyBorder="1" applyFont="1">
      <alignment horizontal="center" readingOrder="0" shrinkToFit="0" vertical="center" wrapText="1"/>
    </xf>
    <xf borderId="3" fillId="9" fontId="1" numFmtId="0" xfId="0" applyAlignment="1" applyBorder="1" applyFont="1">
      <alignment horizontal="center" vertical="center"/>
    </xf>
    <xf borderId="4" fillId="9" fontId="1" numFmtId="0" xfId="0" applyAlignment="1" applyBorder="1" applyFont="1">
      <alignment horizontal="center" vertical="center"/>
    </xf>
    <xf borderId="1" fillId="12" fontId="5" numFmtId="0" xfId="0" applyAlignment="1" applyBorder="1" applyFill="1" applyFont="1">
      <alignment horizontal="center" shrinkToFit="0" vertical="center" wrapText="1"/>
    </xf>
    <xf borderId="1" fillId="12" fontId="5" numFmtId="0" xfId="0" applyAlignment="1" applyBorder="1" applyFont="1">
      <alignment horizontal="center" readingOrder="0" shrinkToFit="0" vertical="center" wrapText="1"/>
    </xf>
    <xf borderId="1" fillId="12" fontId="1" numFmtId="0" xfId="0" applyAlignment="1" applyBorder="1" applyFont="1">
      <alignment horizontal="center" shrinkToFit="0" vertical="center" wrapText="1"/>
    </xf>
    <xf borderId="1" fillId="12" fontId="5" numFmtId="0" xfId="0" applyAlignment="1" applyBorder="1" applyFont="1">
      <alignment horizontal="center" vertical="center"/>
    </xf>
    <xf borderId="3" fillId="12" fontId="1" numFmtId="0" xfId="0" applyAlignment="1" applyBorder="1" applyFont="1">
      <alignment horizontal="center" vertical="center"/>
    </xf>
    <xf borderId="4" fillId="12" fontId="1" numFmtId="0" xfId="0" applyAlignment="1" applyBorder="1" applyFont="1">
      <alignment horizontal="center" vertical="center"/>
    </xf>
    <xf borderId="4" fillId="12" fontId="1" numFmtId="1" xfId="0" applyAlignment="1" applyBorder="1" applyFont="1" applyNumberFormat="1">
      <alignment horizontal="center" shrinkToFit="0" vertical="center" wrapText="1"/>
    </xf>
    <xf borderId="3" fillId="10" fontId="1" numFmtId="0" xfId="0" applyAlignment="1" applyBorder="1" applyFont="1">
      <alignment horizontal="center" vertical="center"/>
    </xf>
    <xf borderId="4" fillId="1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2" fillId="3" fontId="10" numFmtId="0" xfId="0" applyAlignment="1" applyBorder="1" applyFont="1">
      <alignment horizontal="center" shrinkToFit="0" vertical="center" wrapText="1"/>
    </xf>
    <xf borderId="2" fillId="3" fontId="10" numFmtId="1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7" numFmtId="1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1" fillId="10" fontId="7" numFmtId="0" xfId="0" applyAlignment="1" applyBorder="1" applyFont="1">
      <alignment horizontal="center" shrinkToFit="0" vertical="center" wrapText="1"/>
    </xf>
    <xf borderId="1" fillId="10" fontId="7" numFmtId="0" xfId="0" applyAlignment="1" applyBorder="1" applyFont="1">
      <alignment horizontal="center" readingOrder="0" shrinkToFit="0" vertical="center" wrapText="1"/>
    </xf>
    <xf borderId="1" fillId="10" fontId="7" numFmtId="0" xfId="0" applyAlignment="1" applyBorder="1" applyFont="1">
      <alignment horizontal="center" vertical="center"/>
    </xf>
    <xf borderId="1" fillId="10" fontId="7" numFmtId="0" xfId="0" applyAlignment="1" applyBorder="1" applyFont="1">
      <alignment horizontal="center" readingOrder="0" vertical="center"/>
    </xf>
    <xf borderId="1" fillId="10" fontId="11" numFmtId="0" xfId="0" applyAlignment="1" applyBorder="1" applyFont="1">
      <alignment horizontal="center" readingOrder="0" shrinkToFit="0" vertical="center" wrapText="1"/>
    </xf>
    <xf borderId="3" fillId="10" fontId="7" numFmtId="0" xfId="0" applyAlignment="1" applyBorder="1" applyFont="1">
      <alignment horizontal="center" readingOrder="0" vertical="center"/>
    </xf>
    <xf borderId="4" fillId="10" fontId="7" numFmtId="0" xfId="0" applyAlignment="1" applyBorder="1" applyFont="1">
      <alignment horizontal="center" readingOrder="0" vertical="center"/>
    </xf>
    <xf borderId="4" fillId="10" fontId="7" numFmtId="1" xfId="0" applyAlignment="1" applyBorder="1" applyFont="1" applyNumberFormat="1">
      <alignment horizontal="center" shrinkToFit="0" vertical="center" wrapText="1"/>
    </xf>
    <xf borderId="3" fillId="10" fontId="7" numFmtId="0" xfId="0" applyAlignment="1" applyBorder="1" applyFont="1">
      <alignment horizontal="center" vertical="center"/>
    </xf>
    <xf borderId="4" fillId="10" fontId="7" numFmtId="0" xfId="0" applyAlignment="1" applyBorder="1" applyFont="1">
      <alignment horizontal="center" vertical="center"/>
    </xf>
    <xf borderId="4" fillId="0" fontId="7" numFmtId="1" xfId="0" applyAlignment="1" applyBorder="1" applyFont="1" applyNumberFormat="1">
      <alignment horizontal="center" readingOrder="0" shrinkToFit="0" vertical="center" wrapText="1"/>
    </xf>
    <xf borderId="1" fillId="9" fontId="7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horizontal="center" readingOrder="0" shrinkToFit="0" wrapText="1"/>
    </xf>
    <xf borderId="2" fillId="9" fontId="1" numFmtId="0" xfId="0" applyAlignment="1" applyBorder="1" applyFont="1">
      <alignment horizontal="center" readingOrder="0" shrinkToFit="0" wrapText="1"/>
    </xf>
    <xf borderId="1" fillId="9" fontId="7" numFmtId="0" xfId="0" applyAlignment="1" applyBorder="1" applyFont="1">
      <alignment horizontal="center" readingOrder="0" shrinkToFit="0" vertical="center" wrapText="1"/>
    </xf>
    <xf borderId="1" fillId="9" fontId="7" numFmtId="0" xfId="0" applyAlignment="1" applyBorder="1" applyFont="1">
      <alignment horizontal="center" vertical="center"/>
    </xf>
    <xf borderId="1" fillId="9" fontId="11" numFmtId="0" xfId="0" applyAlignment="1" applyBorder="1" applyFont="1">
      <alignment horizontal="center" readingOrder="0" shrinkToFit="0" vertical="center" wrapText="1"/>
    </xf>
    <xf borderId="3" fillId="9" fontId="7" numFmtId="0" xfId="0" applyAlignment="1" applyBorder="1" applyFont="1">
      <alignment horizontal="center" readingOrder="0" vertical="center"/>
    </xf>
    <xf borderId="3" fillId="9" fontId="7" numFmtId="0" xfId="0" applyAlignment="1" applyBorder="1" applyFont="1">
      <alignment horizontal="center" vertical="center"/>
    </xf>
    <xf borderId="4" fillId="9" fontId="7" numFmtId="0" xfId="0" applyAlignment="1" applyBorder="1" applyFont="1">
      <alignment horizontal="center" vertical="center"/>
    </xf>
    <xf borderId="4" fillId="9" fontId="7" numFmtId="1" xfId="0" applyAlignment="1" applyBorder="1" applyFont="1" applyNumberFormat="1">
      <alignment horizontal="center" shrinkToFit="0" vertical="center" wrapText="1"/>
    </xf>
    <xf borderId="1" fillId="12" fontId="7" numFmtId="0" xfId="0" applyAlignment="1" applyBorder="1" applyFont="1">
      <alignment horizontal="center" shrinkToFit="0" vertical="center" wrapText="1"/>
    </xf>
    <xf borderId="1" fillId="12" fontId="7" numFmtId="0" xfId="0" applyAlignment="1" applyBorder="1" applyFont="1">
      <alignment horizontal="center" vertical="center"/>
    </xf>
    <xf borderId="1" fillId="12" fontId="11" numFmtId="0" xfId="0" applyAlignment="1" applyBorder="1" applyFont="1">
      <alignment horizontal="center" readingOrder="0" shrinkToFit="0" vertical="center" wrapText="1"/>
    </xf>
    <xf borderId="3" fillId="12" fontId="7" numFmtId="0" xfId="0" applyAlignment="1" applyBorder="1" applyFont="1">
      <alignment horizontal="center" vertical="center"/>
    </xf>
    <xf borderId="4" fillId="12" fontId="7" numFmtId="0" xfId="0" applyAlignment="1" applyBorder="1" applyFont="1">
      <alignment horizontal="center" vertical="center"/>
    </xf>
    <xf borderId="4" fillId="12" fontId="7" numFmtId="1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wrapText="1"/>
    </xf>
    <xf borderId="1" fillId="12" fontId="11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0" fontId="7" numFmtId="1" xfId="0" applyAlignment="1" applyBorder="1" applyFont="1" applyNumberFormat="1">
      <alignment horizontal="center" shrinkToFit="0" vertical="center" wrapText="1"/>
    </xf>
    <xf borderId="1" fillId="0" fontId="7" numFmtId="1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1" fillId="4" fontId="10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5" fontId="10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6" fontId="10" numFmtId="0" xfId="0" applyAlignment="1" applyBorder="1" applyFont="1">
      <alignment horizontal="center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1" fillId="7" fontId="10" numFmtId="0" xfId="0" applyAlignment="1" applyBorder="1" applyFont="1">
      <alignment horizontal="center" shrinkToFit="0" vertical="center" wrapText="1"/>
    </xf>
    <xf borderId="1" fillId="7" fontId="7" numFmtId="0" xfId="0" applyAlignment="1" applyBorder="1" applyFont="1">
      <alignment horizontal="center" shrinkToFit="0" vertical="center" wrapText="1"/>
    </xf>
    <xf borderId="1" fillId="8" fontId="10" numFmtId="0" xfId="0" applyAlignment="1" applyBorder="1" applyFont="1">
      <alignment horizontal="center" shrinkToFit="0" vertical="center" wrapText="1"/>
    </xf>
    <xf borderId="1" fillId="8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vertical="center"/>
    </xf>
    <xf borderId="1" fillId="4" fontId="11" numFmtId="0" xfId="0" applyAlignment="1" applyBorder="1" applyFont="1">
      <alignment horizontal="center" readingOrder="0" shrinkToFit="0" vertical="center" wrapText="1"/>
    </xf>
    <xf borderId="3" fillId="4" fontId="7" numFmtId="0" xfId="0" applyAlignment="1" applyBorder="1" applyFont="1">
      <alignment horizontal="center" readingOrder="0" vertical="center"/>
    </xf>
    <xf borderId="3" fillId="4" fontId="7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center" vertical="center"/>
    </xf>
    <xf borderId="4" fillId="4" fontId="7" numFmtId="1" xfId="0" applyAlignment="1" applyBorder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10" fontId="8" numFmtId="0" xfId="0" applyAlignment="1" applyBorder="1" applyFont="1">
      <alignment horizontal="center" shrinkToFit="0" vertical="center" wrapText="1"/>
    </xf>
    <xf borderId="1" fillId="10" fontId="8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ont="1">
      <alignment horizontal="center" shrinkToFit="0" vertical="bottom" wrapText="1"/>
    </xf>
    <xf borderId="1" fillId="10" fontId="9" numFmtId="0" xfId="0" applyAlignment="1" applyBorder="1" applyFont="1">
      <alignment vertical="bottom"/>
    </xf>
    <xf borderId="1" fillId="10" fontId="9" numFmtId="0" xfId="0" applyAlignment="1" applyBorder="1" applyFont="1">
      <alignment readingOrder="0" vertical="bottom"/>
    </xf>
    <xf borderId="3" fillId="10" fontId="8" numFmtId="0" xfId="0" applyAlignment="1" applyBorder="1" applyFont="1">
      <alignment readingOrder="0"/>
    </xf>
    <xf borderId="4" fillId="10" fontId="8" numFmtId="0" xfId="0" applyAlignment="1" applyBorder="1" applyFont="1">
      <alignment readingOrder="0"/>
    </xf>
    <xf borderId="4" fillId="10" fontId="1" numFmtId="0" xfId="0" applyAlignment="1" applyBorder="1" applyFont="1">
      <alignment horizontal="center"/>
    </xf>
    <xf borderId="4" fillId="10" fontId="1" numFmtId="1" xfId="0" applyAlignment="1" applyBorder="1" applyFont="1" applyNumberFormat="1">
      <alignment horizontal="center" shrinkToFit="0" wrapText="1"/>
    </xf>
    <xf borderId="4" fillId="0" fontId="8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  <xf borderId="3" fillId="10" fontId="1" numFmtId="0" xfId="0" applyAlignment="1" applyBorder="1" applyFont="1">
      <alignment horizontal="center"/>
    </xf>
    <xf quotePrefix="1" borderId="3" fillId="0" fontId="1" numFmtId="0" xfId="0" applyAlignment="1" applyBorder="1" applyFont="1">
      <alignment horizontal="center" readingOrder="0"/>
    </xf>
    <xf borderId="1" fillId="4" fontId="8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shrinkToFit="0" vertical="bottom" wrapText="1"/>
    </xf>
    <xf borderId="1" fillId="4" fontId="9" numFmtId="0" xfId="0" applyAlignment="1" applyBorder="1" applyFont="1">
      <alignment vertical="bottom"/>
    </xf>
    <xf borderId="3" fillId="4" fontId="1" numFmtId="0" xfId="0" applyAlignment="1" applyBorder="1" applyFont="1">
      <alignment horizontal="center"/>
    </xf>
    <xf borderId="3" fillId="4" fontId="8" numFmtId="0" xfId="0" applyBorder="1" applyFont="1"/>
    <xf borderId="4" fillId="4" fontId="8" numFmtId="0" xfId="0" applyBorder="1" applyFont="1"/>
    <xf borderId="4" fillId="4" fontId="1" numFmtId="1" xfId="0" applyAlignment="1" applyBorder="1" applyFont="1" applyNumberFormat="1">
      <alignment horizontal="center" shrinkToFit="0" wrapText="1"/>
    </xf>
    <xf borderId="1" fillId="9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vertical="center"/>
    </xf>
    <xf borderId="1" fillId="12" fontId="7" numFmtId="0" xfId="0" applyAlignment="1" applyBorder="1" applyFont="1">
      <alignment horizontal="center" readingOrder="0" shrinkToFit="0" vertical="center" wrapText="1"/>
    </xf>
    <xf borderId="1" fillId="12" fontId="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shrinkToFit="0" vertical="bottom" wrapText="1"/>
    </xf>
    <xf borderId="2" fillId="3" fontId="2" numFmtId="0" xfId="0" applyAlignment="1" applyBorder="1" applyFont="1">
      <alignment horizontal="center" shrinkToFit="0" vertical="bottom" wrapText="1"/>
    </xf>
    <xf borderId="2" fillId="3" fontId="2" numFmtId="1" xfId="0" applyAlignment="1" applyBorder="1" applyFont="1" applyNumberFormat="1">
      <alignment horizontal="center" shrinkToFit="0" vertical="bottom" wrapText="1"/>
    </xf>
    <xf borderId="1" fillId="0" fontId="8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4" fillId="0" fontId="8" numFmtId="0" xfId="0" applyAlignment="1" applyBorder="1" applyFont="1">
      <alignment vertical="bottom"/>
    </xf>
    <xf borderId="4" fillId="0" fontId="1" numFmtId="1" xfId="0" applyAlignment="1" applyBorder="1" applyFont="1" applyNumberFormat="1">
      <alignment horizontal="center" shrinkToFit="0" vertical="bottom" wrapText="1"/>
    </xf>
    <xf borderId="5" fillId="0" fontId="8" numFmtId="0" xfId="0" applyAlignment="1" applyBorder="1" applyFont="1">
      <alignment vertical="bottom"/>
    </xf>
    <xf borderId="6" fillId="0" fontId="8" numFmtId="0" xfId="0" applyAlignment="1" applyBorder="1" applyFont="1">
      <alignment vertical="bottom"/>
    </xf>
    <xf borderId="6" fillId="0" fontId="1" numFmtId="1" xfId="0" applyAlignment="1" applyBorder="1" applyFont="1" applyNumberFormat="1">
      <alignment horizontal="center" shrinkToFit="0" vertical="bottom" wrapText="1"/>
    </xf>
    <xf borderId="1" fillId="0" fontId="8" numFmtId="0" xfId="0" applyAlignment="1" applyBorder="1" applyFont="1">
      <alignment vertical="bottom"/>
    </xf>
    <xf borderId="1" fillId="0" fontId="1" numFmtId="1" xfId="0" applyAlignment="1" applyBorder="1" applyFont="1" applyNumberForma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7" width="17.29"/>
    <col customWidth="1" min="8" max="14" width="8.71"/>
    <col customWidth="1" min="15" max="15" width="29.57"/>
    <col customWidth="1" min="16" max="25" width="10.14"/>
    <col customWidth="1" min="26" max="30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/>
      <c r="AA1" s="7"/>
      <c r="AB1" s="7"/>
      <c r="AC1" s="7"/>
      <c r="AD1" s="7"/>
    </row>
    <row r="2" ht="14.25" customHeight="1">
      <c r="A2" s="8">
        <v>1.0</v>
      </c>
      <c r="B2" s="8" t="s">
        <v>25</v>
      </c>
      <c r="C2" s="8" t="s">
        <v>26</v>
      </c>
      <c r="D2" s="8"/>
      <c r="E2" s="8"/>
      <c r="F2" s="8"/>
      <c r="G2" s="8"/>
      <c r="H2" s="8"/>
      <c r="I2" s="8"/>
      <c r="J2" s="8">
        <f t="shared" ref="J2:J61" si="1">max(0,L2-H2)</f>
        <v>0</v>
      </c>
      <c r="K2" s="8"/>
      <c r="L2" s="8"/>
      <c r="M2" s="8">
        <f t="shared" ref="M2:M61" si="2">K2+I2</f>
        <v>0</v>
      </c>
      <c r="N2" s="8">
        <f t="shared" ref="N2:N61" si="3">H2+I2+J2+K2</f>
        <v>0</v>
      </c>
      <c r="O2" s="8"/>
      <c r="P2" s="8">
        <v>16.904</v>
      </c>
      <c r="Q2" s="8">
        <v>12.699</v>
      </c>
      <c r="R2" s="9">
        <v>19.0</v>
      </c>
      <c r="S2" s="8">
        <f t="shared" ref="S2:S61" si="4">(D2*P2)+(E2*Q2)</f>
        <v>0</v>
      </c>
      <c r="T2" s="10"/>
      <c r="U2" s="11"/>
      <c r="V2" s="11"/>
      <c r="W2" s="11"/>
      <c r="X2" s="12">
        <f t="shared" ref="X2:X61" si="5">U2-T2</f>
        <v>0</v>
      </c>
      <c r="Y2" s="12">
        <f t="shared" ref="Y2:Y61" si="6">W2-V2</f>
        <v>0</v>
      </c>
      <c r="Z2" s="13"/>
      <c r="AA2" s="13"/>
      <c r="AB2" s="13"/>
      <c r="AC2" s="13"/>
      <c r="AD2" s="13"/>
    </row>
    <row r="3" ht="14.25" customHeight="1">
      <c r="A3" s="8">
        <v>2.0</v>
      </c>
      <c r="B3" s="8" t="s">
        <v>25</v>
      </c>
      <c r="C3" s="8" t="s">
        <v>27</v>
      </c>
      <c r="D3" s="8"/>
      <c r="E3" s="8"/>
      <c r="F3" s="8"/>
      <c r="G3" s="8"/>
      <c r="H3" s="8"/>
      <c r="I3" s="8"/>
      <c r="J3" s="8">
        <f t="shared" si="1"/>
        <v>0</v>
      </c>
      <c r="K3" s="8"/>
      <c r="L3" s="8"/>
      <c r="M3" s="8">
        <f t="shared" si="2"/>
        <v>0</v>
      </c>
      <c r="N3" s="8">
        <f t="shared" si="3"/>
        <v>0</v>
      </c>
      <c r="O3" s="8"/>
      <c r="P3" s="8">
        <v>16.904</v>
      </c>
      <c r="Q3" s="8">
        <v>12.699</v>
      </c>
      <c r="R3" s="9">
        <v>19.0</v>
      </c>
      <c r="S3" s="8">
        <f t="shared" si="4"/>
        <v>0</v>
      </c>
      <c r="T3" s="10"/>
      <c r="U3" s="11"/>
      <c r="V3" s="11"/>
      <c r="W3" s="11"/>
      <c r="X3" s="12">
        <f t="shared" si="5"/>
        <v>0</v>
      </c>
      <c r="Y3" s="12">
        <f t="shared" si="6"/>
        <v>0</v>
      </c>
      <c r="Z3" s="13"/>
      <c r="AA3" s="13"/>
      <c r="AB3" s="13"/>
      <c r="AC3" s="13"/>
      <c r="AD3" s="13"/>
    </row>
    <row r="4" ht="14.25" customHeight="1">
      <c r="A4" s="8">
        <v>3.0</v>
      </c>
      <c r="B4" s="8" t="s">
        <v>25</v>
      </c>
      <c r="C4" s="8" t="s">
        <v>28</v>
      </c>
      <c r="D4" s="8"/>
      <c r="E4" s="8"/>
      <c r="F4" s="8"/>
      <c r="G4" s="8"/>
      <c r="H4" s="8"/>
      <c r="I4" s="8"/>
      <c r="J4" s="8">
        <f t="shared" si="1"/>
        <v>0</v>
      </c>
      <c r="K4" s="8"/>
      <c r="L4" s="8"/>
      <c r="M4" s="8">
        <f t="shared" si="2"/>
        <v>0</v>
      </c>
      <c r="N4" s="8">
        <f t="shared" si="3"/>
        <v>0</v>
      </c>
      <c r="O4" s="8"/>
      <c r="P4" s="8">
        <v>16.904</v>
      </c>
      <c r="Q4" s="8">
        <v>12.699</v>
      </c>
      <c r="R4" s="9">
        <v>19.0</v>
      </c>
      <c r="S4" s="8">
        <f t="shared" si="4"/>
        <v>0</v>
      </c>
      <c r="T4" s="10"/>
      <c r="U4" s="10"/>
      <c r="V4" s="10"/>
      <c r="W4" s="11"/>
      <c r="X4" s="12">
        <f t="shared" si="5"/>
        <v>0</v>
      </c>
      <c r="Y4" s="12">
        <f t="shared" si="6"/>
        <v>0</v>
      </c>
      <c r="Z4" s="13"/>
      <c r="AA4" s="13"/>
      <c r="AB4" s="13"/>
      <c r="AC4" s="13"/>
      <c r="AD4" s="13"/>
    </row>
    <row r="5" ht="14.25" customHeight="1">
      <c r="A5" s="8">
        <v>4.0</v>
      </c>
      <c r="B5" s="8" t="s">
        <v>25</v>
      </c>
      <c r="C5" s="8" t="s">
        <v>29</v>
      </c>
      <c r="D5" s="8"/>
      <c r="E5" s="8"/>
      <c r="F5" s="8"/>
      <c r="G5" s="8"/>
      <c r="H5" s="8"/>
      <c r="I5" s="8"/>
      <c r="J5" s="8">
        <f t="shared" si="1"/>
        <v>0</v>
      </c>
      <c r="K5" s="8"/>
      <c r="L5" s="8"/>
      <c r="M5" s="8">
        <f t="shared" si="2"/>
        <v>0</v>
      </c>
      <c r="N5" s="8">
        <f t="shared" si="3"/>
        <v>0</v>
      </c>
      <c r="O5" s="8"/>
      <c r="P5" s="8">
        <v>16.904</v>
      </c>
      <c r="Q5" s="8">
        <v>12.699</v>
      </c>
      <c r="R5" s="9">
        <v>19.0</v>
      </c>
      <c r="S5" s="8">
        <f t="shared" si="4"/>
        <v>0</v>
      </c>
      <c r="T5" s="10"/>
      <c r="U5" s="10"/>
      <c r="V5" s="10"/>
      <c r="W5" s="11"/>
      <c r="X5" s="12">
        <f t="shared" si="5"/>
        <v>0</v>
      </c>
      <c r="Y5" s="12">
        <f t="shared" si="6"/>
        <v>0</v>
      </c>
      <c r="Z5" s="13"/>
      <c r="AA5" s="13"/>
      <c r="AB5" s="13"/>
      <c r="AC5" s="13"/>
      <c r="AD5" s="13"/>
    </row>
    <row r="6" ht="14.25" customHeight="1">
      <c r="A6" s="8">
        <v>5.0</v>
      </c>
      <c r="B6" s="8" t="s">
        <v>25</v>
      </c>
      <c r="C6" s="8" t="s">
        <v>30</v>
      </c>
      <c r="D6" s="8"/>
      <c r="E6" s="8"/>
      <c r="F6" s="8"/>
      <c r="G6" s="8"/>
      <c r="H6" s="8"/>
      <c r="I6" s="8"/>
      <c r="J6" s="8">
        <f t="shared" si="1"/>
        <v>0</v>
      </c>
      <c r="K6" s="8"/>
      <c r="L6" s="8"/>
      <c r="M6" s="8">
        <f t="shared" si="2"/>
        <v>0</v>
      </c>
      <c r="N6" s="8">
        <f t="shared" si="3"/>
        <v>0</v>
      </c>
      <c r="O6" s="8"/>
      <c r="P6" s="8">
        <v>16.904</v>
      </c>
      <c r="Q6" s="8">
        <v>12.699</v>
      </c>
      <c r="R6" s="9">
        <v>19.0</v>
      </c>
      <c r="S6" s="8">
        <f t="shared" si="4"/>
        <v>0</v>
      </c>
      <c r="T6" s="10"/>
      <c r="U6" s="10"/>
      <c r="V6" s="10"/>
      <c r="W6" s="11"/>
      <c r="X6" s="12">
        <f t="shared" si="5"/>
        <v>0</v>
      </c>
      <c r="Y6" s="12">
        <f t="shared" si="6"/>
        <v>0</v>
      </c>
      <c r="Z6" s="13"/>
      <c r="AA6" s="13"/>
      <c r="AB6" s="13"/>
      <c r="AC6" s="13"/>
      <c r="AD6" s="13"/>
    </row>
    <row r="7" ht="14.25" customHeight="1">
      <c r="A7" s="8">
        <v>6.0</v>
      </c>
      <c r="B7" s="8" t="s">
        <v>25</v>
      </c>
      <c r="C7" s="8" t="s">
        <v>31</v>
      </c>
      <c r="D7" s="8"/>
      <c r="E7" s="8"/>
      <c r="F7" s="8"/>
      <c r="G7" s="8"/>
      <c r="H7" s="8"/>
      <c r="I7" s="8"/>
      <c r="J7" s="8">
        <f t="shared" si="1"/>
        <v>0</v>
      </c>
      <c r="K7" s="8"/>
      <c r="L7" s="8"/>
      <c r="M7" s="8">
        <f t="shared" si="2"/>
        <v>0</v>
      </c>
      <c r="N7" s="8">
        <f t="shared" si="3"/>
        <v>0</v>
      </c>
      <c r="O7" s="8"/>
      <c r="P7" s="8">
        <v>16.904</v>
      </c>
      <c r="Q7" s="8">
        <v>12.699</v>
      </c>
      <c r="R7" s="9">
        <v>19.0</v>
      </c>
      <c r="S7" s="8">
        <f t="shared" si="4"/>
        <v>0</v>
      </c>
      <c r="T7" s="10"/>
      <c r="U7" s="10"/>
      <c r="V7" s="10"/>
      <c r="W7" s="11"/>
      <c r="X7" s="12">
        <f t="shared" si="5"/>
        <v>0</v>
      </c>
      <c r="Y7" s="12">
        <f t="shared" si="6"/>
        <v>0</v>
      </c>
      <c r="Z7" s="13"/>
      <c r="AA7" s="13"/>
      <c r="AB7" s="13"/>
      <c r="AC7" s="13"/>
      <c r="AD7" s="13"/>
    </row>
    <row r="8" ht="14.25" customHeight="1">
      <c r="A8" s="8">
        <v>7.0</v>
      </c>
      <c r="B8" s="8" t="s">
        <v>25</v>
      </c>
      <c r="C8" s="8" t="s">
        <v>32</v>
      </c>
      <c r="D8" s="8"/>
      <c r="E8" s="8"/>
      <c r="F8" s="8"/>
      <c r="G8" s="8"/>
      <c r="H8" s="8"/>
      <c r="I8" s="8"/>
      <c r="J8" s="8">
        <f t="shared" si="1"/>
        <v>0</v>
      </c>
      <c r="K8" s="8"/>
      <c r="L8" s="8"/>
      <c r="M8" s="8">
        <f t="shared" si="2"/>
        <v>0</v>
      </c>
      <c r="N8" s="8">
        <f t="shared" si="3"/>
        <v>0</v>
      </c>
      <c r="O8" s="8"/>
      <c r="P8" s="8">
        <v>16.904</v>
      </c>
      <c r="Q8" s="8">
        <v>12.699</v>
      </c>
      <c r="R8" s="9">
        <v>19.0</v>
      </c>
      <c r="S8" s="8">
        <f t="shared" si="4"/>
        <v>0</v>
      </c>
      <c r="T8" s="10"/>
      <c r="U8" s="10"/>
      <c r="V8" s="10"/>
      <c r="W8" s="11"/>
      <c r="X8" s="12">
        <f t="shared" si="5"/>
        <v>0</v>
      </c>
      <c r="Y8" s="12">
        <f t="shared" si="6"/>
        <v>0</v>
      </c>
      <c r="Z8" s="13"/>
      <c r="AA8" s="13"/>
      <c r="AB8" s="13"/>
      <c r="AC8" s="13"/>
      <c r="AD8" s="13"/>
    </row>
    <row r="9" ht="14.25" customHeight="1">
      <c r="A9" s="8">
        <v>8.0</v>
      </c>
      <c r="B9" s="8" t="s">
        <v>25</v>
      </c>
      <c r="C9" s="8" t="s">
        <v>33</v>
      </c>
      <c r="D9" s="8"/>
      <c r="E9" s="8"/>
      <c r="F9" s="8"/>
      <c r="G9" s="8"/>
      <c r="H9" s="8"/>
      <c r="I9" s="8"/>
      <c r="J9" s="8">
        <f t="shared" si="1"/>
        <v>0</v>
      </c>
      <c r="K9" s="8"/>
      <c r="L9" s="8"/>
      <c r="M9" s="8">
        <f t="shared" si="2"/>
        <v>0</v>
      </c>
      <c r="N9" s="8">
        <f t="shared" si="3"/>
        <v>0</v>
      </c>
      <c r="O9" s="8"/>
      <c r="P9" s="8">
        <v>16.904</v>
      </c>
      <c r="Q9" s="8">
        <v>12.699</v>
      </c>
      <c r="R9" s="9">
        <v>19.0</v>
      </c>
      <c r="S9" s="8">
        <f t="shared" si="4"/>
        <v>0</v>
      </c>
      <c r="T9" s="10"/>
      <c r="U9" s="10"/>
      <c r="V9" s="10"/>
      <c r="W9" s="11"/>
      <c r="X9" s="12">
        <f t="shared" si="5"/>
        <v>0</v>
      </c>
      <c r="Y9" s="12">
        <f t="shared" si="6"/>
        <v>0</v>
      </c>
      <c r="Z9" s="13"/>
      <c r="AA9" s="13"/>
      <c r="AB9" s="13"/>
      <c r="AC9" s="13"/>
      <c r="AD9" s="13"/>
    </row>
    <row r="10" ht="14.25" customHeight="1">
      <c r="A10" s="8">
        <v>9.0</v>
      </c>
      <c r="B10" s="8" t="s">
        <v>25</v>
      </c>
      <c r="C10" s="8" t="s">
        <v>34</v>
      </c>
      <c r="D10" s="8"/>
      <c r="E10" s="8"/>
      <c r="F10" s="8"/>
      <c r="G10" s="8"/>
      <c r="H10" s="8"/>
      <c r="I10" s="8"/>
      <c r="J10" s="8">
        <f t="shared" si="1"/>
        <v>0</v>
      </c>
      <c r="K10" s="8"/>
      <c r="L10" s="8"/>
      <c r="M10" s="8">
        <f t="shared" si="2"/>
        <v>0</v>
      </c>
      <c r="N10" s="8">
        <f t="shared" si="3"/>
        <v>0</v>
      </c>
      <c r="O10" s="8"/>
      <c r="P10" s="8">
        <v>16.904</v>
      </c>
      <c r="Q10" s="8">
        <v>12.699</v>
      </c>
      <c r="R10" s="9">
        <v>19.0</v>
      </c>
      <c r="S10" s="8">
        <f t="shared" si="4"/>
        <v>0</v>
      </c>
      <c r="T10" s="10"/>
      <c r="U10" s="10"/>
      <c r="V10" s="10"/>
      <c r="W10" s="11"/>
      <c r="X10" s="12">
        <f t="shared" si="5"/>
        <v>0</v>
      </c>
      <c r="Y10" s="12">
        <f t="shared" si="6"/>
        <v>0</v>
      </c>
      <c r="Z10" s="13"/>
      <c r="AA10" s="13"/>
      <c r="AB10" s="13"/>
      <c r="AC10" s="13"/>
      <c r="AD10" s="13"/>
    </row>
    <row r="11" ht="14.25" customHeight="1">
      <c r="A11" s="8">
        <v>10.0</v>
      </c>
      <c r="B11" s="8" t="s">
        <v>25</v>
      </c>
      <c r="C11" s="8" t="s">
        <v>35</v>
      </c>
      <c r="D11" s="8"/>
      <c r="E11" s="8"/>
      <c r="F11" s="8"/>
      <c r="G11" s="8"/>
      <c r="H11" s="8"/>
      <c r="I11" s="8"/>
      <c r="J11" s="8">
        <f t="shared" si="1"/>
        <v>0</v>
      </c>
      <c r="K11" s="8"/>
      <c r="L11" s="8"/>
      <c r="M11" s="8">
        <f t="shared" si="2"/>
        <v>0</v>
      </c>
      <c r="N11" s="8">
        <f t="shared" si="3"/>
        <v>0</v>
      </c>
      <c r="O11" s="8"/>
      <c r="P11" s="8">
        <v>16.904</v>
      </c>
      <c r="Q11" s="8">
        <v>12.699</v>
      </c>
      <c r="R11" s="9">
        <v>19.0</v>
      </c>
      <c r="S11" s="8">
        <f t="shared" si="4"/>
        <v>0</v>
      </c>
      <c r="T11" s="10"/>
      <c r="U11" s="10"/>
      <c r="V11" s="10"/>
      <c r="W11" s="11"/>
      <c r="X11" s="12">
        <f t="shared" si="5"/>
        <v>0</v>
      </c>
      <c r="Y11" s="12">
        <f t="shared" si="6"/>
        <v>0</v>
      </c>
      <c r="Z11" s="13"/>
      <c r="AA11" s="13"/>
      <c r="AB11" s="13"/>
      <c r="AC11" s="13"/>
      <c r="AD11" s="13"/>
    </row>
    <row r="12" ht="14.25" customHeight="1">
      <c r="A12" s="8">
        <v>11.0</v>
      </c>
      <c r="B12" s="8" t="s">
        <v>25</v>
      </c>
      <c r="C12" s="8" t="s">
        <v>36</v>
      </c>
      <c r="D12" s="8"/>
      <c r="E12" s="8"/>
      <c r="F12" s="8"/>
      <c r="G12" s="8"/>
      <c r="H12" s="8"/>
      <c r="I12" s="8"/>
      <c r="J12" s="8">
        <f t="shared" si="1"/>
        <v>0</v>
      </c>
      <c r="K12" s="8"/>
      <c r="L12" s="8"/>
      <c r="M12" s="8">
        <f t="shared" si="2"/>
        <v>0</v>
      </c>
      <c r="N12" s="8">
        <f t="shared" si="3"/>
        <v>0</v>
      </c>
      <c r="O12" s="8"/>
      <c r="P12" s="8">
        <v>16.904</v>
      </c>
      <c r="Q12" s="8">
        <v>12.699</v>
      </c>
      <c r="R12" s="9">
        <v>19.0</v>
      </c>
      <c r="S12" s="8">
        <f t="shared" si="4"/>
        <v>0</v>
      </c>
      <c r="T12" s="10"/>
      <c r="U12" s="10"/>
      <c r="V12" s="10"/>
      <c r="W12" s="11"/>
      <c r="X12" s="12">
        <f t="shared" si="5"/>
        <v>0</v>
      </c>
      <c r="Y12" s="12">
        <f t="shared" si="6"/>
        <v>0</v>
      </c>
      <c r="Z12" s="13"/>
      <c r="AA12" s="13"/>
      <c r="AB12" s="13"/>
      <c r="AC12" s="13"/>
      <c r="AD12" s="13"/>
    </row>
    <row r="13" ht="14.25" customHeight="1">
      <c r="A13" s="8">
        <v>12.0</v>
      </c>
      <c r="B13" s="8" t="s">
        <v>25</v>
      </c>
      <c r="C13" s="8" t="s">
        <v>37</v>
      </c>
      <c r="D13" s="8"/>
      <c r="E13" s="8"/>
      <c r="F13" s="8"/>
      <c r="G13" s="8"/>
      <c r="H13" s="8"/>
      <c r="I13" s="8"/>
      <c r="J13" s="8">
        <f t="shared" si="1"/>
        <v>0</v>
      </c>
      <c r="K13" s="8"/>
      <c r="L13" s="8"/>
      <c r="M13" s="8">
        <f t="shared" si="2"/>
        <v>0</v>
      </c>
      <c r="N13" s="8">
        <f t="shared" si="3"/>
        <v>0</v>
      </c>
      <c r="O13" s="8"/>
      <c r="P13" s="8">
        <v>16.904</v>
      </c>
      <c r="Q13" s="8">
        <v>12.699</v>
      </c>
      <c r="R13" s="9">
        <v>19.0</v>
      </c>
      <c r="S13" s="8">
        <f t="shared" si="4"/>
        <v>0</v>
      </c>
      <c r="T13" s="10"/>
      <c r="U13" s="10"/>
      <c r="V13" s="10"/>
      <c r="W13" s="11"/>
      <c r="X13" s="12">
        <f t="shared" si="5"/>
        <v>0</v>
      </c>
      <c r="Y13" s="12">
        <f t="shared" si="6"/>
        <v>0</v>
      </c>
      <c r="Z13" s="13"/>
      <c r="AA13" s="13"/>
      <c r="AB13" s="13"/>
      <c r="AC13" s="13"/>
      <c r="AD13" s="13"/>
    </row>
    <row r="14" ht="14.25" customHeight="1">
      <c r="A14" s="8">
        <v>13.0</v>
      </c>
      <c r="B14" s="8" t="s">
        <v>25</v>
      </c>
      <c r="C14" s="8" t="s">
        <v>38</v>
      </c>
      <c r="D14" s="8"/>
      <c r="E14" s="8"/>
      <c r="F14" s="8"/>
      <c r="G14" s="8"/>
      <c r="H14" s="8"/>
      <c r="I14" s="8"/>
      <c r="J14" s="8">
        <f t="shared" si="1"/>
        <v>0</v>
      </c>
      <c r="K14" s="8"/>
      <c r="L14" s="8"/>
      <c r="M14" s="8">
        <f t="shared" si="2"/>
        <v>0</v>
      </c>
      <c r="N14" s="8">
        <f t="shared" si="3"/>
        <v>0</v>
      </c>
      <c r="O14" s="8"/>
      <c r="P14" s="8">
        <v>16.904</v>
      </c>
      <c r="Q14" s="8">
        <v>12.699</v>
      </c>
      <c r="R14" s="9">
        <v>19.0</v>
      </c>
      <c r="S14" s="8">
        <f t="shared" si="4"/>
        <v>0</v>
      </c>
      <c r="T14" s="10"/>
      <c r="U14" s="10"/>
      <c r="V14" s="10"/>
      <c r="W14" s="11"/>
      <c r="X14" s="12">
        <f t="shared" si="5"/>
        <v>0</v>
      </c>
      <c r="Y14" s="12">
        <f t="shared" si="6"/>
        <v>0</v>
      </c>
      <c r="Z14" s="13"/>
      <c r="AA14" s="13"/>
      <c r="AB14" s="13"/>
      <c r="AC14" s="13"/>
      <c r="AD14" s="13"/>
    </row>
    <row r="15" ht="14.25" customHeight="1">
      <c r="A15" s="8">
        <v>14.0</v>
      </c>
      <c r="B15" s="8" t="s">
        <v>25</v>
      </c>
      <c r="C15" s="8" t="s">
        <v>39</v>
      </c>
      <c r="D15" s="8"/>
      <c r="E15" s="8"/>
      <c r="F15" s="8"/>
      <c r="G15" s="8"/>
      <c r="H15" s="8"/>
      <c r="I15" s="8"/>
      <c r="J15" s="8">
        <f t="shared" si="1"/>
        <v>0</v>
      </c>
      <c r="K15" s="8"/>
      <c r="L15" s="8"/>
      <c r="M15" s="8">
        <f t="shared" si="2"/>
        <v>0</v>
      </c>
      <c r="N15" s="8">
        <f t="shared" si="3"/>
        <v>0</v>
      </c>
      <c r="O15" s="8"/>
      <c r="P15" s="8">
        <v>16.904</v>
      </c>
      <c r="Q15" s="8">
        <v>12.699</v>
      </c>
      <c r="R15" s="9">
        <v>19.0</v>
      </c>
      <c r="S15" s="8">
        <f t="shared" si="4"/>
        <v>0</v>
      </c>
      <c r="T15" s="10"/>
      <c r="U15" s="10"/>
      <c r="V15" s="10"/>
      <c r="W15" s="11"/>
      <c r="X15" s="12">
        <f t="shared" si="5"/>
        <v>0</v>
      </c>
      <c r="Y15" s="12">
        <f t="shared" si="6"/>
        <v>0</v>
      </c>
      <c r="Z15" s="13"/>
      <c r="AA15" s="13"/>
      <c r="AB15" s="13"/>
      <c r="AC15" s="13"/>
      <c r="AD15" s="13"/>
    </row>
    <row r="16" ht="14.25" customHeight="1">
      <c r="A16" s="8">
        <v>15.0</v>
      </c>
      <c r="B16" s="8" t="s">
        <v>25</v>
      </c>
      <c r="C16" s="8" t="s">
        <v>40</v>
      </c>
      <c r="D16" s="8"/>
      <c r="E16" s="8"/>
      <c r="F16" s="8"/>
      <c r="G16" s="8"/>
      <c r="H16" s="8"/>
      <c r="I16" s="8"/>
      <c r="J16" s="8">
        <f t="shared" si="1"/>
        <v>0</v>
      </c>
      <c r="K16" s="8"/>
      <c r="L16" s="8"/>
      <c r="M16" s="8">
        <f t="shared" si="2"/>
        <v>0</v>
      </c>
      <c r="N16" s="8">
        <f t="shared" si="3"/>
        <v>0</v>
      </c>
      <c r="O16" s="8"/>
      <c r="P16" s="8">
        <v>16.904</v>
      </c>
      <c r="Q16" s="8">
        <v>12.699</v>
      </c>
      <c r="R16" s="9">
        <v>19.0</v>
      </c>
      <c r="S16" s="8">
        <f t="shared" si="4"/>
        <v>0</v>
      </c>
      <c r="T16" s="10"/>
      <c r="U16" s="10"/>
      <c r="V16" s="10"/>
      <c r="W16" s="11"/>
      <c r="X16" s="12">
        <f t="shared" si="5"/>
        <v>0</v>
      </c>
      <c r="Y16" s="12">
        <f t="shared" si="6"/>
        <v>0</v>
      </c>
      <c r="Z16" s="13"/>
      <c r="AA16" s="13"/>
      <c r="AB16" s="13"/>
      <c r="AC16" s="13"/>
      <c r="AD16" s="13"/>
    </row>
    <row r="17" ht="14.25" customHeight="1">
      <c r="A17" s="8">
        <v>16.0</v>
      </c>
      <c r="B17" s="8" t="s">
        <v>25</v>
      </c>
      <c r="C17" s="8" t="s">
        <v>41</v>
      </c>
      <c r="D17" s="8"/>
      <c r="E17" s="8"/>
      <c r="F17" s="8"/>
      <c r="G17" s="8"/>
      <c r="H17" s="8"/>
      <c r="I17" s="8"/>
      <c r="J17" s="8">
        <f t="shared" si="1"/>
        <v>0</v>
      </c>
      <c r="K17" s="8"/>
      <c r="L17" s="8"/>
      <c r="M17" s="8">
        <f t="shared" si="2"/>
        <v>0</v>
      </c>
      <c r="N17" s="8">
        <f t="shared" si="3"/>
        <v>0</v>
      </c>
      <c r="O17" s="8"/>
      <c r="P17" s="8">
        <v>16.904</v>
      </c>
      <c r="Q17" s="8">
        <v>12.699</v>
      </c>
      <c r="R17" s="9">
        <v>19.0</v>
      </c>
      <c r="S17" s="8">
        <f t="shared" si="4"/>
        <v>0</v>
      </c>
      <c r="T17" s="10"/>
      <c r="U17" s="10"/>
      <c r="V17" s="10"/>
      <c r="W17" s="11"/>
      <c r="X17" s="12">
        <f t="shared" si="5"/>
        <v>0</v>
      </c>
      <c r="Y17" s="12">
        <f t="shared" si="6"/>
        <v>0</v>
      </c>
      <c r="Z17" s="13"/>
      <c r="AA17" s="13"/>
      <c r="AB17" s="13"/>
      <c r="AC17" s="13"/>
      <c r="AD17" s="13"/>
    </row>
    <row r="18" ht="14.25" customHeight="1">
      <c r="A18" s="8">
        <v>17.0</v>
      </c>
      <c r="B18" s="8" t="s">
        <v>25</v>
      </c>
      <c r="C18" s="8" t="s">
        <v>42</v>
      </c>
      <c r="D18" s="8"/>
      <c r="E18" s="8"/>
      <c r="F18" s="8"/>
      <c r="G18" s="8"/>
      <c r="H18" s="8"/>
      <c r="I18" s="8"/>
      <c r="J18" s="8">
        <f t="shared" si="1"/>
        <v>0</v>
      </c>
      <c r="K18" s="8"/>
      <c r="L18" s="8"/>
      <c r="M18" s="8">
        <f t="shared" si="2"/>
        <v>0</v>
      </c>
      <c r="N18" s="8">
        <f t="shared" si="3"/>
        <v>0</v>
      </c>
      <c r="O18" s="8"/>
      <c r="P18" s="8">
        <v>16.904</v>
      </c>
      <c r="Q18" s="8">
        <v>12.699</v>
      </c>
      <c r="R18" s="9">
        <v>19.0</v>
      </c>
      <c r="S18" s="8">
        <f t="shared" si="4"/>
        <v>0</v>
      </c>
      <c r="T18" s="10"/>
      <c r="U18" s="10"/>
      <c r="V18" s="10"/>
      <c r="W18" s="11"/>
      <c r="X18" s="12">
        <f t="shared" si="5"/>
        <v>0</v>
      </c>
      <c r="Y18" s="12">
        <f t="shared" si="6"/>
        <v>0</v>
      </c>
      <c r="Z18" s="13"/>
      <c r="AA18" s="13"/>
      <c r="AB18" s="13"/>
      <c r="AC18" s="13"/>
      <c r="AD18" s="13"/>
    </row>
    <row r="19" ht="14.25" customHeight="1">
      <c r="A19" s="8">
        <v>18.0</v>
      </c>
      <c r="B19" s="8" t="s">
        <v>25</v>
      </c>
      <c r="C19" s="8" t="s">
        <v>43</v>
      </c>
      <c r="D19" s="8"/>
      <c r="E19" s="8"/>
      <c r="F19" s="8"/>
      <c r="G19" s="8"/>
      <c r="H19" s="8"/>
      <c r="I19" s="8"/>
      <c r="J19" s="8">
        <f t="shared" si="1"/>
        <v>0</v>
      </c>
      <c r="K19" s="8"/>
      <c r="L19" s="8"/>
      <c r="M19" s="8">
        <f t="shared" si="2"/>
        <v>0</v>
      </c>
      <c r="N19" s="8">
        <f t="shared" si="3"/>
        <v>0</v>
      </c>
      <c r="O19" s="8"/>
      <c r="P19" s="8">
        <v>16.904</v>
      </c>
      <c r="Q19" s="8">
        <v>12.699</v>
      </c>
      <c r="R19" s="9">
        <v>19.0</v>
      </c>
      <c r="S19" s="8">
        <f t="shared" si="4"/>
        <v>0</v>
      </c>
      <c r="T19" s="10"/>
      <c r="U19" s="10"/>
      <c r="V19" s="10"/>
      <c r="W19" s="11"/>
      <c r="X19" s="12">
        <f t="shared" si="5"/>
        <v>0</v>
      </c>
      <c r="Y19" s="12">
        <f t="shared" si="6"/>
        <v>0</v>
      </c>
      <c r="Z19" s="13"/>
      <c r="AA19" s="13"/>
      <c r="AB19" s="13"/>
      <c r="AC19" s="13"/>
      <c r="AD19" s="13"/>
    </row>
    <row r="20" ht="14.25" customHeight="1">
      <c r="A20" s="8">
        <v>19.0</v>
      </c>
      <c r="B20" s="8" t="s">
        <v>25</v>
      </c>
      <c r="C20" s="8" t="s">
        <v>44</v>
      </c>
      <c r="D20" s="8"/>
      <c r="E20" s="8"/>
      <c r="F20" s="8"/>
      <c r="G20" s="8"/>
      <c r="H20" s="8"/>
      <c r="I20" s="8"/>
      <c r="J20" s="8">
        <f t="shared" si="1"/>
        <v>0</v>
      </c>
      <c r="K20" s="8"/>
      <c r="L20" s="8"/>
      <c r="M20" s="8">
        <f t="shared" si="2"/>
        <v>0</v>
      </c>
      <c r="N20" s="8">
        <f t="shared" si="3"/>
        <v>0</v>
      </c>
      <c r="O20" s="8"/>
      <c r="P20" s="8">
        <v>16.904</v>
      </c>
      <c r="Q20" s="8">
        <v>12.699</v>
      </c>
      <c r="R20" s="9">
        <v>19.0</v>
      </c>
      <c r="S20" s="8">
        <f t="shared" si="4"/>
        <v>0</v>
      </c>
      <c r="T20" s="10"/>
      <c r="U20" s="10"/>
      <c r="V20" s="10"/>
      <c r="W20" s="11"/>
      <c r="X20" s="12">
        <f t="shared" si="5"/>
        <v>0</v>
      </c>
      <c r="Y20" s="12">
        <f t="shared" si="6"/>
        <v>0</v>
      </c>
      <c r="Z20" s="13"/>
      <c r="AA20" s="13"/>
      <c r="AB20" s="13"/>
      <c r="AC20" s="13"/>
      <c r="AD20" s="13"/>
    </row>
    <row r="21" ht="14.25" customHeight="1">
      <c r="A21" s="8">
        <v>20.0</v>
      </c>
      <c r="B21" s="8" t="s">
        <v>25</v>
      </c>
      <c r="C21" s="8" t="s">
        <v>45</v>
      </c>
      <c r="D21" s="8"/>
      <c r="E21" s="8"/>
      <c r="F21" s="8"/>
      <c r="G21" s="8"/>
      <c r="H21" s="8"/>
      <c r="I21" s="8"/>
      <c r="J21" s="8">
        <f t="shared" si="1"/>
        <v>0</v>
      </c>
      <c r="K21" s="8"/>
      <c r="L21" s="8"/>
      <c r="M21" s="8">
        <f t="shared" si="2"/>
        <v>0</v>
      </c>
      <c r="N21" s="8">
        <f t="shared" si="3"/>
        <v>0</v>
      </c>
      <c r="O21" s="8"/>
      <c r="P21" s="8">
        <v>16.904</v>
      </c>
      <c r="Q21" s="8">
        <v>12.699</v>
      </c>
      <c r="R21" s="9">
        <v>19.0</v>
      </c>
      <c r="S21" s="8">
        <f t="shared" si="4"/>
        <v>0</v>
      </c>
      <c r="T21" s="10"/>
      <c r="U21" s="10"/>
      <c r="V21" s="10"/>
      <c r="W21" s="11"/>
      <c r="X21" s="12">
        <f t="shared" si="5"/>
        <v>0</v>
      </c>
      <c r="Y21" s="12">
        <f t="shared" si="6"/>
        <v>0</v>
      </c>
      <c r="Z21" s="13"/>
      <c r="AA21" s="13"/>
      <c r="AB21" s="13"/>
      <c r="AC21" s="13"/>
      <c r="AD21" s="13"/>
    </row>
    <row r="22" ht="14.25" customHeight="1">
      <c r="A22" s="8">
        <v>21.0</v>
      </c>
      <c r="B22" s="8" t="s">
        <v>25</v>
      </c>
      <c r="C22" s="8" t="s">
        <v>46</v>
      </c>
      <c r="D22" s="8"/>
      <c r="E22" s="8"/>
      <c r="F22" s="8"/>
      <c r="G22" s="8"/>
      <c r="H22" s="8"/>
      <c r="I22" s="8"/>
      <c r="J22" s="8">
        <f t="shared" si="1"/>
        <v>0</v>
      </c>
      <c r="K22" s="8"/>
      <c r="L22" s="8"/>
      <c r="M22" s="8">
        <f t="shared" si="2"/>
        <v>0</v>
      </c>
      <c r="N22" s="8">
        <f t="shared" si="3"/>
        <v>0</v>
      </c>
      <c r="O22" s="8"/>
      <c r="P22" s="8">
        <v>16.904</v>
      </c>
      <c r="Q22" s="8">
        <v>12.699</v>
      </c>
      <c r="R22" s="9">
        <v>19.0</v>
      </c>
      <c r="S22" s="8">
        <f t="shared" si="4"/>
        <v>0</v>
      </c>
      <c r="T22" s="10"/>
      <c r="U22" s="10"/>
      <c r="V22" s="10"/>
      <c r="W22" s="11"/>
      <c r="X22" s="12">
        <f t="shared" si="5"/>
        <v>0</v>
      </c>
      <c r="Y22" s="12">
        <f t="shared" si="6"/>
        <v>0</v>
      </c>
      <c r="Z22" s="13"/>
      <c r="AA22" s="13"/>
      <c r="AB22" s="13"/>
      <c r="AC22" s="13"/>
      <c r="AD22" s="13"/>
    </row>
    <row r="23" ht="14.25" customHeight="1">
      <c r="A23" s="8">
        <v>22.0</v>
      </c>
      <c r="B23" s="8" t="s">
        <v>25</v>
      </c>
      <c r="C23" s="8" t="s">
        <v>47</v>
      </c>
      <c r="D23" s="8"/>
      <c r="E23" s="8"/>
      <c r="F23" s="8"/>
      <c r="G23" s="8"/>
      <c r="H23" s="8"/>
      <c r="I23" s="8"/>
      <c r="J23" s="8">
        <f t="shared" si="1"/>
        <v>0</v>
      </c>
      <c r="K23" s="8"/>
      <c r="L23" s="8"/>
      <c r="M23" s="8">
        <f t="shared" si="2"/>
        <v>0</v>
      </c>
      <c r="N23" s="8">
        <f t="shared" si="3"/>
        <v>0</v>
      </c>
      <c r="O23" s="8"/>
      <c r="P23" s="8">
        <v>16.904</v>
      </c>
      <c r="Q23" s="8">
        <v>12.699</v>
      </c>
      <c r="R23" s="9">
        <v>19.0</v>
      </c>
      <c r="S23" s="8">
        <f t="shared" si="4"/>
        <v>0</v>
      </c>
      <c r="T23" s="10"/>
      <c r="U23" s="10"/>
      <c r="V23" s="10"/>
      <c r="W23" s="11"/>
      <c r="X23" s="12">
        <f t="shared" si="5"/>
        <v>0</v>
      </c>
      <c r="Y23" s="12">
        <f t="shared" si="6"/>
        <v>0</v>
      </c>
      <c r="Z23" s="13"/>
      <c r="AA23" s="13"/>
      <c r="AB23" s="13"/>
      <c r="AC23" s="13"/>
      <c r="AD23" s="13"/>
    </row>
    <row r="24" ht="14.25" customHeight="1">
      <c r="A24" s="8">
        <v>23.0</v>
      </c>
      <c r="B24" s="8" t="s">
        <v>25</v>
      </c>
      <c r="C24" s="8" t="s">
        <v>48</v>
      </c>
      <c r="D24" s="8"/>
      <c r="E24" s="8"/>
      <c r="F24" s="8"/>
      <c r="G24" s="8"/>
      <c r="H24" s="8"/>
      <c r="I24" s="8"/>
      <c r="J24" s="8">
        <f t="shared" si="1"/>
        <v>0</v>
      </c>
      <c r="K24" s="8"/>
      <c r="L24" s="8"/>
      <c r="M24" s="8">
        <f t="shared" si="2"/>
        <v>0</v>
      </c>
      <c r="N24" s="8">
        <f t="shared" si="3"/>
        <v>0</v>
      </c>
      <c r="O24" s="8"/>
      <c r="P24" s="8">
        <v>16.904</v>
      </c>
      <c r="Q24" s="8">
        <v>12.699</v>
      </c>
      <c r="R24" s="9">
        <v>19.0</v>
      </c>
      <c r="S24" s="8">
        <f t="shared" si="4"/>
        <v>0</v>
      </c>
      <c r="T24" s="10"/>
      <c r="U24" s="10"/>
      <c r="V24" s="10"/>
      <c r="W24" s="11"/>
      <c r="X24" s="12">
        <f t="shared" si="5"/>
        <v>0</v>
      </c>
      <c r="Y24" s="12">
        <f t="shared" si="6"/>
        <v>0</v>
      </c>
      <c r="Z24" s="13"/>
      <c r="AA24" s="13"/>
      <c r="AB24" s="13"/>
      <c r="AC24" s="13"/>
      <c r="AD24" s="13"/>
    </row>
    <row r="25" ht="14.25" customHeight="1">
      <c r="A25" s="8">
        <v>24.0</v>
      </c>
      <c r="B25" s="8" t="s">
        <v>25</v>
      </c>
      <c r="C25" s="8" t="s">
        <v>49</v>
      </c>
      <c r="D25" s="8"/>
      <c r="E25" s="8"/>
      <c r="F25" s="8"/>
      <c r="G25" s="8"/>
      <c r="H25" s="8"/>
      <c r="I25" s="8"/>
      <c r="J25" s="8">
        <f t="shared" si="1"/>
        <v>0</v>
      </c>
      <c r="K25" s="8"/>
      <c r="L25" s="8"/>
      <c r="M25" s="8">
        <f t="shared" si="2"/>
        <v>0</v>
      </c>
      <c r="N25" s="8">
        <f t="shared" si="3"/>
        <v>0</v>
      </c>
      <c r="O25" s="8"/>
      <c r="P25" s="8">
        <v>16.904</v>
      </c>
      <c r="Q25" s="8">
        <v>12.699</v>
      </c>
      <c r="R25" s="9">
        <v>19.0</v>
      </c>
      <c r="S25" s="8">
        <f t="shared" si="4"/>
        <v>0</v>
      </c>
      <c r="T25" s="10"/>
      <c r="U25" s="10"/>
      <c r="V25" s="10"/>
      <c r="W25" s="11"/>
      <c r="X25" s="12">
        <f t="shared" si="5"/>
        <v>0</v>
      </c>
      <c r="Y25" s="12">
        <f t="shared" si="6"/>
        <v>0</v>
      </c>
      <c r="Z25" s="13"/>
      <c r="AA25" s="13"/>
      <c r="AB25" s="13"/>
      <c r="AC25" s="13"/>
      <c r="AD25" s="13"/>
    </row>
    <row r="26" ht="14.25" customHeight="1">
      <c r="A26" s="8">
        <v>25.0</v>
      </c>
      <c r="B26" s="8" t="s">
        <v>25</v>
      </c>
      <c r="C26" s="8" t="s">
        <v>50</v>
      </c>
      <c r="D26" s="8"/>
      <c r="E26" s="8"/>
      <c r="F26" s="8"/>
      <c r="G26" s="8"/>
      <c r="H26" s="8"/>
      <c r="I26" s="8"/>
      <c r="J26" s="8">
        <f t="shared" si="1"/>
        <v>0</v>
      </c>
      <c r="K26" s="8"/>
      <c r="L26" s="8"/>
      <c r="M26" s="8">
        <f t="shared" si="2"/>
        <v>0</v>
      </c>
      <c r="N26" s="8">
        <f t="shared" si="3"/>
        <v>0</v>
      </c>
      <c r="O26" s="8"/>
      <c r="P26" s="8">
        <v>16.904</v>
      </c>
      <c r="Q26" s="8">
        <v>12.699</v>
      </c>
      <c r="R26" s="9">
        <v>19.0</v>
      </c>
      <c r="S26" s="8">
        <f t="shared" si="4"/>
        <v>0</v>
      </c>
      <c r="T26" s="10"/>
      <c r="U26" s="10"/>
      <c r="V26" s="10"/>
      <c r="W26" s="11"/>
      <c r="X26" s="12">
        <f t="shared" si="5"/>
        <v>0</v>
      </c>
      <c r="Y26" s="12">
        <f t="shared" si="6"/>
        <v>0</v>
      </c>
      <c r="Z26" s="13"/>
      <c r="AA26" s="13"/>
      <c r="AB26" s="13"/>
      <c r="AC26" s="13"/>
      <c r="AD26" s="13"/>
    </row>
    <row r="27" ht="14.25" customHeight="1">
      <c r="A27" s="8">
        <v>26.0</v>
      </c>
      <c r="B27" s="8" t="s">
        <v>25</v>
      </c>
      <c r="C27" s="8" t="s">
        <v>51</v>
      </c>
      <c r="D27" s="8"/>
      <c r="E27" s="8"/>
      <c r="F27" s="8"/>
      <c r="G27" s="8"/>
      <c r="H27" s="8"/>
      <c r="I27" s="8"/>
      <c r="J27" s="8">
        <f t="shared" si="1"/>
        <v>0</v>
      </c>
      <c r="K27" s="8"/>
      <c r="L27" s="8"/>
      <c r="M27" s="8">
        <f t="shared" si="2"/>
        <v>0</v>
      </c>
      <c r="N27" s="8">
        <f t="shared" si="3"/>
        <v>0</v>
      </c>
      <c r="O27" s="8"/>
      <c r="P27" s="8">
        <v>16.904</v>
      </c>
      <c r="Q27" s="8">
        <v>12.699</v>
      </c>
      <c r="R27" s="9">
        <v>19.0</v>
      </c>
      <c r="S27" s="8">
        <f t="shared" si="4"/>
        <v>0</v>
      </c>
      <c r="T27" s="10"/>
      <c r="U27" s="10"/>
      <c r="V27" s="10"/>
      <c r="W27" s="11"/>
      <c r="X27" s="12">
        <f t="shared" si="5"/>
        <v>0</v>
      </c>
      <c r="Y27" s="12">
        <f t="shared" si="6"/>
        <v>0</v>
      </c>
      <c r="Z27" s="13"/>
      <c r="AA27" s="13"/>
      <c r="AB27" s="13"/>
      <c r="AC27" s="13"/>
      <c r="AD27" s="13"/>
    </row>
    <row r="28" ht="14.25" customHeight="1">
      <c r="A28" s="8">
        <v>27.0</v>
      </c>
      <c r="B28" s="8" t="s">
        <v>25</v>
      </c>
      <c r="C28" s="8" t="s">
        <v>52</v>
      </c>
      <c r="D28" s="8"/>
      <c r="E28" s="8"/>
      <c r="F28" s="8"/>
      <c r="G28" s="8"/>
      <c r="H28" s="8"/>
      <c r="I28" s="8"/>
      <c r="J28" s="8">
        <f t="shared" si="1"/>
        <v>0</v>
      </c>
      <c r="K28" s="8"/>
      <c r="L28" s="8"/>
      <c r="M28" s="8">
        <f t="shared" si="2"/>
        <v>0</v>
      </c>
      <c r="N28" s="8">
        <f t="shared" si="3"/>
        <v>0</v>
      </c>
      <c r="O28" s="8"/>
      <c r="P28" s="8">
        <v>16.904</v>
      </c>
      <c r="Q28" s="8">
        <v>12.699</v>
      </c>
      <c r="R28" s="9">
        <v>19.0</v>
      </c>
      <c r="S28" s="8">
        <f t="shared" si="4"/>
        <v>0</v>
      </c>
      <c r="T28" s="10"/>
      <c r="U28" s="10"/>
      <c r="V28" s="10"/>
      <c r="W28" s="11"/>
      <c r="X28" s="12">
        <f t="shared" si="5"/>
        <v>0</v>
      </c>
      <c r="Y28" s="12">
        <f t="shared" si="6"/>
        <v>0</v>
      </c>
      <c r="Z28" s="13"/>
      <c r="AA28" s="13"/>
      <c r="AB28" s="13"/>
      <c r="AC28" s="13"/>
      <c r="AD28" s="13"/>
    </row>
    <row r="29" ht="14.25" customHeight="1">
      <c r="A29" s="8">
        <v>28.0</v>
      </c>
      <c r="B29" s="8" t="s">
        <v>25</v>
      </c>
      <c r="C29" s="8" t="s">
        <v>53</v>
      </c>
      <c r="D29" s="8"/>
      <c r="E29" s="8"/>
      <c r="F29" s="8"/>
      <c r="G29" s="8"/>
      <c r="H29" s="8"/>
      <c r="I29" s="8"/>
      <c r="J29" s="8">
        <f t="shared" si="1"/>
        <v>0</v>
      </c>
      <c r="K29" s="8"/>
      <c r="L29" s="8"/>
      <c r="M29" s="8">
        <f t="shared" si="2"/>
        <v>0</v>
      </c>
      <c r="N29" s="8">
        <f t="shared" si="3"/>
        <v>0</v>
      </c>
      <c r="O29" s="8"/>
      <c r="P29" s="8">
        <v>16.904</v>
      </c>
      <c r="Q29" s="8">
        <v>12.699</v>
      </c>
      <c r="R29" s="9">
        <v>19.0</v>
      </c>
      <c r="S29" s="8">
        <f t="shared" si="4"/>
        <v>0</v>
      </c>
      <c r="T29" s="10"/>
      <c r="U29" s="10"/>
      <c r="V29" s="10"/>
      <c r="W29" s="11"/>
      <c r="X29" s="12">
        <f t="shared" si="5"/>
        <v>0</v>
      </c>
      <c r="Y29" s="12">
        <f t="shared" si="6"/>
        <v>0</v>
      </c>
      <c r="Z29" s="13"/>
      <c r="AA29" s="13"/>
      <c r="AB29" s="13"/>
      <c r="AC29" s="13"/>
      <c r="AD29" s="13"/>
    </row>
    <row r="30" ht="14.25" customHeight="1">
      <c r="A30" s="8">
        <v>29.0</v>
      </c>
      <c r="B30" s="8" t="s">
        <v>25</v>
      </c>
      <c r="C30" s="8" t="s">
        <v>54</v>
      </c>
      <c r="D30" s="8"/>
      <c r="E30" s="8"/>
      <c r="F30" s="8"/>
      <c r="G30" s="8"/>
      <c r="H30" s="8"/>
      <c r="I30" s="8"/>
      <c r="J30" s="8">
        <f t="shared" si="1"/>
        <v>0</v>
      </c>
      <c r="K30" s="8"/>
      <c r="L30" s="8"/>
      <c r="M30" s="8">
        <f t="shared" si="2"/>
        <v>0</v>
      </c>
      <c r="N30" s="8">
        <f t="shared" si="3"/>
        <v>0</v>
      </c>
      <c r="O30" s="8"/>
      <c r="P30" s="8">
        <v>16.904</v>
      </c>
      <c r="Q30" s="8">
        <v>12.699</v>
      </c>
      <c r="R30" s="9">
        <v>19.0</v>
      </c>
      <c r="S30" s="8">
        <f t="shared" si="4"/>
        <v>0</v>
      </c>
      <c r="T30" s="10"/>
      <c r="U30" s="10"/>
      <c r="V30" s="10"/>
      <c r="W30" s="11"/>
      <c r="X30" s="12">
        <f t="shared" si="5"/>
        <v>0</v>
      </c>
      <c r="Y30" s="12">
        <f t="shared" si="6"/>
        <v>0</v>
      </c>
      <c r="Z30" s="13"/>
      <c r="AA30" s="13"/>
      <c r="AB30" s="13"/>
      <c r="AC30" s="13"/>
      <c r="AD30" s="13"/>
    </row>
    <row r="31" ht="14.25" customHeight="1">
      <c r="A31" s="8">
        <v>30.0</v>
      </c>
      <c r="B31" s="8" t="s">
        <v>25</v>
      </c>
      <c r="C31" s="8" t="s">
        <v>55</v>
      </c>
      <c r="D31" s="8"/>
      <c r="E31" s="8"/>
      <c r="F31" s="8"/>
      <c r="G31" s="8"/>
      <c r="H31" s="8"/>
      <c r="I31" s="8"/>
      <c r="J31" s="8">
        <f t="shared" si="1"/>
        <v>0</v>
      </c>
      <c r="K31" s="8"/>
      <c r="L31" s="8"/>
      <c r="M31" s="8">
        <f t="shared" si="2"/>
        <v>0</v>
      </c>
      <c r="N31" s="8">
        <f t="shared" si="3"/>
        <v>0</v>
      </c>
      <c r="O31" s="8"/>
      <c r="P31" s="8">
        <v>16.904</v>
      </c>
      <c r="Q31" s="8">
        <v>12.699</v>
      </c>
      <c r="R31" s="9">
        <v>19.0</v>
      </c>
      <c r="S31" s="8">
        <f t="shared" si="4"/>
        <v>0</v>
      </c>
      <c r="T31" s="10"/>
      <c r="U31" s="10"/>
      <c r="V31" s="10"/>
      <c r="W31" s="11"/>
      <c r="X31" s="12">
        <f t="shared" si="5"/>
        <v>0</v>
      </c>
      <c r="Y31" s="12">
        <f t="shared" si="6"/>
        <v>0</v>
      </c>
      <c r="Z31" s="13"/>
      <c r="AA31" s="13"/>
      <c r="AB31" s="13"/>
      <c r="AC31" s="13"/>
      <c r="AD31" s="13"/>
    </row>
    <row r="32" ht="14.25" customHeight="1">
      <c r="A32" s="8">
        <v>31.0</v>
      </c>
      <c r="B32" s="8" t="s">
        <v>25</v>
      </c>
      <c r="C32" s="8" t="s">
        <v>56</v>
      </c>
      <c r="D32" s="8"/>
      <c r="E32" s="8"/>
      <c r="F32" s="8"/>
      <c r="G32" s="8"/>
      <c r="H32" s="8"/>
      <c r="I32" s="8"/>
      <c r="J32" s="8">
        <f t="shared" si="1"/>
        <v>0</v>
      </c>
      <c r="K32" s="8"/>
      <c r="L32" s="8"/>
      <c r="M32" s="8">
        <f t="shared" si="2"/>
        <v>0</v>
      </c>
      <c r="N32" s="8">
        <f t="shared" si="3"/>
        <v>0</v>
      </c>
      <c r="O32" s="8"/>
      <c r="P32" s="8">
        <v>16.904</v>
      </c>
      <c r="Q32" s="8">
        <v>12.699</v>
      </c>
      <c r="R32" s="9">
        <v>19.0</v>
      </c>
      <c r="S32" s="8">
        <f t="shared" si="4"/>
        <v>0</v>
      </c>
      <c r="T32" s="10"/>
      <c r="U32" s="10"/>
      <c r="V32" s="10"/>
      <c r="W32" s="11"/>
      <c r="X32" s="12">
        <f t="shared" si="5"/>
        <v>0</v>
      </c>
      <c r="Y32" s="12">
        <f t="shared" si="6"/>
        <v>0</v>
      </c>
      <c r="Z32" s="13"/>
      <c r="AA32" s="13"/>
      <c r="AB32" s="13"/>
      <c r="AC32" s="13"/>
      <c r="AD32" s="13"/>
    </row>
    <row r="33" ht="14.25" customHeight="1">
      <c r="A33" s="8">
        <v>32.0</v>
      </c>
      <c r="B33" s="8" t="s">
        <v>25</v>
      </c>
      <c r="C33" s="8" t="s">
        <v>57</v>
      </c>
      <c r="D33" s="8"/>
      <c r="E33" s="8"/>
      <c r="F33" s="8"/>
      <c r="G33" s="8"/>
      <c r="H33" s="8"/>
      <c r="I33" s="8"/>
      <c r="J33" s="8">
        <f t="shared" si="1"/>
        <v>0</v>
      </c>
      <c r="K33" s="8"/>
      <c r="L33" s="8"/>
      <c r="M33" s="8">
        <f t="shared" si="2"/>
        <v>0</v>
      </c>
      <c r="N33" s="8">
        <f t="shared" si="3"/>
        <v>0</v>
      </c>
      <c r="O33" s="8"/>
      <c r="P33" s="8">
        <v>16.904</v>
      </c>
      <c r="Q33" s="8">
        <v>12.699</v>
      </c>
      <c r="R33" s="9">
        <v>19.0</v>
      </c>
      <c r="S33" s="8">
        <f t="shared" si="4"/>
        <v>0</v>
      </c>
      <c r="T33" s="10"/>
      <c r="U33" s="10"/>
      <c r="V33" s="10"/>
      <c r="W33" s="11"/>
      <c r="X33" s="12">
        <f t="shared" si="5"/>
        <v>0</v>
      </c>
      <c r="Y33" s="12">
        <f t="shared" si="6"/>
        <v>0</v>
      </c>
      <c r="Z33" s="13"/>
      <c r="AA33" s="13"/>
      <c r="AB33" s="13"/>
      <c r="AC33" s="13"/>
      <c r="AD33" s="13"/>
    </row>
    <row r="34" ht="14.25" customHeight="1">
      <c r="A34" s="8">
        <v>33.0</v>
      </c>
      <c r="B34" s="8" t="s">
        <v>25</v>
      </c>
      <c r="C34" s="8" t="s">
        <v>58</v>
      </c>
      <c r="D34" s="8"/>
      <c r="E34" s="8"/>
      <c r="F34" s="8"/>
      <c r="G34" s="8"/>
      <c r="H34" s="8"/>
      <c r="I34" s="8"/>
      <c r="J34" s="8">
        <f t="shared" si="1"/>
        <v>0</v>
      </c>
      <c r="K34" s="8"/>
      <c r="L34" s="8"/>
      <c r="M34" s="8">
        <f t="shared" si="2"/>
        <v>0</v>
      </c>
      <c r="N34" s="8">
        <f t="shared" si="3"/>
        <v>0</v>
      </c>
      <c r="O34" s="8"/>
      <c r="P34" s="8">
        <v>16.904</v>
      </c>
      <c r="Q34" s="8">
        <v>12.699</v>
      </c>
      <c r="R34" s="9">
        <v>19.0</v>
      </c>
      <c r="S34" s="8">
        <f t="shared" si="4"/>
        <v>0</v>
      </c>
      <c r="T34" s="10"/>
      <c r="U34" s="10"/>
      <c r="V34" s="10"/>
      <c r="W34" s="11"/>
      <c r="X34" s="12">
        <f t="shared" si="5"/>
        <v>0</v>
      </c>
      <c r="Y34" s="12">
        <f t="shared" si="6"/>
        <v>0</v>
      </c>
      <c r="Z34" s="13"/>
      <c r="AA34" s="13"/>
      <c r="AB34" s="13"/>
      <c r="AC34" s="13"/>
      <c r="AD34" s="13"/>
    </row>
    <row r="35" ht="14.25" customHeight="1">
      <c r="A35" s="8">
        <v>34.0</v>
      </c>
      <c r="B35" s="8" t="s">
        <v>25</v>
      </c>
      <c r="C35" s="8" t="s">
        <v>59</v>
      </c>
      <c r="D35" s="8"/>
      <c r="E35" s="8"/>
      <c r="F35" s="8"/>
      <c r="G35" s="8"/>
      <c r="H35" s="8"/>
      <c r="I35" s="8"/>
      <c r="J35" s="8">
        <f t="shared" si="1"/>
        <v>0</v>
      </c>
      <c r="K35" s="8"/>
      <c r="L35" s="8"/>
      <c r="M35" s="8">
        <f t="shared" si="2"/>
        <v>0</v>
      </c>
      <c r="N35" s="8">
        <f t="shared" si="3"/>
        <v>0</v>
      </c>
      <c r="O35" s="8"/>
      <c r="P35" s="8">
        <v>16.904</v>
      </c>
      <c r="Q35" s="8">
        <v>12.699</v>
      </c>
      <c r="R35" s="9">
        <v>19.0</v>
      </c>
      <c r="S35" s="8">
        <f t="shared" si="4"/>
        <v>0</v>
      </c>
      <c r="T35" s="10"/>
      <c r="U35" s="10"/>
      <c r="V35" s="10"/>
      <c r="W35" s="11"/>
      <c r="X35" s="12">
        <f t="shared" si="5"/>
        <v>0</v>
      </c>
      <c r="Y35" s="12">
        <f t="shared" si="6"/>
        <v>0</v>
      </c>
      <c r="Z35" s="13"/>
      <c r="AA35" s="13"/>
      <c r="AB35" s="13"/>
      <c r="AC35" s="13"/>
      <c r="AD35" s="13"/>
    </row>
    <row r="36" ht="14.25" customHeight="1">
      <c r="A36" s="8">
        <v>35.0</v>
      </c>
      <c r="B36" s="8" t="s">
        <v>25</v>
      </c>
      <c r="C36" s="8" t="s">
        <v>60</v>
      </c>
      <c r="D36" s="8"/>
      <c r="E36" s="8"/>
      <c r="F36" s="8"/>
      <c r="G36" s="8"/>
      <c r="H36" s="8"/>
      <c r="I36" s="8"/>
      <c r="J36" s="8">
        <f t="shared" si="1"/>
        <v>0</v>
      </c>
      <c r="K36" s="8"/>
      <c r="L36" s="8"/>
      <c r="M36" s="8">
        <f t="shared" si="2"/>
        <v>0</v>
      </c>
      <c r="N36" s="8">
        <f t="shared" si="3"/>
        <v>0</v>
      </c>
      <c r="O36" s="8"/>
      <c r="P36" s="8">
        <v>16.904</v>
      </c>
      <c r="Q36" s="8">
        <v>12.699</v>
      </c>
      <c r="R36" s="9">
        <v>19.0</v>
      </c>
      <c r="S36" s="8">
        <f t="shared" si="4"/>
        <v>0</v>
      </c>
      <c r="T36" s="10"/>
      <c r="U36" s="10"/>
      <c r="V36" s="10"/>
      <c r="W36" s="11"/>
      <c r="X36" s="12">
        <f t="shared" si="5"/>
        <v>0</v>
      </c>
      <c r="Y36" s="12">
        <f t="shared" si="6"/>
        <v>0</v>
      </c>
      <c r="Z36" s="13"/>
      <c r="AA36" s="13"/>
      <c r="AB36" s="13"/>
      <c r="AC36" s="13"/>
      <c r="AD36" s="13"/>
    </row>
    <row r="37" ht="14.25" customHeight="1">
      <c r="A37" s="8">
        <v>36.0</v>
      </c>
      <c r="B37" s="8" t="s">
        <v>25</v>
      </c>
      <c r="C37" s="8" t="s">
        <v>61</v>
      </c>
      <c r="D37" s="8"/>
      <c r="E37" s="8"/>
      <c r="F37" s="8"/>
      <c r="G37" s="8"/>
      <c r="H37" s="8"/>
      <c r="I37" s="8"/>
      <c r="J37" s="8">
        <f t="shared" si="1"/>
        <v>0</v>
      </c>
      <c r="K37" s="8"/>
      <c r="L37" s="8"/>
      <c r="M37" s="8">
        <f t="shared" si="2"/>
        <v>0</v>
      </c>
      <c r="N37" s="8">
        <f t="shared" si="3"/>
        <v>0</v>
      </c>
      <c r="O37" s="8"/>
      <c r="P37" s="8">
        <v>16.904</v>
      </c>
      <c r="Q37" s="8">
        <v>12.699</v>
      </c>
      <c r="R37" s="9">
        <v>19.0</v>
      </c>
      <c r="S37" s="8">
        <f t="shared" si="4"/>
        <v>0</v>
      </c>
      <c r="T37" s="10"/>
      <c r="U37" s="10"/>
      <c r="V37" s="10"/>
      <c r="W37" s="11"/>
      <c r="X37" s="12">
        <f t="shared" si="5"/>
        <v>0</v>
      </c>
      <c r="Y37" s="12">
        <f t="shared" si="6"/>
        <v>0</v>
      </c>
      <c r="Z37" s="13"/>
      <c r="AA37" s="13"/>
      <c r="AB37" s="13"/>
      <c r="AC37" s="13"/>
      <c r="AD37" s="13"/>
    </row>
    <row r="38" ht="14.25" customHeight="1">
      <c r="A38" s="8">
        <v>37.0</v>
      </c>
      <c r="B38" s="8" t="s">
        <v>25</v>
      </c>
      <c r="C38" s="8" t="s">
        <v>62</v>
      </c>
      <c r="D38" s="8"/>
      <c r="E38" s="8"/>
      <c r="F38" s="8"/>
      <c r="G38" s="8"/>
      <c r="H38" s="8"/>
      <c r="I38" s="8"/>
      <c r="J38" s="8">
        <f t="shared" si="1"/>
        <v>0</v>
      </c>
      <c r="K38" s="8"/>
      <c r="L38" s="8"/>
      <c r="M38" s="8">
        <f t="shared" si="2"/>
        <v>0</v>
      </c>
      <c r="N38" s="8">
        <f t="shared" si="3"/>
        <v>0</v>
      </c>
      <c r="O38" s="8"/>
      <c r="P38" s="8">
        <v>16.904</v>
      </c>
      <c r="Q38" s="8">
        <v>12.699</v>
      </c>
      <c r="R38" s="9">
        <v>19.0</v>
      </c>
      <c r="S38" s="8">
        <f t="shared" si="4"/>
        <v>0</v>
      </c>
      <c r="T38" s="10"/>
      <c r="U38" s="10"/>
      <c r="V38" s="10"/>
      <c r="W38" s="11"/>
      <c r="X38" s="12">
        <f t="shared" si="5"/>
        <v>0</v>
      </c>
      <c r="Y38" s="12">
        <f t="shared" si="6"/>
        <v>0</v>
      </c>
      <c r="Z38" s="13"/>
      <c r="AA38" s="13"/>
      <c r="AB38" s="13"/>
      <c r="AC38" s="13"/>
      <c r="AD38" s="13"/>
    </row>
    <row r="39" ht="14.25" customHeight="1">
      <c r="A39" s="8">
        <v>38.0</v>
      </c>
      <c r="B39" s="8" t="s">
        <v>25</v>
      </c>
      <c r="C39" s="8" t="s">
        <v>63</v>
      </c>
      <c r="D39" s="8"/>
      <c r="E39" s="8"/>
      <c r="F39" s="8"/>
      <c r="G39" s="8"/>
      <c r="H39" s="8"/>
      <c r="I39" s="8"/>
      <c r="J39" s="8">
        <f t="shared" si="1"/>
        <v>0</v>
      </c>
      <c r="K39" s="8"/>
      <c r="L39" s="8"/>
      <c r="M39" s="8">
        <f t="shared" si="2"/>
        <v>0</v>
      </c>
      <c r="N39" s="8">
        <f t="shared" si="3"/>
        <v>0</v>
      </c>
      <c r="O39" s="8"/>
      <c r="P39" s="8">
        <v>16.904</v>
      </c>
      <c r="Q39" s="8">
        <v>12.699</v>
      </c>
      <c r="R39" s="9">
        <v>19.0</v>
      </c>
      <c r="S39" s="8">
        <f t="shared" si="4"/>
        <v>0</v>
      </c>
      <c r="T39" s="10"/>
      <c r="U39" s="10"/>
      <c r="V39" s="10"/>
      <c r="W39" s="11"/>
      <c r="X39" s="12">
        <f t="shared" si="5"/>
        <v>0</v>
      </c>
      <c r="Y39" s="12">
        <f t="shared" si="6"/>
        <v>0</v>
      </c>
      <c r="Z39" s="13"/>
      <c r="AA39" s="13"/>
      <c r="AB39" s="13"/>
      <c r="AC39" s="13"/>
      <c r="AD39" s="13"/>
    </row>
    <row r="40" ht="14.25" customHeight="1">
      <c r="A40" s="8">
        <v>39.0</v>
      </c>
      <c r="B40" s="8" t="s">
        <v>25</v>
      </c>
      <c r="C40" s="8" t="s">
        <v>64</v>
      </c>
      <c r="D40" s="8"/>
      <c r="E40" s="8"/>
      <c r="F40" s="8"/>
      <c r="G40" s="8"/>
      <c r="H40" s="8"/>
      <c r="I40" s="8"/>
      <c r="J40" s="8">
        <f t="shared" si="1"/>
        <v>0</v>
      </c>
      <c r="K40" s="8"/>
      <c r="L40" s="8"/>
      <c r="M40" s="8">
        <f t="shared" si="2"/>
        <v>0</v>
      </c>
      <c r="N40" s="8">
        <f t="shared" si="3"/>
        <v>0</v>
      </c>
      <c r="O40" s="8"/>
      <c r="P40" s="8">
        <v>16.904</v>
      </c>
      <c r="Q40" s="8">
        <v>12.699</v>
      </c>
      <c r="R40" s="9">
        <v>19.0</v>
      </c>
      <c r="S40" s="8">
        <f t="shared" si="4"/>
        <v>0</v>
      </c>
      <c r="T40" s="10"/>
      <c r="U40" s="10"/>
      <c r="V40" s="10"/>
      <c r="W40" s="11"/>
      <c r="X40" s="12">
        <f t="shared" si="5"/>
        <v>0</v>
      </c>
      <c r="Y40" s="12">
        <f t="shared" si="6"/>
        <v>0</v>
      </c>
      <c r="Z40" s="13"/>
      <c r="AA40" s="13"/>
      <c r="AB40" s="13"/>
      <c r="AC40" s="13"/>
      <c r="AD40" s="13"/>
    </row>
    <row r="41" ht="14.25" customHeight="1">
      <c r="A41" s="8">
        <v>40.0</v>
      </c>
      <c r="B41" s="8" t="s">
        <v>25</v>
      </c>
      <c r="C41" s="8" t="s">
        <v>65</v>
      </c>
      <c r="D41" s="8"/>
      <c r="E41" s="8"/>
      <c r="F41" s="8"/>
      <c r="G41" s="8"/>
      <c r="H41" s="8"/>
      <c r="I41" s="8"/>
      <c r="J41" s="8">
        <f t="shared" si="1"/>
        <v>0</v>
      </c>
      <c r="K41" s="8"/>
      <c r="L41" s="8"/>
      <c r="M41" s="8">
        <f t="shared" si="2"/>
        <v>0</v>
      </c>
      <c r="N41" s="8">
        <f t="shared" si="3"/>
        <v>0</v>
      </c>
      <c r="O41" s="8"/>
      <c r="P41" s="8">
        <v>16.904</v>
      </c>
      <c r="Q41" s="8">
        <v>12.699</v>
      </c>
      <c r="R41" s="9">
        <v>19.0</v>
      </c>
      <c r="S41" s="8">
        <f t="shared" si="4"/>
        <v>0</v>
      </c>
      <c r="T41" s="10"/>
      <c r="U41" s="10"/>
      <c r="V41" s="10"/>
      <c r="W41" s="11"/>
      <c r="X41" s="12">
        <f t="shared" si="5"/>
        <v>0</v>
      </c>
      <c r="Y41" s="12">
        <f t="shared" si="6"/>
        <v>0</v>
      </c>
      <c r="Z41" s="13"/>
      <c r="AA41" s="13"/>
      <c r="AB41" s="13"/>
      <c r="AC41" s="13"/>
      <c r="AD41" s="13"/>
    </row>
    <row r="42" ht="14.25" customHeight="1">
      <c r="A42" s="8">
        <v>41.0</v>
      </c>
      <c r="B42" s="8" t="s">
        <v>25</v>
      </c>
      <c r="C42" s="8" t="s">
        <v>66</v>
      </c>
      <c r="D42" s="8"/>
      <c r="E42" s="8"/>
      <c r="F42" s="8"/>
      <c r="G42" s="8"/>
      <c r="H42" s="8"/>
      <c r="I42" s="8"/>
      <c r="J42" s="8">
        <f t="shared" si="1"/>
        <v>0</v>
      </c>
      <c r="K42" s="8"/>
      <c r="L42" s="8"/>
      <c r="M42" s="8">
        <f t="shared" si="2"/>
        <v>0</v>
      </c>
      <c r="N42" s="8">
        <f t="shared" si="3"/>
        <v>0</v>
      </c>
      <c r="O42" s="8"/>
      <c r="P42" s="8">
        <v>16.904</v>
      </c>
      <c r="Q42" s="8">
        <v>12.699</v>
      </c>
      <c r="R42" s="9">
        <v>19.0</v>
      </c>
      <c r="S42" s="8">
        <f t="shared" si="4"/>
        <v>0</v>
      </c>
      <c r="T42" s="10"/>
      <c r="U42" s="10"/>
      <c r="V42" s="10"/>
      <c r="W42" s="11"/>
      <c r="X42" s="12">
        <f t="shared" si="5"/>
        <v>0</v>
      </c>
      <c r="Y42" s="12">
        <f t="shared" si="6"/>
        <v>0</v>
      </c>
      <c r="Z42" s="13"/>
      <c r="AA42" s="13"/>
      <c r="AB42" s="13"/>
      <c r="AC42" s="13"/>
      <c r="AD42" s="13"/>
    </row>
    <row r="43" ht="14.25" customHeight="1">
      <c r="A43" s="8">
        <v>42.0</v>
      </c>
      <c r="B43" s="8" t="s">
        <v>25</v>
      </c>
      <c r="C43" s="8" t="s">
        <v>67</v>
      </c>
      <c r="D43" s="8"/>
      <c r="E43" s="8"/>
      <c r="F43" s="8"/>
      <c r="G43" s="8"/>
      <c r="H43" s="8"/>
      <c r="I43" s="8"/>
      <c r="J43" s="8">
        <f t="shared" si="1"/>
        <v>0</v>
      </c>
      <c r="K43" s="8"/>
      <c r="L43" s="8"/>
      <c r="M43" s="8">
        <f t="shared" si="2"/>
        <v>0</v>
      </c>
      <c r="N43" s="8">
        <f t="shared" si="3"/>
        <v>0</v>
      </c>
      <c r="O43" s="8"/>
      <c r="P43" s="8">
        <v>16.904</v>
      </c>
      <c r="Q43" s="8">
        <v>12.699</v>
      </c>
      <c r="R43" s="9">
        <v>19.0</v>
      </c>
      <c r="S43" s="8">
        <f t="shared" si="4"/>
        <v>0</v>
      </c>
      <c r="T43" s="10"/>
      <c r="U43" s="10"/>
      <c r="V43" s="10"/>
      <c r="W43" s="11"/>
      <c r="X43" s="12">
        <f t="shared" si="5"/>
        <v>0</v>
      </c>
      <c r="Y43" s="12">
        <f t="shared" si="6"/>
        <v>0</v>
      </c>
      <c r="Z43" s="13"/>
      <c r="AA43" s="13"/>
      <c r="AB43" s="13"/>
      <c r="AC43" s="13"/>
      <c r="AD43" s="13"/>
    </row>
    <row r="44" ht="14.25" customHeight="1">
      <c r="A44" s="8">
        <v>43.0</v>
      </c>
      <c r="B44" s="8" t="s">
        <v>25</v>
      </c>
      <c r="C44" s="8" t="s">
        <v>68</v>
      </c>
      <c r="D44" s="8"/>
      <c r="E44" s="8"/>
      <c r="F44" s="8"/>
      <c r="G44" s="8"/>
      <c r="H44" s="8"/>
      <c r="I44" s="8"/>
      <c r="J44" s="8">
        <f t="shared" si="1"/>
        <v>0</v>
      </c>
      <c r="K44" s="8"/>
      <c r="L44" s="8"/>
      <c r="M44" s="8">
        <f t="shared" si="2"/>
        <v>0</v>
      </c>
      <c r="N44" s="8">
        <f t="shared" si="3"/>
        <v>0</v>
      </c>
      <c r="O44" s="8"/>
      <c r="P44" s="8">
        <v>16.904</v>
      </c>
      <c r="Q44" s="8">
        <v>12.699</v>
      </c>
      <c r="R44" s="9">
        <v>19.0</v>
      </c>
      <c r="S44" s="8">
        <f t="shared" si="4"/>
        <v>0</v>
      </c>
      <c r="T44" s="10"/>
      <c r="U44" s="10"/>
      <c r="V44" s="10"/>
      <c r="W44" s="11"/>
      <c r="X44" s="12">
        <f t="shared" si="5"/>
        <v>0</v>
      </c>
      <c r="Y44" s="12">
        <f t="shared" si="6"/>
        <v>0</v>
      </c>
      <c r="Z44" s="13"/>
      <c r="AA44" s="13"/>
      <c r="AB44" s="13"/>
      <c r="AC44" s="13"/>
      <c r="AD44" s="13"/>
    </row>
    <row r="45" ht="14.25" customHeight="1">
      <c r="A45" s="8">
        <v>44.0</v>
      </c>
      <c r="B45" s="8" t="s">
        <v>25</v>
      </c>
      <c r="C45" s="8" t="s">
        <v>69</v>
      </c>
      <c r="D45" s="8"/>
      <c r="E45" s="8"/>
      <c r="F45" s="8"/>
      <c r="G45" s="8"/>
      <c r="H45" s="8"/>
      <c r="I45" s="8"/>
      <c r="J45" s="8">
        <f t="shared" si="1"/>
        <v>0</v>
      </c>
      <c r="K45" s="8"/>
      <c r="L45" s="8"/>
      <c r="M45" s="8">
        <f t="shared" si="2"/>
        <v>0</v>
      </c>
      <c r="N45" s="8">
        <f t="shared" si="3"/>
        <v>0</v>
      </c>
      <c r="O45" s="8"/>
      <c r="P45" s="8">
        <v>16.904</v>
      </c>
      <c r="Q45" s="8">
        <v>12.699</v>
      </c>
      <c r="R45" s="9">
        <v>19.0</v>
      </c>
      <c r="S45" s="8">
        <f t="shared" si="4"/>
        <v>0</v>
      </c>
      <c r="T45" s="10"/>
      <c r="U45" s="10"/>
      <c r="V45" s="10"/>
      <c r="W45" s="11"/>
      <c r="X45" s="12">
        <f t="shared" si="5"/>
        <v>0</v>
      </c>
      <c r="Y45" s="12">
        <f t="shared" si="6"/>
        <v>0</v>
      </c>
      <c r="Z45" s="13"/>
      <c r="AA45" s="13"/>
      <c r="AB45" s="13"/>
      <c r="AC45" s="13"/>
      <c r="AD45" s="13"/>
    </row>
    <row r="46" ht="14.25" customHeight="1">
      <c r="A46" s="8">
        <v>45.0</v>
      </c>
      <c r="B46" s="8" t="s">
        <v>25</v>
      </c>
      <c r="C46" s="8" t="s">
        <v>70</v>
      </c>
      <c r="D46" s="8"/>
      <c r="E46" s="8"/>
      <c r="F46" s="8"/>
      <c r="G46" s="8"/>
      <c r="H46" s="8"/>
      <c r="I46" s="8"/>
      <c r="J46" s="8">
        <f t="shared" si="1"/>
        <v>0</v>
      </c>
      <c r="K46" s="8"/>
      <c r="L46" s="8"/>
      <c r="M46" s="8">
        <f t="shared" si="2"/>
        <v>0</v>
      </c>
      <c r="N46" s="8">
        <f t="shared" si="3"/>
        <v>0</v>
      </c>
      <c r="O46" s="8"/>
      <c r="P46" s="8">
        <v>16.904</v>
      </c>
      <c r="Q46" s="8">
        <v>12.699</v>
      </c>
      <c r="R46" s="9">
        <v>19.0</v>
      </c>
      <c r="S46" s="8">
        <f t="shared" si="4"/>
        <v>0</v>
      </c>
      <c r="T46" s="10"/>
      <c r="U46" s="10"/>
      <c r="V46" s="10"/>
      <c r="W46" s="11"/>
      <c r="X46" s="12">
        <f t="shared" si="5"/>
        <v>0</v>
      </c>
      <c r="Y46" s="12">
        <f t="shared" si="6"/>
        <v>0</v>
      </c>
      <c r="Z46" s="13"/>
      <c r="AA46" s="13"/>
      <c r="AB46" s="13"/>
      <c r="AC46" s="13"/>
      <c r="AD46" s="13"/>
    </row>
    <row r="47" ht="14.25" customHeight="1">
      <c r="A47" s="8">
        <v>46.0</v>
      </c>
      <c r="B47" s="8" t="s">
        <v>25</v>
      </c>
      <c r="C47" s="8" t="s">
        <v>71</v>
      </c>
      <c r="D47" s="8"/>
      <c r="E47" s="8"/>
      <c r="F47" s="8"/>
      <c r="G47" s="8"/>
      <c r="H47" s="8"/>
      <c r="I47" s="8"/>
      <c r="J47" s="8">
        <f t="shared" si="1"/>
        <v>0</v>
      </c>
      <c r="K47" s="8"/>
      <c r="L47" s="8"/>
      <c r="M47" s="8">
        <f t="shared" si="2"/>
        <v>0</v>
      </c>
      <c r="N47" s="8">
        <f t="shared" si="3"/>
        <v>0</v>
      </c>
      <c r="O47" s="8"/>
      <c r="P47" s="8">
        <v>16.904</v>
      </c>
      <c r="Q47" s="8">
        <v>12.699</v>
      </c>
      <c r="R47" s="9">
        <v>19.0</v>
      </c>
      <c r="S47" s="8">
        <f t="shared" si="4"/>
        <v>0</v>
      </c>
      <c r="T47" s="10"/>
      <c r="U47" s="10"/>
      <c r="V47" s="10"/>
      <c r="W47" s="11"/>
      <c r="X47" s="12">
        <f t="shared" si="5"/>
        <v>0</v>
      </c>
      <c r="Y47" s="12">
        <f t="shared" si="6"/>
        <v>0</v>
      </c>
      <c r="Z47" s="13"/>
      <c r="AA47" s="13"/>
      <c r="AB47" s="13"/>
      <c r="AC47" s="13"/>
      <c r="AD47" s="13"/>
    </row>
    <row r="48" ht="14.25" customHeight="1">
      <c r="A48" s="8">
        <v>47.0</v>
      </c>
      <c r="B48" s="8" t="s">
        <v>25</v>
      </c>
      <c r="C48" s="8" t="s">
        <v>72</v>
      </c>
      <c r="D48" s="8"/>
      <c r="E48" s="8"/>
      <c r="F48" s="8"/>
      <c r="G48" s="8"/>
      <c r="H48" s="8"/>
      <c r="I48" s="8"/>
      <c r="J48" s="8">
        <f t="shared" si="1"/>
        <v>0</v>
      </c>
      <c r="K48" s="8"/>
      <c r="L48" s="8"/>
      <c r="M48" s="8">
        <f t="shared" si="2"/>
        <v>0</v>
      </c>
      <c r="N48" s="8">
        <f t="shared" si="3"/>
        <v>0</v>
      </c>
      <c r="O48" s="8"/>
      <c r="P48" s="8">
        <v>16.904</v>
      </c>
      <c r="Q48" s="8">
        <v>12.699</v>
      </c>
      <c r="R48" s="9">
        <v>19.0</v>
      </c>
      <c r="S48" s="8">
        <f t="shared" si="4"/>
        <v>0</v>
      </c>
      <c r="T48" s="10"/>
      <c r="U48" s="10"/>
      <c r="V48" s="10"/>
      <c r="W48" s="11"/>
      <c r="X48" s="12">
        <f t="shared" si="5"/>
        <v>0</v>
      </c>
      <c r="Y48" s="12">
        <f t="shared" si="6"/>
        <v>0</v>
      </c>
      <c r="Z48" s="13"/>
      <c r="AA48" s="13"/>
      <c r="AB48" s="13"/>
      <c r="AC48" s="13"/>
      <c r="AD48" s="13"/>
    </row>
    <row r="49" ht="14.25" customHeight="1">
      <c r="A49" s="8">
        <v>48.0</v>
      </c>
      <c r="B49" s="8" t="s">
        <v>25</v>
      </c>
      <c r="C49" s="8" t="s">
        <v>73</v>
      </c>
      <c r="D49" s="8"/>
      <c r="E49" s="8"/>
      <c r="F49" s="8"/>
      <c r="G49" s="8"/>
      <c r="H49" s="8"/>
      <c r="I49" s="8"/>
      <c r="J49" s="8">
        <f t="shared" si="1"/>
        <v>0</v>
      </c>
      <c r="K49" s="8"/>
      <c r="L49" s="8"/>
      <c r="M49" s="8">
        <f t="shared" si="2"/>
        <v>0</v>
      </c>
      <c r="N49" s="8">
        <f t="shared" si="3"/>
        <v>0</v>
      </c>
      <c r="O49" s="8"/>
      <c r="P49" s="8">
        <v>16.904</v>
      </c>
      <c r="Q49" s="8">
        <v>12.699</v>
      </c>
      <c r="R49" s="9">
        <v>19.0</v>
      </c>
      <c r="S49" s="8">
        <f t="shared" si="4"/>
        <v>0</v>
      </c>
      <c r="T49" s="10"/>
      <c r="U49" s="10"/>
      <c r="V49" s="10"/>
      <c r="W49" s="11"/>
      <c r="X49" s="12">
        <f t="shared" si="5"/>
        <v>0</v>
      </c>
      <c r="Y49" s="12">
        <f t="shared" si="6"/>
        <v>0</v>
      </c>
      <c r="Z49" s="13"/>
      <c r="AA49" s="13"/>
      <c r="AB49" s="13"/>
      <c r="AC49" s="13"/>
      <c r="AD49" s="13"/>
    </row>
    <row r="50" ht="14.25" customHeight="1">
      <c r="A50" s="8">
        <v>49.0</v>
      </c>
      <c r="B50" s="8" t="s">
        <v>25</v>
      </c>
      <c r="C50" s="8" t="s">
        <v>74</v>
      </c>
      <c r="D50" s="8"/>
      <c r="E50" s="8"/>
      <c r="F50" s="8"/>
      <c r="G50" s="8"/>
      <c r="H50" s="8"/>
      <c r="I50" s="8"/>
      <c r="J50" s="8">
        <f t="shared" si="1"/>
        <v>0</v>
      </c>
      <c r="K50" s="8"/>
      <c r="L50" s="8"/>
      <c r="M50" s="8">
        <f t="shared" si="2"/>
        <v>0</v>
      </c>
      <c r="N50" s="8">
        <f t="shared" si="3"/>
        <v>0</v>
      </c>
      <c r="O50" s="8"/>
      <c r="P50" s="8">
        <v>16.904</v>
      </c>
      <c r="Q50" s="8">
        <v>12.699</v>
      </c>
      <c r="R50" s="9">
        <v>19.0</v>
      </c>
      <c r="S50" s="8">
        <f t="shared" si="4"/>
        <v>0</v>
      </c>
      <c r="T50" s="10"/>
      <c r="U50" s="10"/>
      <c r="V50" s="10"/>
      <c r="W50" s="11"/>
      <c r="X50" s="12">
        <f t="shared" si="5"/>
        <v>0</v>
      </c>
      <c r="Y50" s="12">
        <f t="shared" si="6"/>
        <v>0</v>
      </c>
      <c r="Z50" s="13"/>
      <c r="AA50" s="13"/>
      <c r="AB50" s="13"/>
      <c r="AC50" s="13"/>
      <c r="AD50" s="13"/>
    </row>
    <row r="51" ht="14.25" customHeight="1">
      <c r="A51" s="8">
        <v>50.0</v>
      </c>
      <c r="B51" s="8" t="s">
        <v>25</v>
      </c>
      <c r="C51" s="8" t="s">
        <v>75</v>
      </c>
      <c r="D51" s="8"/>
      <c r="E51" s="8"/>
      <c r="F51" s="8"/>
      <c r="G51" s="8"/>
      <c r="H51" s="8"/>
      <c r="I51" s="8"/>
      <c r="J51" s="8">
        <f t="shared" si="1"/>
        <v>0</v>
      </c>
      <c r="K51" s="8"/>
      <c r="L51" s="8"/>
      <c r="M51" s="8">
        <f t="shared" si="2"/>
        <v>0</v>
      </c>
      <c r="N51" s="8">
        <f t="shared" si="3"/>
        <v>0</v>
      </c>
      <c r="O51" s="8"/>
      <c r="P51" s="8">
        <v>16.904</v>
      </c>
      <c r="Q51" s="8">
        <v>12.699</v>
      </c>
      <c r="R51" s="9">
        <v>19.0</v>
      </c>
      <c r="S51" s="8">
        <f t="shared" si="4"/>
        <v>0</v>
      </c>
      <c r="T51" s="10"/>
      <c r="U51" s="10"/>
      <c r="V51" s="10"/>
      <c r="W51" s="11"/>
      <c r="X51" s="12">
        <f t="shared" si="5"/>
        <v>0</v>
      </c>
      <c r="Y51" s="12">
        <f t="shared" si="6"/>
        <v>0</v>
      </c>
      <c r="Z51" s="13"/>
      <c r="AA51" s="13"/>
      <c r="AB51" s="13"/>
      <c r="AC51" s="13"/>
      <c r="AD51" s="13"/>
    </row>
    <row r="52" ht="14.25" customHeight="1">
      <c r="A52" s="8">
        <v>51.0</v>
      </c>
      <c r="B52" s="8" t="s">
        <v>25</v>
      </c>
      <c r="C52" s="8" t="s">
        <v>76</v>
      </c>
      <c r="D52" s="8"/>
      <c r="E52" s="8"/>
      <c r="F52" s="8"/>
      <c r="G52" s="8"/>
      <c r="H52" s="8"/>
      <c r="I52" s="8"/>
      <c r="J52" s="8">
        <f t="shared" si="1"/>
        <v>0</v>
      </c>
      <c r="K52" s="8"/>
      <c r="L52" s="8"/>
      <c r="M52" s="8">
        <f t="shared" si="2"/>
        <v>0</v>
      </c>
      <c r="N52" s="8">
        <f t="shared" si="3"/>
        <v>0</v>
      </c>
      <c r="O52" s="8"/>
      <c r="P52" s="8">
        <v>16.904</v>
      </c>
      <c r="Q52" s="8">
        <v>12.699</v>
      </c>
      <c r="R52" s="9">
        <v>19.0</v>
      </c>
      <c r="S52" s="8">
        <f t="shared" si="4"/>
        <v>0</v>
      </c>
      <c r="T52" s="10"/>
      <c r="U52" s="10"/>
      <c r="V52" s="10"/>
      <c r="W52" s="11"/>
      <c r="X52" s="12">
        <f t="shared" si="5"/>
        <v>0</v>
      </c>
      <c r="Y52" s="12">
        <f t="shared" si="6"/>
        <v>0</v>
      </c>
      <c r="Z52" s="13"/>
      <c r="AA52" s="13"/>
      <c r="AB52" s="13"/>
      <c r="AC52" s="13"/>
      <c r="AD52" s="13"/>
    </row>
    <row r="53" ht="14.25" customHeight="1">
      <c r="A53" s="8">
        <v>52.0</v>
      </c>
      <c r="B53" s="8" t="s">
        <v>25</v>
      </c>
      <c r="C53" s="8" t="s">
        <v>77</v>
      </c>
      <c r="D53" s="8"/>
      <c r="E53" s="8"/>
      <c r="F53" s="8"/>
      <c r="G53" s="8"/>
      <c r="H53" s="8"/>
      <c r="I53" s="8"/>
      <c r="J53" s="8">
        <f t="shared" si="1"/>
        <v>0</v>
      </c>
      <c r="K53" s="8"/>
      <c r="L53" s="8"/>
      <c r="M53" s="8">
        <f t="shared" si="2"/>
        <v>0</v>
      </c>
      <c r="N53" s="8">
        <f t="shared" si="3"/>
        <v>0</v>
      </c>
      <c r="O53" s="8"/>
      <c r="P53" s="8">
        <v>16.904</v>
      </c>
      <c r="Q53" s="8">
        <v>12.699</v>
      </c>
      <c r="R53" s="9">
        <v>19.0</v>
      </c>
      <c r="S53" s="8">
        <f t="shared" si="4"/>
        <v>0</v>
      </c>
      <c r="T53" s="10"/>
      <c r="U53" s="10"/>
      <c r="V53" s="10"/>
      <c r="W53" s="11"/>
      <c r="X53" s="12">
        <f t="shared" si="5"/>
        <v>0</v>
      </c>
      <c r="Y53" s="12">
        <f t="shared" si="6"/>
        <v>0</v>
      </c>
      <c r="Z53" s="13"/>
      <c r="AA53" s="13"/>
      <c r="AB53" s="13"/>
      <c r="AC53" s="13"/>
      <c r="AD53" s="13"/>
    </row>
    <row r="54" ht="14.25" customHeight="1">
      <c r="A54" s="8">
        <v>53.0</v>
      </c>
      <c r="B54" s="8" t="s">
        <v>25</v>
      </c>
      <c r="C54" s="8" t="s">
        <v>78</v>
      </c>
      <c r="D54" s="8"/>
      <c r="E54" s="8"/>
      <c r="F54" s="8"/>
      <c r="G54" s="8"/>
      <c r="H54" s="8"/>
      <c r="I54" s="8"/>
      <c r="J54" s="8">
        <f t="shared" si="1"/>
        <v>0</v>
      </c>
      <c r="K54" s="8"/>
      <c r="L54" s="8"/>
      <c r="M54" s="8">
        <f t="shared" si="2"/>
        <v>0</v>
      </c>
      <c r="N54" s="8">
        <f t="shared" si="3"/>
        <v>0</v>
      </c>
      <c r="O54" s="8"/>
      <c r="P54" s="8">
        <v>16.904</v>
      </c>
      <c r="Q54" s="8">
        <v>12.699</v>
      </c>
      <c r="R54" s="9">
        <v>19.0</v>
      </c>
      <c r="S54" s="8">
        <f t="shared" si="4"/>
        <v>0</v>
      </c>
      <c r="T54" s="10"/>
      <c r="U54" s="10"/>
      <c r="V54" s="10"/>
      <c r="W54" s="11"/>
      <c r="X54" s="12">
        <f t="shared" si="5"/>
        <v>0</v>
      </c>
      <c r="Y54" s="12">
        <f t="shared" si="6"/>
        <v>0</v>
      </c>
      <c r="Z54" s="13"/>
      <c r="AA54" s="13"/>
      <c r="AB54" s="13"/>
      <c r="AC54" s="13"/>
      <c r="AD54" s="13"/>
    </row>
    <row r="55" ht="14.25" customHeight="1">
      <c r="A55" s="8">
        <v>54.0</v>
      </c>
      <c r="B55" s="8" t="s">
        <v>25</v>
      </c>
      <c r="C55" s="8" t="s">
        <v>79</v>
      </c>
      <c r="D55" s="8"/>
      <c r="E55" s="8"/>
      <c r="F55" s="8"/>
      <c r="G55" s="8"/>
      <c r="H55" s="8"/>
      <c r="I55" s="8"/>
      <c r="J55" s="8">
        <f t="shared" si="1"/>
        <v>0</v>
      </c>
      <c r="K55" s="8"/>
      <c r="L55" s="8"/>
      <c r="M55" s="8">
        <f t="shared" si="2"/>
        <v>0</v>
      </c>
      <c r="N55" s="8">
        <f t="shared" si="3"/>
        <v>0</v>
      </c>
      <c r="O55" s="8"/>
      <c r="P55" s="8">
        <v>16.904</v>
      </c>
      <c r="Q55" s="8">
        <v>12.699</v>
      </c>
      <c r="R55" s="9">
        <v>19.0</v>
      </c>
      <c r="S55" s="8">
        <f t="shared" si="4"/>
        <v>0</v>
      </c>
      <c r="T55" s="10"/>
      <c r="U55" s="10"/>
      <c r="V55" s="10"/>
      <c r="W55" s="11"/>
      <c r="X55" s="12">
        <f t="shared" si="5"/>
        <v>0</v>
      </c>
      <c r="Y55" s="12">
        <f t="shared" si="6"/>
        <v>0</v>
      </c>
      <c r="Z55" s="13"/>
      <c r="AA55" s="13"/>
      <c r="AB55" s="13"/>
      <c r="AC55" s="13"/>
      <c r="AD55" s="13"/>
    </row>
    <row r="56" ht="14.25" customHeight="1">
      <c r="A56" s="8">
        <v>55.0</v>
      </c>
      <c r="B56" s="8" t="s">
        <v>25</v>
      </c>
      <c r="C56" s="8" t="s">
        <v>80</v>
      </c>
      <c r="D56" s="8"/>
      <c r="E56" s="8"/>
      <c r="F56" s="8"/>
      <c r="G56" s="8"/>
      <c r="H56" s="8"/>
      <c r="I56" s="8"/>
      <c r="J56" s="8">
        <f t="shared" si="1"/>
        <v>0</v>
      </c>
      <c r="K56" s="8"/>
      <c r="L56" s="8"/>
      <c r="M56" s="8">
        <f t="shared" si="2"/>
        <v>0</v>
      </c>
      <c r="N56" s="8">
        <f t="shared" si="3"/>
        <v>0</v>
      </c>
      <c r="O56" s="8"/>
      <c r="P56" s="8">
        <v>16.904</v>
      </c>
      <c r="Q56" s="8">
        <v>12.699</v>
      </c>
      <c r="R56" s="9">
        <v>19.0</v>
      </c>
      <c r="S56" s="8">
        <f t="shared" si="4"/>
        <v>0</v>
      </c>
      <c r="T56" s="10"/>
      <c r="U56" s="10"/>
      <c r="V56" s="10"/>
      <c r="W56" s="11"/>
      <c r="X56" s="12">
        <f t="shared" si="5"/>
        <v>0</v>
      </c>
      <c r="Y56" s="12">
        <f t="shared" si="6"/>
        <v>0</v>
      </c>
      <c r="Z56" s="13"/>
      <c r="AA56" s="13"/>
      <c r="AB56" s="13"/>
      <c r="AC56" s="13"/>
      <c r="AD56" s="13"/>
    </row>
    <row r="57" ht="14.25" customHeight="1">
      <c r="A57" s="8">
        <v>56.0</v>
      </c>
      <c r="B57" s="8" t="s">
        <v>25</v>
      </c>
      <c r="C57" s="8" t="s">
        <v>81</v>
      </c>
      <c r="D57" s="8"/>
      <c r="E57" s="8"/>
      <c r="F57" s="8"/>
      <c r="G57" s="8"/>
      <c r="H57" s="8"/>
      <c r="I57" s="8"/>
      <c r="J57" s="8">
        <f t="shared" si="1"/>
        <v>0</v>
      </c>
      <c r="K57" s="8"/>
      <c r="L57" s="8"/>
      <c r="M57" s="8">
        <f t="shared" si="2"/>
        <v>0</v>
      </c>
      <c r="N57" s="8">
        <f t="shared" si="3"/>
        <v>0</v>
      </c>
      <c r="O57" s="8"/>
      <c r="P57" s="8">
        <v>16.904</v>
      </c>
      <c r="Q57" s="8">
        <v>12.699</v>
      </c>
      <c r="R57" s="9">
        <v>19.0</v>
      </c>
      <c r="S57" s="8">
        <f t="shared" si="4"/>
        <v>0</v>
      </c>
      <c r="T57" s="10"/>
      <c r="U57" s="10"/>
      <c r="V57" s="10"/>
      <c r="W57" s="11"/>
      <c r="X57" s="12">
        <f t="shared" si="5"/>
        <v>0</v>
      </c>
      <c r="Y57" s="12">
        <f t="shared" si="6"/>
        <v>0</v>
      </c>
      <c r="Z57" s="13"/>
      <c r="AA57" s="13"/>
      <c r="AB57" s="13"/>
      <c r="AC57" s="13"/>
      <c r="AD57" s="13"/>
    </row>
    <row r="58" ht="14.25" customHeight="1">
      <c r="A58" s="8">
        <v>57.0</v>
      </c>
      <c r="B58" s="8" t="s">
        <v>25</v>
      </c>
      <c r="C58" s="8" t="s">
        <v>82</v>
      </c>
      <c r="D58" s="8"/>
      <c r="E58" s="8"/>
      <c r="F58" s="8"/>
      <c r="G58" s="8"/>
      <c r="H58" s="8"/>
      <c r="I58" s="8"/>
      <c r="J58" s="8">
        <f t="shared" si="1"/>
        <v>0</v>
      </c>
      <c r="K58" s="8"/>
      <c r="L58" s="8"/>
      <c r="M58" s="8">
        <f t="shared" si="2"/>
        <v>0</v>
      </c>
      <c r="N58" s="8">
        <f t="shared" si="3"/>
        <v>0</v>
      </c>
      <c r="O58" s="8"/>
      <c r="P58" s="8">
        <v>16.904</v>
      </c>
      <c r="Q58" s="8">
        <v>12.699</v>
      </c>
      <c r="R58" s="9">
        <v>19.0</v>
      </c>
      <c r="S58" s="8">
        <f t="shared" si="4"/>
        <v>0</v>
      </c>
      <c r="T58" s="10"/>
      <c r="U58" s="10"/>
      <c r="V58" s="10"/>
      <c r="W58" s="11"/>
      <c r="X58" s="12">
        <f t="shared" si="5"/>
        <v>0</v>
      </c>
      <c r="Y58" s="12">
        <f t="shared" si="6"/>
        <v>0</v>
      </c>
      <c r="Z58" s="13"/>
      <c r="AA58" s="13"/>
      <c r="AB58" s="13"/>
      <c r="AC58" s="13"/>
      <c r="AD58" s="13"/>
    </row>
    <row r="59" ht="14.25" customHeight="1">
      <c r="A59" s="8">
        <v>58.0</v>
      </c>
      <c r="B59" s="8" t="s">
        <v>25</v>
      </c>
      <c r="C59" s="8" t="s">
        <v>83</v>
      </c>
      <c r="D59" s="8"/>
      <c r="E59" s="8"/>
      <c r="F59" s="8"/>
      <c r="G59" s="8"/>
      <c r="H59" s="8"/>
      <c r="I59" s="8"/>
      <c r="J59" s="8">
        <f t="shared" si="1"/>
        <v>0</v>
      </c>
      <c r="K59" s="8"/>
      <c r="L59" s="8"/>
      <c r="M59" s="8">
        <f t="shared" si="2"/>
        <v>0</v>
      </c>
      <c r="N59" s="8">
        <f t="shared" si="3"/>
        <v>0</v>
      </c>
      <c r="O59" s="8"/>
      <c r="P59" s="8">
        <v>16.904</v>
      </c>
      <c r="Q59" s="8">
        <v>12.699</v>
      </c>
      <c r="R59" s="9">
        <v>19.0</v>
      </c>
      <c r="S59" s="8">
        <f t="shared" si="4"/>
        <v>0</v>
      </c>
      <c r="T59" s="10"/>
      <c r="U59" s="10"/>
      <c r="V59" s="10"/>
      <c r="W59" s="11"/>
      <c r="X59" s="12">
        <f t="shared" si="5"/>
        <v>0</v>
      </c>
      <c r="Y59" s="12">
        <f t="shared" si="6"/>
        <v>0</v>
      </c>
      <c r="Z59" s="13"/>
      <c r="AA59" s="13"/>
      <c r="AB59" s="13"/>
      <c r="AC59" s="13"/>
      <c r="AD59" s="13"/>
    </row>
    <row r="60" ht="14.25" customHeight="1">
      <c r="A60" s="8">
        <v>59.0</v>
      </c>
      <c r="B60" s="8" t="s">
        <v>25</v>
      </c>
      <c r="C60" s="8" t="s">
        <v>84</v>
      </c>
      <c r="D60" s="8"/>
      <c r="E60" s="8"/>
      <c r="F60" s="8"/>
      <c r="G60" s="8"/>
      <c r="H60" s="8"/>
      <c r="I60" s="8"/>
      <c r="J60" s="8">
        <f t="shared" si="1"/>
        <v>0</v>
      </c>
      <c r="K60" s="8"/>
      <c r="L60" s="8"/>
      <c r="M60" s="8">
        <f t="shared" si="2"/>
        <v>0</v>
      </c>
      <c r="N60" s="8">
        <f t="shared" si="3"/>
        <v>0</v>
      </c>
      <c r="O60" s="8"/>
      <c r="P60" s="8">
        <v>16.904</v>
      </c>
      <c r="Q60" s="8">
        <v>12.699</v>
      </c>
      <c r="R60" s="9">
        <v>19.0</v>
      </c>
      <c r="S60" s="8">
        <f t="shared" si="4"/>
        <v>0</v>
      </c>
      <c r="T60" s="14"/>
      <c r="U60" s="14"/>
      <c r="V60" s="14"/>
      <c r="W60" s="15"/>
      <c r="X60" s="16">
        <f t="shared" si="5"/>
        <v>0</v>
      </c>
      <c r="Y60" s="16">
        <f t="shared" si="6"/>
        <v>0</v>
      </c>
      <c r="Z60" s="13"/>
      <c r="AA60" s="13"/>
      <c r="AB60" s="13"/>
      <c r="AC60" s="13"/>
      <c r="AD60" s="13"/>
    </row>
    <row r="61" ht="14.25" customHeight="1">
      <c r="A61" s="8">
        <v>60.0</v>
      </c>
      <c r="B61" s="8" t="s">
        <v>25</v>
      </c>
      <c r="C61" s="8" t="s">
        <v>85</v>
      </c>
      <c r="D61" s="8"/>
      <c r="E61" s="8"/>
      <c r="F61" s="8"/>
      <c r="G61" s="8"/>
      <c r="H61" s="8"/>
      <c r="I61" s="8"/>
      <c r="J61" s="8">
        <f t="shared" si="1"/>
        <v>0</v>
      </c>
      <c r="K61" s="8"/>
      <c r="L61" s="8"/>
      <c r="M61" s="8">
        <f t="shared" si="2"/>
        <v>0</v>
      </c>
      <c r="N61" s="8">
        <f t="shared" si="3"/>
        <v>0</v>
      </c>
      <c r="O61" s="8"/>
      <c r="P61" s="8">
        <v>16.904</v>
      </c>
      <c r="Q61" s="8">
        <v>12.699</v>
      </c>
      <c r="R61" s="9">
        <v>19.0</v>
      </c>
      <c r="S61" s="8">
        <f t="shared" si="4"/>
        <v>0</v>
      </c>
      <c r="T61" s="17"/>
      <c r="U61" s="17"/>
      <c r="V61" s="17"/>
      <c r="W61" s="17"/>
      <c r="X61" s="18">
        <f t="shared" si="5"/>
        <v>0</v>
      </c>
      <c r="Y61" s="18">
        <f t="shared" si="6"/>
        <v>0</v>
      </c>
      <c r="Z61" s="13"/>
      <c r="AA61" s="13"/>
      <c r="AB61" s="13"/>
      <c r="AC61" s="13"/>
      <c r="AD61" s="13"/>
    </row>
    <row r="62" ht="14.25" customHeight="1">
      <c r="A62" s="7"/>
      <c r="B62" s="13"/>
      <c r="C62" s="13"/>
      <c r="D62" s="19" t="s">
        <v>86</v>
      </c>
      <c r="E62" s="19">
        <f>SUM(N:N)</f>
        <v>0</v>
      </c>
      <c r="F62" s="20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 ht="14.25" customHeight="1">
      <c r="A63" s="7"/>
      <c r="B63" s="13"/>
      <c r="C63" s="13"/>
      <c r="D63" s="19" t="s">
        <v>87</v>
      </c>
      <c r="E63" s="19">
        <f>SUM(S:S)</f>
        <v>0</v>
      </c>
      <c r="F63" s="20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 ht="14.25" customHeight="1">
      <c r="A64" s="7"/>
      <c r="B64" s="13"/>
      <c r="C64" s="13"/>
      <c r="D64" s="19" t="s">
        <v>88</v>
      </c>
      <c r="E64" s="19" t="str">
        <f>E62/E63</f>
        <v>#DIV/0!</v>
      </c>
      <c r="F64" s="20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</row>
    <row r="65" ht="14.25" customHeight="1">
      <c r="A65" s="7"/>
      <c r="B65" s="13"/>
      <c r="C65" s="13"/>
      <c r="D65" s="21"/>
      <c r="E65" s="7"/>
      <c r="F65" s="7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 ht="14.25" customHeight="1">
      <c r="A66" s="7"/>
      <c r="B66" s="13"/>
      <c r="C66" s="13"/>
      <c r="D66" s="22" t="s">
        <v>89</v>
      </c>
      <c r="E66" s="22" t="str">
        <f>AVERAGEIF(S:S,"&gt;0",S:S)</f>
        <v>#DIV/0!</v>
      </c>
      <c r="F66" s="7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 ht="14.25" customHeight="1">
      <c r="A67" s="7"/>
      <c r="B67" s="13"/>
      <c r="C67" s="13"/>
      <c r="D67" s="7"/>
      <c r="E67" s="7"/>
      <c r="F67" s="7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</row>
    <row r="68" ht="14.25" customHeight="1">
      <c r="A68" s="7"/>
      <c r="B68" s="13"/>
      <c r="C68" s="13"/>
      <c r="D68" s="23" t="s">
        <v>90</v>
      </c>
      <c r="E68" s="24">
        <f>SUM(H:H)</f>
        <v>0</v>
      </c>
      <c r="F68" s="7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</row>
    <row r="69" ht="14.25" customHeight="1">
      <c r="A69" s="7"/>
      <c r="B69" s="13"/>
      <c r="C69" s="13"/>
      <c r="D69" s="23" t="s">
        <v>91</v>
      </c>
      <c r="E69" s="24">
        <f>SUM(I:I)</f>
        <v>0</v>
      </c>
      <c r="F69" s="7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</row>
    <row r="70" ht="14.25" customHeight="1">
      <c r="A70" s="7"/>
      <c r="B70" s="13"/>
      <c r="C70" s="13"/>
      <c r="D70" s="23" t="s">
        <v>92</v>
      </c>
      <c r="E70" s="24">
        <f>E69+E68</f>
        <v>0</v>
      </c>
      <c r="F70" s="7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</row>
    <row r="71" ht="14.25" customHeight="1">
      <c r="A71" s="7"/>
      <c r="B71" s="13"/>
      <c r="C71" s="13"/>
      <c r="D71" s="7"/>
      <c r="E71" s="7"/>
      <c r="F71" s="7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</row>
    <row r="72" ht="14.25" customHeight="1">
      <c r="A72" s="7"/>
      <c r="B72" s="13"/>
      <c r="C72" s="13"/>
      <c r="D72" s="25" t="s">
        <v>93</v>
      </c>
      <c r="E72" s="26">
        <f>SUM(J:J)</f>
        <v>0</v>
      </c>
      <c r="F72" s="7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</row>
    <row r="73" ht="14.25" customHeight="1">
      <c r="A73" s="7"/>
      <c r="B73" s="13"/>
      <c r="C73" s="13"/>
      <c r="D73" s="25" t="s">
        <v>94</v>
      </c>
      <c r="E73" s="26">
        <f>SUM(K:K)</f>
        <v>0</v>
      </c>
      <c r="F73" s="7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</row>
    <row r="74" ht="14.25" customHeight="1">
      <c r="A74" s="7"/>
      <c r="B74" s="13"/>
      <c r="C74" s="13"/>
      <c r="D74" s="25" t="s">
        <v>95</v>
      </c>
      <c r="E74" s="26">
        <f>E73+E72</f>
        <v>0</v>
      </c>
      <c r="F74" s="7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</row>
    <row r="75" ht="14.25" customHeight="1">
      <c r="A75" s="7"/>
      <c r="B75" s="13"/>
      <c r="C75" s="13"/>
      <c r="D75" s="7"/>
      <c r="E75" s="7"/>
      <c r="F75" s="7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</row>
    <row r="76" ht="14.25" customHeight="1">
      <c r="A76" s="7"/>
      <c r="B76" s="13"/>
      <c r="C76" s="13"/>
      <c r="D76" s="27" t="s">
        <v>11</v>
      </c>
      <c r="E76" s="28">
        <f t="shared" ref="E76:E77" si="7">E72+E68</f>
        <v>0</v>
      </c>
      <c r="F76" s="7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</row>
    <row r="77" ht="14.25" customHeight="1">
      <c r="A77" s="7"/>
      <c r="B77" s="13"/>
      <c r="C77" s="13"/>
      <c r="D77" s="27" t="s">
        <v>12</v>
      </c>
      <c r="E77" s="28">
        <f t="shared" si="7"/>
        <v>0</v>
      </c>
      <c r="F77" s="7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</row>
    <row r="78" ht="14.25" customHeight="1">
      <c r="A78" s="7"/>
      <c r="B78" s="13"/>
      <c r="C78" s="13"/>
      <c r="D78" s="21"/>
      <c r="E78" s="21"/>
      <c r="F78" s="21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</row>
    <row r="79" ht="14.25" customHeight="1">
      <c r="A79" s="7"/>
      <c r="B79" s="13"/>
      <c r="C79" s="13"/>
      <c r="D79" s="21"/>
      <c r="E79" s="21"/>
      <c r="F79" s="21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</row>
    <row r="80" ht="14.25" customHeight="1">
      <c r="A80" s="7"/>
      <c r="B80" s="13"/>
      <c r="C80" s="13"/>
      <c r="D80" s="21"/>
      <c r="E80" s="21"/>
      <c r="F80" s="21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</row>
    <row r="81" ht="14.25" customHeight="1">
      <c r="A81" s="7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</row>
    <row r="82" ht="14.25" customHeight="1">
      <c r="A82" s="7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</row>
    <row r="83" ht="14.25" customHeight="1">
      <c r="A83" s="7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</row>
    <row r="84" ht="14.25" customHeight="1">
      <c r="A84" s="7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</row>
    <row r="85" ht="14.25" customHeight="1">
      <c r="A85" s="7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</row>
    <row r="86" ht="14.25" customHeight="1">
      <c r="A86" s="7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</row>
    <row r="87" ht="14.25" customHeight="1">
      <c r="A87" s="7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</row>
    <row r="88" ht="14.25" customHeight="1">
      <c r="A88" s="7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</row>
    <row r="89" ht="14.25" customHeight="1">
      <c r="A89" s="7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</row>
    <row r="90" ht="14.25" customHeight="1">
      <c r="A90" s="7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</row>
    <row r="91" ht="14.25" customHeight="1">
      <c r="A91" s="7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</row>
    <row r="92" ht="14.25" customHeight="1">
      <c r="A92" s="7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</row>
    <row r="93" ht="14.25" customHeight="1">
      <c r="A93" s="7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</row>
    <row r="94" ht="14.25" customHeight="1">
      <c r="A94" s="7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</row>
    <row r="95" ht="14.25" customHeight="1">
      <c r="A95" s="7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</row>
    <row r="96" ht="14.25" customHeight="1">
      <c r="A96" s="7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</row>
    <row r="97" ht="14.25" customHeight="1">
      <c r="A97" s="7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</row>
    <row r="98" ht="14.25" customHeight="1">
      <c r="A98" s="7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</row>
    <row r="99" ht="14.25" customHeight="1">
      <c r="A99" s="7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</row>
    <row r="100" ht="14.25" customHeight="1">
      <c r="A100" s="7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</row>
    <row r="101" ht="14.25" customHeight="1">
      <c r="A101" s="7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</row>
    <row r="102" ht="14.25" customHeight="1">
      <c r="A102" s="7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</row>
    <row r="103" ht="14.25" customHeight="1">
      <c r="A103" s="7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</row>
    <row r="104" ht="14.25" customHeight="1">
      <c r="A104" s="7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 ht="14.25" customHeight="1">
      <c r="A105" s="7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</row>
    <row r="106" ht="14.25" customHeight="1">
      <c r="A106" s="7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</row>
    <row r="107" ht="14.25" customHeight="1">
      <c r="A107" s="7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</row>
    <row r="108" ht="14.25" customHeight="1">
      <c r="A108" s="7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</row>
    <row r="109" ht="14.25" customHeight="1">
      <c r="A109" s="7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</row>
    <row r="110" ht="14.25" customHeight="1">
      <c r="A110" s="7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</row>
    <row r="111" ht="14.25" customHeight="1">
      <c r="A111" s="7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</row>
    <row r="112" ht="14.25" customHeight="1">
      <c r="A112" s="7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</row>
    <row r="113" ht="14.25" customHeight="1">
      <c r="A113" s="7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</row>
    <row r="114" ht="14.25" customHeight="1">
      <c r="A114" s="7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</row>
    <row r="115" ht="14.25" customHeight="1">
      <c r="A115" s="7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</row>
    <row r="116" ht="14.25" customHeight="1">
      <c r="A116" s="7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</row>
    <row r="117" ht="14.25" customHeight="1">
      <c r="A117" s="7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</row>
    <row r="118" ht="14.25" customHeight="1">
      <c r="A118" s="7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</row>
    <row r="119" ht="14.25" customHeight="1">
      <c r="A119" s="7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</row>
    <row r="120" ht="14.25" customHeight="1">
      <c r="A120" s="7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</row>
    <row r="121" ht="14.25" customHeight="1">
      <c r="A121" s="7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</row>
    <row r="122" ht="14.25" customHeight="1">
      <c r="A122" s="7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</row>
    <row r="123" ht="14.25" customHeight="1">
      <c r="A123" s="7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</row>
    <row r="124" ht="14.25" customHeight="1">
      <c r="A124" s="7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</row>
    <row r="125" ht="14.25" customHeight="1">
      <c r="A125" s="7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</row>
    <row r="126" ht="14.25" customHeight="1">
      <c r="A126" s="7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</row>
    <row r="127" ht="14.25" customHeight="1">
      <c r="A127" s="7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</row>
    <row r="128" ht="14.25" customHeight="1">
      <c r="A128" s="7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</row>
    <row r="129" ht="14.25" customHeight="1">
      <c r="A129" s="7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</row>
    <row r="130" ht="14.25" customHeight="1">
      <c r="A130" s="7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</row>
    <row r="131" ht="14.25" customHeight="1">
      <c r="A131" s="7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</row>
    <row r="132" ht="14.25" customHeight="1">
      <c r="A132" s="7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</row>
    <row r="133" ht="14.25" customHeight="1">
      <c r="A133" s="7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</row>
    <row r="134" ht="14.25" customHeight="1">
      <c r="A134" s="7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</row>
    <row r="135" ht="14.25" customHeight="1">
      <c r="A135" s="7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</row>
    <row r="136" ht="14.25" customHeight="1">
      <c r="A136" s="7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</row>
    <row r="137" ht="14.25" customHeight="1">
      <c r="A137" s="7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</row>
    <row r="138" ht="14.25" customHeight="1">
      <c r="A138" s="7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</row>
    <row r="139" ht="14.25" customHeight="1">
      <c r="A139" s="7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</row>
    <row r="140" ht="14.25" customHeight="1">
      <c r="A140" s="7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</row>
    <row r="141" ht="14.25" customHeight="1">
      <c r="A141" s="7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</row>
    <row r="142" ht="14.25" customHeight="1">
      <c r="A142" s="7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</row>
    <row r="143" ht="14.25" customHeight="1">
      <c r="A143" s="7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</row>
    <row r="144" ht="14.25" customHeight="1">
      <c r="A144" s="7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</row>
    <row r="145" ht="14.25" customHeight="1">
      <c r="A145" s="7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</row>
    <row r="146" ht="14.25" customHeight="1">
      <c r="A146" s="7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</row>
    <row r="147" ht="14.25" customHeight="1">
      <c r="A147" s="7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</row>
    <row r="148" ht="14.25" customHeight="1">
      <c r="A148" s="7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</row>
    <row r="149" ht="14.25" customHeight="1">
      <c r="A149" s="7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</row>
    <row r="150" ht="14.25" customHeight="1">
      <c r="A150" s="7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</row>
    <row r="151" ht="14.25" customHeight="1">
      <c r="A151" s="7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</row>
    <row r="152" ht="14.25" customHeight="1">
      <c r="A152" s="7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</row>
    <row r="153" ht="14.25" customHeight="1">
      <c r="A153" s="7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</row>
    <row r="154" ht="14.25" customHeight="1">
      <c r="A154" s="7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</row>
    <row r="155" ht="14.25" customHeight="1">
      <c r="A155" s="7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</row>
    <row r="156" ht="14.25" customHeight="1">
      <c r="A156" s="7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</row>
    <row r="157" ht="14.25" customHeight="1">
      <c r="A157" s="7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</row>
    <row r="158" ht="14.25" customHeight="1">
      <c r="A158" s="7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</row>
    <row r="159" ht="14.25" customHeight="1">
      <c r="A159" s="7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</row>
    <row r="160" ht="14.25" customHeight="1">
      <c r="A160" s="7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</row>
    <row r="161" ht="14.25" customHeight="1">
      <c r="A161" s="7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</row>
    <row r="162" ht="14.25" customHeight="1">
      <c r="A162" s="7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</row>
    <row r="163" ht="14.25" customHeight="1">
      <c r="A163" s="7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</row>
    <row r="164" ht="14.25" customHeight="1">
      <c r="A164" s="7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</row>
    <row r="165" ht="14.25" customHeight="1">
      <c r="A165" s="7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</row>
    <row r="166" ht="14.25" customHeight="1">
      <c r="A166" s="7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</row>
    <row r="167" ht="14.25" customHeight="1">
      <c r="A167" s="7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</row>
    <row r="168" ht="14.25" customHeight="1">
      <c r="A168" s="7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</row>
    <row r="169" ht="14.25" customHeight="1">
      <c r="A169" s="7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</row>
    <row r="170" ht="14.25" customHeight="1">
      <c r="A170" s="7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</row>
    <row r="171" ht="14.25" customHeight="1">
      <c r="A171" s="7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</row>
    <row r="172" ht="14.25" customHeight="1">
      <c r="A172" s="7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</row>
    <row r="173" ht="14.25" customHeight="1">
      <c r="A173" s="7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</row>
    <row r="174" ht="14.25" customHeight="1">
      <c r="A174" s="7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</row>
    <row r="175" ht="14.25" customHeight="1">
      <c r="A175" s="7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</row>
    <row r="176" ht="14.25" customHeight="1">
      <c r="A176" s="7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</row>
    <row r="177" ht="14.25" customHeight="1">
      <c r="A177" s="7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</row>
    <row r="178" ht="14.25" customHeight="1">
      <c r="A178" s="7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</row>
    <row r="179" ht="14.25" customHeight="1">
      <c r="A179" s="7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</row>
    <row r="180" ht="14.25" customHeight="1">
      <c r="A180" s="7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</row>
    <row r="181" ht="14.25" customHeight="1">
      <c r="A181" s="7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</row>
    <row r="182" ht="14.25" customHeight="1">
      <c r="A182" s="7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</row>
    <row r="183" ht="14.25" customHeight="1">
      <c r="A183" s="7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</row>
    <row r="184" ht="14.25" customHeight="1">
      <c r="A184" s="7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</row>
    <row r="185" ht="14.25" customHeight="1">
      <c r="A185" s="7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</row>
    <row r="186" ht="14.25" customHeight="1">
      <c r="A186" s="7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</row>
    <row r="187" ht="14.25" customHeight="1">
      <c r="A187" s="7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</row>
    <row r="188" ht="14.25" customHeight="1">
      <c r="A188" s="7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</row>
    <row r="189" ht="14.25" customHeight="1">
      <c r="A189" s="7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</row>
    <row r="190" ht="14.25" customHeight="1">
      <c r="A190" s="7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</row>
    <row r="191" ht="14.25" customHeight="1">
      <c r="A191" s="7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</row>
    <row r="192" ht="14.25" customHeight="1">
      <c r="A192" s="7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</row>
    <row r="193" ht="14.25" customHeight="1">
      <c r="A193" s="7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</row>
    <row r="194" ht="14.25" customHeight="1">
      <c r="A194" s="7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</row>
    <row r="195" ht="14.25" customHeight="1">
      <c r="A195" s="7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</row>
    <row r="196" ht="14.25" customHeight="1">
      <c r="A196" s="7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</row>
    <row r="197" ht="14.25" customHeight="1">
      <c r="A197" s="7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</row>
    <row r="198" ht="14.25" customHeight="1">
      <c r="A198" s="7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</row>
    <row r="199" ht="14.25" customHeight="1">
      <c r="A199" s="7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</row>
    <row r="200" ht="14.25" customHeight="1">
      <c r="A200" s="7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</row>
    <row r="201" ht="14.25" customHeight="1">
      <c r="A201" s="7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</row>
    <row r="202" ht="14.25" customHeight="1">
      <c r="A202" s="7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</row>
    <row r="203" ht="14.25" customHeight="1">
      <c r="A203" s="7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</row>
    <row r="204" ht="14.25" customHeight="1">
      <c r="A204" s="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</row>
    <row r="205" ht="14.25" customHeight="1">
      <c r="A205" s="7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</row>
    <row r="206" ht="14.25" customHeight="1">
      <c r="A206" s="7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</row>
    <row r="207" ht="14.25" customHeight="1">
      <c r="A207" s="7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</row>
    <row r="208" ht="14.25" customHeight="1">
      <c r="A208" s="7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</row>
    <row r="209" ht="14.25" customHeight="1">
      <c r="A209" s="7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</row>
    <row r="210" ht="14.25" customHeight="1">
      <c r="A210" s="7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</row>
    <row r="211" ht="14.25" customHeight="1">
      <c r="A211" s="7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</row>
    <row r="212" ht="14.25" customHeight="1">
      <c r="A212" s="7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</row>
    <row r="213" ht="14.25" customHeight="1">
      <c r="A213" s="7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</row>
    <row r="214" ht="14.25" customHeight="1">
      <c r="A214" s="7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</row>
    <row r="215" ht="14.25" customHeight="1">
      <c r="A215" s="7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</row>
    <row r="216" ht="14.25" customHeight="1">
      <c r="A216" s="7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</row>
    <row r="217" ht="14.25" customHeight="1">
      <c r="A217" s="7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</row>
    <row r="218" ht="14.25" customHeight="1">
      <c r="A218" s="7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</row>
    <row r="219" ht="14.25" customHeight="1">
      <c r="A219" s="7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</row>
    <row r="220" ht="14.25" customHeight="1">
      <c r="A220" s="7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</row>
    <row r="221" ht="14.25" customHeight="1">
      <c r="A221" s="7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</row>
    <row r="222" ht="14.25" customHeight="1">
      <c r="A222" s="7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</row>
    <row r="223" ht="14.25" customHeight="1">
      <c r="A223" s="7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</row>
    <row r="224" ht="14.25" customHeight="1">
      <c r="A224" s="7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</row>
    <row r="225" ht="14.25" customHeight="1">
      <c r="A225" s="7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</row>
    <row r="226" ht="14.25" customHeight="1">
      <c r="A226" s="7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</row>
    <row r="227" ht="14.25" customHeight="1">
      <c r="A227" s="7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</row>
    <row r="228" ht="14.25" customHeight="1">
      <c r="A228" s="7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</row>
    <row r="229" ht="14.25" customHeight="1">
      <c r="A229" s="7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</row>
    <row r="230" ht="14.25" customHeight="1">
      <c r="A230" s="7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</row>
    <row r="231" ht="14.25" customHeight="1">
      <c r="A231" s="7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</row>
    <row r="232" ht="14.25" customHeight="1">
      <c r="A232" s="7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</row>
    <row r="233" ht="14.25" customHeight="1">
      <c r="A233" s="7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</row>
    <row r="234" ht="14.25" customHeight="1">
      <c r="A234" s="7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</row>
    <row r="235" ht="14.25" customHeight="1">
      <c r="A235" s="7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</row>
    <row r="236" ht="14.25" customHeight="1">
      <c r="A236" s="7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</row>
    <row r="237" ht="14.25" customHeight="1">
      <c r="A237" s="7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</row>
    <row r="238" ht="14.25" customHeight="1">
      <c r="A238" s="7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</row>
    <row r="239" ht="14.25" customHeight="1">
      <c r="A239" s="7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</row>
    <row r="240" ht="14.25" customHeight="1">
      <c r="A240" s="7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</row>
    <row r="241" ht="14.25" customHeight="1">
      <c r="A241" s="7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</row>
    <row r="242" ht="14.25" customHeight="1">
      <c r="A242" s="7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</row>
    <row r="243" ht="14.25" customHeight="1">
      <c r="A243" s="7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</row>
    <row r="244" ht="14.25" customHeight="1">
      <c r="A244" s="7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</row>
    <row r="245" ht="14.25" customHeight="1">
      <c r="A245" s="7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</row>
    <row r="246" ht="14.25" customHeight="1">
      <c r="A246" s="7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</row>
    <row r="247" ht="14.25" customHeight="1">
      <c r="A247" s="7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</row>
    <row r="248" ht="14.25" customHeight="1">
      <c r="A248" s="7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</row>
    <row r="249" ht="14.25" customHeight="1">
      <c r="A249" s="7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</row>
    <row r="250" ht="14.25" customHeight="1">
      <c r="A250" s="7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</row>
    <row r="251" ht="14.25" customHeight="1">
      <c r="A251" s="7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</row>
    <row r="252" ht="14.25" customHeight="1">
      <c r="A252" s="7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</row>
    <row r="253" ht="14.25" customHeight="1">
      <c r="A253" s="7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</row>
    <row r="254" ht="14.25" customHeight="1">
      <c r="A254" s="7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</row>
    <row r="255" ht="14.25" customHeight="1">
      <c r="A255" s="7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</row>
    <row r="256" ht="14.25" customHeight="1">
      <c r="A256" s="7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</row>
    <row r="257" ht="14.25" customHeight="1">
      <c r="A257" s="7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</row>
    <row r="258" ht="14.25" customHeight="1">
      <c r="A258" s="7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</row>
    <row r="259" ht="14.25" customHeight="1">
      <c r="A259" s="7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</row>
    <row r="260" ht="14.25" customHeight="1">
      <c r="A260" s="7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</row>
    <row r="261" ht="14.25" customHeight="1">
      <c r="A261" s="7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</row>
    <row r="262" ht="14.25" customHeight="1">
      <c r="A262" s="7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</row>
    <row r="263" ht="14.25" customHeight="1">
      <c r="A263" s="7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</row>
    <row r="264" ht="14.25" customHeight="1">
      <c r="A264" s="7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</row>
    <row r="265" ht="14.25" customHeight="1">
      <c r="A265" s="7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</row>
    <row r="266" ht="14.25" customHeight="1">
      <c r="A266" s="7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</row>
    <row r="267" ht="14.25" customHeight="1">
      <c r="A267" s="7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</row>
    <row r="268" ht="14.25" customHeight="1">
      <c r="A268" s="7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</row>
    <row r="269" ht="14.25" customHeight="1">
      <c r="A269" s="7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</row>
    <row r="270" ht="14.25" customHeight="1">
      <c r="A270" s="7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</row>
    <row r="271" ht="14.25" customHeight="1">
      <c r="A271" s="7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</row>
    <row r="272" ht="14.25" customHeight="1">
      <c r="A272" s="7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</row>
    <row r="273" ht="14.25" customHeight="1">
      <c r="A273" s="7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</row>
    <row r="274" ht="14.25" customHeight="1">
      <c r="A274" s="7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</row>
    <row r="275" ht="14.25" customHeight="1">
      <c r="A275" s="7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</row>
    <row r="276" ht="14.25" customHeight="1">
      <c r="A276" s="7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</row>
    <row r="277" ht="14.25" customHeight="1">
      <c r="A277" s="7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29" t="s">
        <v>15</v>
      </c>
      <c r="P1" s="29" t="s">
        <v>16</v>
      </c>
      <c r="Q1" s="29" t="s">
        <v>18</v>
      </c>
      <c r="R1" s="30" t="s">
        <v>19</v>
      </c>
      <c r="S1" s="31" t="s">
        <v>20</v>
      </c>
      <c r="T1" s="31" t="s">
        <v>21</v>
      </c>
      <c r="U1" s="5" t="s">
        <v>22</v>
      </c>
      <c r="V1" s="6" t="s">
        <v>23</v>
      </c>
      <c r="W1" s="6" t="s">
        <v>24</v>
      </c>
      <c r="X1" s="7"/>
      <c r="Y1" s="7"/>
      <c r="Z1" s="7"/>
      <c r="AA1" s="7"/>
      <c r="AB1" s="7"/>
    </row>
    <row r="2" ht="14.25" customHeight="1">
      <c r="A2" s="8">
        <v>1.0</v>
      </c>
      <c r="B2" s="8" t="s">
        <v>25</v>
      </c>
      <c r="C2" s="32" t="s">
        <v>26</v>
      </c>
      <c r="D2" s="33">
        <v>7.0</v>
      </c>
      <c r="E2" s="33">
        <v>7.0</v>
      </c>
      <c r="F2" s="8"/>
      <c r="G2" s="34">
        <v>83.0</v>
      </c>
      <c r="H2" s="8"/>
      <c r="I2" s="8">
        <f t="shared" ref="I2:I61" si="1">max(0,K2-G2)</f>
        <v>56</v>
      </c>
      <c r="J2" s="35"/>
      <c r="K2" s="36">
        <v>139.0</v>
      </c>
      <c r="L2" s="8">
        <f t="shared" ref="L2:L61" si="2">J2+H2</f>
        <v>0</v>
      </c>
      <c r="M2" s="8">
        <f t="shared" ref="M2:M61" si="3">G2+H2+I2+J2</f>
        <v>139</v>
      </c>
      <c r="N2" s="37"/>
      <c r="O2" s="38">
        <v>16.904</v>
      </c>
      <c r="P2" s="39">
        <v>12.699</v>
      </c>
      <c r="Q2" s="39">
        <f t="shared" ref="Q2:Q61" si="4">(D2*O2)+(E2*P2)</f>
        <v>207.221</v>
      </c>
      <c r="R2" s="40">
        <v>504082.0</v>
      </c>
      <c r="S2" s="41">
        <v>504175.0</v>
      </c>
      <c r="T2" s="41">
        <v>504175.0</v>
      </c>
      <c r="U2" s="41">
        <v>504.0</v>
      </c>
      <c r="V2" s="12">
        <f t="shared" ref="V2:V61" si="5">S2-R2</f>
        <v>93</v>
      </c>
      <c r="W2" s="12">
        <f t="shared" ref="W2:W61" si="6">U2-T2</f>
        <v>-503671</v>
      </c>
      <c r="X2" s="42"/>
      <c r="Y2" s="42"/>
      <c r="Z2" s="42"/>
      <c r="AA2" s="42"/>
      <c r="AB2" s="42"/>
    </row>
    <row r="3" ht="14.25" customHeight="1">
      <c r="A3" s="8">
        <v>2.0</v>
      </c>
      <c r="B3" s="8" t="s">
        <v>25</v>
      </c>
      <c r="C3" s="32" t="s">
        <v>27</v>
      </c>
      <c r="D3" s="33">
        <v>7.0</v>
      </c>
      <c r="E3" s="33">
        <v>7.0</v>
      </c>
      <c r="F3" s="8"/>
      <c r="G3" s="34">
        <v>55.0</v>
      </c>
      <c r="H3" s="8"/>
      <c r="I3" s="8">
        <f t="shared" si="1"/>
        <v>88</v>
      </c>
      <c r="J3" s="35"/>
      <c r="K3" s="36">
        <v>143.0</v>
      </c>
      <c r="L3" s="8">
        <f t="shared" si="2"/>
        <v>0</v>
      </c>
      <c r="M3" s="8">
        <f t="shared" si="3"/>
        <v>143</v>
      </c>
      <c r="N3" s="37"/>
      <c r="O3" s="38">
        <v>16.904</v>
      </c>
      <c r="P3" s="39">
        <v>12.699</v>
      </c>
      <c r="Q3" s="39">
        <f t="shared" si="4"/>
        <v>207.221</v>
      </c>
      <c r="R3" s="40">
        <v>506560.0</v>
      </c>
      <c r="S3" s="41">
        <v>506650.0</v>
      </c>
      <c r="T3" s="41">
        <v>506650.0</v>
      </c>
      <c r="U3" s="41">
        <v>506.0</v>
      </c>
      <c r="V3" s="12">
        <f t="shared" si="5"/>
        <v>90</v>
      </c>
      <c r="W3" s="12">
        <f t="shared" si="6"/>
        <v>-506144</v>
      </c>
      <c r="X3" s="42"/>
      <c r="Y3" s="42"/>
      <c r="Z3" s="42"/>
      <c r="AA3" s="42"/>
      <c r="AB3" s="42"/>
    </row>
    <row r="4" ht="14.25" customHeight="1">
      <c r="A4" s="8">
        <v>3.0</v>
      </c>
      <c r="B4" s="8" t="s">
        <v>25</v>
      </c>
      <c r="C4" s="32" t="s">
        <v>28</v>
      </c>
      <c r="D4" s="33">
        <v>6.0</v>
      </c>
      <c r="E4" s="33">
        <v>6.0</v>
      </c>
      <c r="F4" s="8"/>
      <c r="G4" s="34">
        <v>53.0</v>
      </c>
      <c r="H4" s="8"/>
      <c r="I4" s="8">
        <f t="shared" si="1"/>
        <v>47</v>
      </c>
      <c r="J4" s="35"/>
      <c r="K4" s="36">
        <v>100.0</v>
      </c>
      <c r="L4" s="8">
        <f t="shared" si="2"/>
        <v>0</v>
      </c>
      <c r="M4" s="8">
        <f t="shared" si="3"/>
        <v>100</v>
      </c>
      <c r="N4" s="37"/>
      <c r="O4" s="38">
        <v>16.904</v>
      </c>
      <c r="P4" s="39">
        <v>12.699</v>
      </c>
      <c r="Q4" s="39">
        <f t="shared" si="4"/>
        <v>177.618</v>
      </c>
      <c r="R4" s="40">
        <v>512438.0</v>
      </c>
      <c r="S4" s="41">
        <v>512528.0</v>
      </c>
      <c r="T4" s="41">
        <v>512528.0</v>
      </c>
      <c r="U4" s="41">
        <v>512.0</v>
      </c>
      <c r="V4" s="12">
        <f t="shared" si="5"/>
        <v>90</v>
      </c>
      <c r="W4" s="12">
        <f t="shared" si="6"/>
        <v>-512016</v>
      </c>
      <c r="X4" s="42"/>
      <c r="Y4" s="42"/>
      <c r="Z4" s="42"/>
      <c r="AA4" s="42"/>
      <c r="AB4" s="42"/>
    </row>
    <row r="5" ht="14.25" customHeight="1">
      <c r="A5" s="8">
        <v>4.0</v>
      </c>
      <c r="B5" s="8" t="s">
        <v>25</v>
      </c>
      <c r="C5" s="32" t="s">
        <v>29</v>
      </c>
      <c r="D5" s="33">
        <v>7.0</v>
      </c>
      <c r="E5" s="33">
        <v>7.0</v>
      </c>
      <c r="F5" s="8"/>
      <c r="G5" s="34">
        <v>48.0</v>
      </c>
      <c r="H5" s="8"/>
      <c r="I5" s="8">
        <f t="shared" si="1"/>
        <v>72</v>
      </c>
      <c r="J5" s="35"/>
      <c r="K5" s="36">
        <v>120.0</v>
      </c>
      <c r="L5" s="8">
        <f t="shared" si="2"/>
        <v>0</v>
      </c>
      <c r="M5" s="8">
        <f t="shared" si="3"/>
        <v>120</v>
      </c>
      <c r="N5" s="37"/>
      <c r="O5" s="38">
        <v>16.904</v>
      </c>
      <c r="P5" s="39">
        <v>12.699</v>
      </c>
      <c r="Q5" s="39">
        <f t="shared" si="4"/>
        <v>207.221</v>
      </c>
      <c r="R5" s="41">
        <v>201833.0</v>
      </c>
      <c r="S5" s="41">
        <v>201923.0</v>
      </c>
      <c r="T5" s="41">
        <v>201923.0</v>
      </c>
      <c r="U5" s="41">
        <v>201.0</v>
      </c>
      <c r="V5" s="12">
        <f t="shared" si="5"/>
        <v>90</v>
      </c>
      <c r="W5" s="12">
        <f t="shared" si="6"/>
        <v>-201722</v>
      </c>
      <c r="X5" s="42"/>
      <c r="Y5" s="42"/>
      <c r="Z5" s="42"/>
      <c r="AA5" s="42"/>
      <c r="AB5" s="42"/>
    </row>
    <row r="6" ht="14.25" customHeight="1">
      <c r="A6" s="8">
        <v>5.0</v>
      </c>
      <c r="B6" s="43" t="s">
        <v>25</v>
      </c>
      <c r="C6" s="44" t="s">
        <v>30</v>
      </c>
      <c r="D6" s="45"/>
      <c r="E6" s="45"/>
      <c r="F6" s="43"/>
      <c r="G6" s="43"/>
      <c r="H6" s="43"/>
      <c r="I6" s="43">
        <f t="shared" si="1"/>
        <v>0</v>
      </c>
      <c r="J6" s="46"/>
      <c r="K6" s="46"/>
      <c r="L6" s="43">
        <f t="shared" si="2"/>
        <v>0</v>
      </c>
      <c r="M6" s="43">
        <f t="shared" si="3"/>
        <v>0</v>
      </c>
      <c r="N6" s="47" t="s">
        <v>96</v>
      </c>
      <c r="O6" s="48">
        <v>16.904</v>
      </c>
      <c r="P6" s="49">
        <v>12.699</v>
      </c>
      <c r="Q6" s="49">
        <f t="shared" si="4"/>
        <v>0</v>
      </c>
      <c r="R6" s="50"/>
      <c r="S6" s="50"/>
      <c r="T6" s="50"/>
      <c r="U6" s="50"/>
      <c r="V6" s="51">
        <f t="shared" si="5"/>
        <v>0</v>
      </c>
      <c r="W6" s="51">
        <f t="shared" si="6"/>
        <v>0</v>
      </c>
      <c r="X6" s="42"/>
      <c r="Y6" s="42"/>
      <c r="Z6" s="42"/>
      <c r="AA6" s="42"/>
      <c r="AB6" s="42"/>
    </row>
    <row r="7" ht="14.25" customHeight="1">
      <c r="A7" s="8">
        <v>6.0</v>
      </c>
      <c r="B7" s="8" t="s">
        <v>25</v>
      </c>
      <c r="C7" s="32" t="s">
        <v>31</v>
      </c>
      <c r="D7" s="33">
        <v>7.0</v>
      </c>
      <c r="E7" s="33">
        <v>7.0</v>
      </c>
      <c r="F7" s="8"/>
      <c r="G7" s="34">
        <v>42.0</v>
      </c>
      <c r="H7" s="8"/>
      <c r="I7" s="8">
        <f t="shared" si="1"/>
        <v>97</v>
      </c>
      <c r="J7" s="35"/>
      <c r="K7" s="36">
        <v>139.0</v>
      </c>
      <c r="L7" s="8">
        <f t="shared" si="2"/>
        <v>0</v>
      </c>
      <c r="M7" s="8">
        <f t="shared" si="3"/>
        <v>139</v>
      </c>
      <c r="N7" s="37"/>
      <c r="O7" s="38">
        <v>16.904</v>
      </c>
      <c r="P7" s="39">
        <v>12.699</v>
      </c>
      <c r="Q7" s="39">
        <f t="shared" si="4"/>
        <v>207.221</v>
      </c>
      <c r="R7" s="41">
        <v>181106.0</v>
      </c>
      <c r="S7" s="41">
        <v>181198.0</v>
      </c>
      <c r="T7" s="41">
        <v>181198.0</v>
      </c>
      <c r="U7" s="41">
        <v>181.0</v>
      </c>
      <c r="V7" s="12">
        <f t="shared" si="5"/>
        <v>92</v>
      </c>
      <c r="W7" s="12">
        <f t="shared" si="6"/>
        <v>-181017</v>
      </c>
      <c r="X7" s="42"/>
      <c r="Y7" s="42"/>
      <c r="Z7" s="42"/>
      <c r="AA7" s="42"/>
      <c r="AB7" s="42"/>
    </row>
    <row r="8" ht="14.25" customHeight="1">
      <c r="A8" s="8">
        <v>7.0</v>
      </c>
      <c r="B8" s="52" t="s">
        <v>25</v>
      </c>
      <c r="C8" s="53" t="s">
        <v>32</v>
      </c>
      <c r="D8" s="54">
        <v>5.0</v>
      </c>
      <c r="E8" s="54">
        <v>5.0</v>
      </c>
      <c r="F8" s="52"/>
      <c r="G8" s="55">
        <v>66.0</v>
      </c>
      <c r="H8" s="52"/>
      <c r="I8" s="52">
        <f t="shared" si="1"/>
        <v>78</v>
      </c>
      <c r="J8" s="56">
        <v>8.0</v>
      </c>
      <c r="K8" s="56">
        <v>144.0</v>
      </c>
      <c r="L8" s="52">
        <f t="shared" si="2"/>
        <v>8</v>
      </c>
      <c r="M8" s="52">
        <f t="shared" si="3"/>
        <v>152</v>
      </c>
      <c r="N8" s="57" t="s">
        <v>97</v>
      </c>
      <c r="O8" s="58">
        <v>16.904</v>
      </c>
      <c r="P8" s="59">
        <v>12.699</v>
      </c>
      <c r="Q8" s="59">
        <f t="shared" si="4"/>
        <v>148.015</v>
      </c>
      <c r="R8" s="60">
        <v>199298.0</v>
      </c>
      <c r="S8" s="60">
        <v>199453.0</v>
      </c>
      <c r="T8" s="60"/>
      <c r="U8" s="60"/>
      <c r="V8" s="61">
        <f t="shared" si="5"/>
        <v>155</v>
      </c>
      <c r="W8" s="61">
        <f t="shared" si="6"/>
        <v>0</v>
      </c>
      <c r="X8" s="42"/>
      <c r="Y8" s="42"/>
      <c r="Z8" s="42"/>
      <c r="AA8" s="42"/>
      <c r="AB8" s="42"/>
    </row>
    <row r="9" ht="14.25" customHeight="1">
      <c r="A9" s="8">
        <v>8.0</v>
      </c>
      <c r="B9" s="8" t="s">
        <v>25</v>
      </c>
      <c r="C9" s="32" t="s">
        <v>33</v>
      </c>
      <c r="D9" s="33">
        <v>7.0</v>
      </c>
      <c r="E9" s="33">
        <v>7.0</v>
      </c>
      <c r="F9" s="8"/>
      <c r="G9" s="34">
        <v>44.0</v>
      </c>
      <c r="H9" s="8"/>
      <c r="I9" s="8">
        <f t="shared" si="1"/>
        <v>106</v>
      </c>
      <c r="J9" s="35"/>
      <c r="K9" s="36">
        <v>150.0</v>
      </c>
      <c r="L9" s="8">
        <f t="shared" si="2"/>
        <v>0</v>
      </c>
      <c r="M9" s="8">
        <f t="shared" si="3"/>
        <v>150</v>
      </c>
      <c r="N9" s="37"/>
      <c r="O9" s="38">
        <v>16.904</v>
      </c>
      <c r="P9" s="39">
        <v>12.699</v>
      </c>
      <c r="Q9" s="39">
        <f t="shared" si="4"/>
        <v>207.221</v>
      </c>
      <c r="R9" s="41">
        <v>195178.0</v>
      </c>
      <c r="S9" s="41">
        <v>195269.0</v>
      </c>
      <c r="T9" s="41">
        <v>195269.0</v>
      </c>
      <c r="U9" s="41">
        <v>195.0</v>
      </c>
      <c r="V9" s="12">
        <f t="shared" si="5"/>
        <v>91</v>
      </c>
      <c r="W9" s="12">
        <f t="shared" si="6"/>
        <v>-195074</v>
      </c>
      <c r="X9" s="42"/>
      <c r="Y9" s="42"/>
      <c r="Z9" s="42"/>
      <c r="AA9" s="42"/>
      <c r="AB9" s="42"/>
    </row>
    <row r="10" ht="14.25" customHeight="1">
      <c r="A10" s="8">
        <v>9.0</v>
      </c>
      <c r="B10" s="8" t="s">
        <v>25</v>
      </c>
      <c r="C10" s="32" t="s">
        <v>34</v>
      </c>
      <c r="D10" s="33">
        <v>7.0</v>
      </c>
      <c r="E10" s="33">
        <v>7.0</v>
      </c>
      <c r="F10" s="8"/>
      <c r="G10" s="34">
        <v>59.0</v>
      </c>
      <c r="H10" s="8"/>
      <c r="I10" s="8">
        <f t="shared" si="1"/>
        <v>66</v>
      </c>
      <c r="J10" s="35"/>
      <c r="K10" s="36">
        <v>125.0</v>
      </c>
      <c r="L10" s="8">
        <f t="shared" si="2"/>
        <v>0</v>
      </c>
      <c r="M10" s="8">
        <f t="shared" si="3"/>
        <v>125</v>
      </c>
      <c r="N10" s="37"/>
      <c r="O10" s="38">
        <v>16.904</v>
      </c>
      <c r="P10" s="39">
        <v>12.699</v>
      </c>
      <c r="Q10" s="39">
        <f t="shared" si="4"/>
        <v>207.221</v>
      </c>
      <c r="R10" s="41">
        <v>537514.0</v>
      </c>
      <c r="S10" s="41">
        <v>537604.0</v>
      </c>
      <c r="T10" s="41">
        <v>537604.0</v>
      </c>
      <c r="U10" s="41">
        <v>537.0</v>
      </c>
      <c r="V10" s="12">
        <f t="shared" si="5"/>
        <v>90</v>
      </c>
      <c r="W10" s="12">
        <f t="shared" si="6"/>
        <v>-537067</v>
      </c>
      <c r="X10" s="42"/>
      <c r="Y10" s="42"/>
      <c r="Z10" s="42"/>
      <c r="AA10" s="42"/>
      <c r="AB10" s="42"/>
    </row>
    <row r="11" ht="14.25" customHeight="1">
      <c r="A11" s="8">
        <v>10.0</v>
      </c>
      <c r="B11" s="8" t="s">
        <v>25</v>
      </c>
      <c r="C11" s="32" t="s">
        <v>35</v>
      </c>
      <c r="D11" s="33">
        <v>7.0</v>
      </c>
      <c r="E11" s="33">
        <v>7.0</v>
      </c>
      <c r="F11" s="8"/>
      <c r="G11" s="34">
        <v>46.0</v>
      </c>
      <c r="H11" s="8"/>
      <c r="I11" s="8">
        <f t="shared" si="1"/>
        <v>94</v>
      </c>
      <c r="J11" s="35"/>
      <c r="K11" s="36">
        <v>140.0</v>
      </c>
      <c r="L11" s="8">
        <f t="shared" si="2"/>
        <v>0</v>
      </c>
      <c r="M11" s="8">
        <f t="shared" si="3"/>
        <v>140</v>
      </c>
      <c r="N11" s="37"/>
      <c r="O11" s="38">
        <v>16.904</v>
      </c>
      <c r="P11" s="39">
        <v>12.699</v>
      </c>
      <c r="Q11" s="39">
        <f t="shared" si="4"/>
        <v>207.221</v>
      </c>
      <c r="R11" s="62">
        <v>195559.0</v>
      </c>
      <c r="S11" s="41">
        <v>195649.0</v>
      </c>
      <c r="T11" s="41">
        <v>195649.0</v>
      </c>
      <c r="U11" s="41">
        <v>195.0</v>
      </c>
      <c r="V11" s="12">
        <f t="shared" si="5"/>
        <v>90</v>
      </c>
      <c r="W11" s="12">
        <f t="shared" si="6"/>
        <v>-195454</v>
      </c>
      <c r="X11" s="42"/>
      <c r="Y11" s="42"/>
      <c r="Z11" s="42"/>
      <c r="AA11" s="42"/>
      <c r="AB11" s="42"/>
    </row>
    <row r="12" ht="14.25" customHeight="1">
      <c r="A12" s="8">
        <v>11.0</v>
      </c>
      <c r="B12" s="8" t="s">
        <v>25</v>
      </c>
      <c r="C12" s="32" t="s">
        <v>36</v>
      </c>
      <c r="D12" s="33">
        <v>7.0</v>
      </c>
      <c r="E12" s="33">
        <v>7.0</v>
      </c>
      <c r="F12" s="8"/>
      <c r="G12" s="34">
        <v>74.0</v>
      </c>
      <c r="H12" s="8"/>
      <c r="I12" s="8">
        <f t="shared" si="1"/>
        <v>74</v>
      </c>
      <c r="J12" s="35"/>
      <c r="K12" s="36">
        <v>148.0</v>
      </c>
      <c r="L12" s="8">
        <f t="shared" si="2"/>
        <v>0</v>
      </c>
      <c r="M12" s="8">
        <f t="shared" si="3"/>
        <v>148</v>
      </c>
      <c r="N12" s="37"/>
      <c r="O12" s="38">
        <v>16.904</v>
      </c>
      <c r="P12" s="39">
        <v>12.699</v>
      </c>
      <c r="Q12" s="39">
        <f t="shared" si="4"/>
        <v>207.221</v>
      </c>
      <c r="R12" s="41">
        <v>586383.0</v>
      </c>
      <c r="S12" s="41">
        <v>586476.0</v>
      </c>
      <c r="T12" s="41">
        <v>586476.0</v>
      </c>
      <c r="U12" s="41">
        <v>586.0</v>
      </c>
      <c r="V12" s="12">
        <f t="shared" si="5"/>
        <v>93</v>
      </c>
      <c r="W12" s="12">
        <f t="shared" si="6"/>
        <v>-585890</v>
      </c>
      <c r="X12" s="42"/>
      <c r="Y12" s="42"/>
      <c r="Z12" s="42"/>
      <c r="AA12" s="42"/>
      <c r="AB12" s="42"/>
    </row>
    <row r="13" ht="14.25" customHeight="1">
      <c r="A13" s="8">
        <v>12.0</v>
      </c>
      <c r="B13" s="8" t="s">
        <v>25</v>
      </c>
      <c r="C13" s="32" t="s">
        <v>37</v>
      </c>
      <c r="D13" s="33">
        <v>7.0</v>
      </c>
      <c r="E13" s="33">
        <v>7.0</v>
      </c>
      <c r="F13" s="8"/>
      <c r="G13" s="34">
        <v>70.0</v>
      </c>
      <c r="H13" s="8"/>
      <c r="I13" s="8">
        <f t="shared" si="1"/>
        <v>81</v>
      </c>
      <c r="J13" s="35"/>
      <c r="K13" s="36">
        <v>151.0</v>
      </c>
      <c r="L13" s="8">
        <f t="shared" si="2"/>
        <v>0</v>
      </c>
      <c r="M13" s="8">
        <f t="shared" si="3"/>
        <v>151</v>
      </c>
      <c r="N13" s="37"/>
      <c r="O13" s="38">
        <v>16.904</v>
      </c>
      <c r="P13" s="39">
        <v>12.699</v>
      </c>
      <c r="Q13" s="39">
        <f t="shared" si="4"/>
        <v>207.221</v>
      </c>
      <c r="R13" s="41">
        <v>583238.0</v>
      </c>
      <c r="S13" s="41">
        <v>583331.0</v>
      </c>
      <c r="T13" s="41">
        <v>583331.0</v>
      </c>
      <c r="U13" s="41">
        <v>583.0</v>
      </c>
      <c r="V13" s="12">
        <f t="shared" si="5"/>
        <v>93</v>
      </c>
      <c r="W13" s="12">
        <f t="shared" si="6"/>
        <v>-582748</v>
      </c>
      <c r="X13" s="42"/>
      <c r="Y13" s="42"/>
      <c r="Z13" s="42"/>
      <c r="AA13" s="42"/>
      <c r="AB13" s="42"/>
    </row>
    <row r="14" ht="14.25" customHeight="1">
      <c r="A14" s="8">
        <v>13.0</v>
      </c>
      <c r="B14" s="8" t="s">
        <v>25</v>
      </c>
      <c r="C14" s="32" t="s">
        <v>38</v>
      </c>
      <c r="D14" s="33">
        <v>7.0</v>
      </c>
      <c r="E14" s="33">
        <v>6.0</v>
      </c>
      <c r="F14" s="8"/>
      <c r="G14" s="34">
        <v>56.0</v>
      </c>
      <c r="H14" s="8"/>
      <c r="I14" s="8">
        <f t="shared" si="1"/>
        <v>62</v>
      </c>
      <c r="J14" s="35"/>
      <c r="K14" s="36">
        <v>118.0</v>
      </c>
      <c r="L14" s="8">
        <f t="shared" si="2"/>
        <v>0</v>
      </c>
      <c r="M14" s="8">
        <f t="shared" si="3"/>
        <v>118</v>
      </c>
      <c r="N14" s="37"/>
      <c r="O14" s="38">
        <v>16.904</v>
      </c>
      <c r="P14" s="39">
        <v>12.699</v>
      </c>
      <c r="Q14" s="39">
        <f t="shared" si="4"/>
        <v>194.522</v>
      </c>
      <c r="R14" s="41">
        <v>198901.0</v>
      </c>
      <c r="S14" s="41">
        <v>198991.0</v>
      </c>
      <c r="T14" s="41">
        <v>198991.0</v>
      </c>
      <c r="U14" s="41">
        <v>198.0</v>
      </c>
      <c r="V14" s="12">
        <f t="shared" si="5"/>
        <v>90</v>
      </c>
      <c r="W14" s="12">
        <f t="shared" si="6"/>
        <v>-198793</v>
      </c>
      <c r="X14" s="42"/>
      <c r="Y14" s="42"/>
      <c r="Z14" s="42"/>
      <c r="AA14" s="42"/>
      <c r="AB14" s="42"/>
    </row>
    <row r="15" ht="14.25" customHeight="1">
      <c r="A15" s="8">
        <v>14.0</v>
      </c>
      <c r="B15" s="8" t="s">
        <v>25</v>
      </c>
      <c r="C15" s="32" t="s">
        <v>39</v>
      </c>
      <c r="D15" s="33">
        <v>7.0</v>
      </c>
      <c r="E15" s="33">
        <v>7.0</v>
      </c>
      <c r="F15" s="8"/>
      <c r="G15" s="34">
        <v>33.0</v>
      </c>
      <c r="H15" s="8"/>
      <c r="I15" s="8">
        <f t="shared" si="1"/>
        <v>97</v>
      </c>
      <c r="J15" s="35"/>
      <c r="K15" s="36">
        <v>130.0</v>
      </c>
      <c r="L15" s="8">
        <f t="shared" si="2"/>
        <v>0</v>
      </c>
      <c r="M15" s="8">
        <f t="shared" si="3"/>
        <v>130</v>
      </c>
      <c r="N15" s="37"/>
      <c r="O15" s="38">
        <v>16.904</v>
      </c>
      <c r="P15" s="39">
        <v>12.699</v>
      </c>
      <c r="Q15" s="39">
        <f t="shared" si="4"/>
        <v>207.221</v>
      </c>
      <c r="R15" s="62">
        <v>240126.0</v>
      </c>
      <c r="S15" s="41">
        <v>240216.0</v>
      </c>
      <c r="T15" s="41">
        <v>240216.0</v>
      </c>
      <c r="U15" s="41">
        <v>240.0</v>
      </c>
      <c r="V15" s="12">
        <f t="shared" si="5"/>
        <v>90</v>
      </c>
      <c r="W15" s="12">
        <f t="shared" si="6"/>
        <v>-239976</v>
      </c>
      <c r="X15" s="42"/>
      <c r="Y15" s="42"/>
      <c r="Z15" s="42"/>
      <c r="AA15" s="42"/>
      <c r="AB15" s="42"/>
    </row>
    <row r="16" ht="14.25" customHeight="1">
      <c r="A16" s="8">
        <v>15.0</v>
      </c>
      <c r="B16" s="43" t="s">
        <v>25</v>
      </c>
      <c r="C16" s="44" t="s">
        <v>40</v>
      </c>
      <c r="D16" s="45"/>
      <c r="E16" s="45"/>
      <c r="F16" s="43"/>
      <c r="G16" s="43"/>
      <c r="H16" s="43"/>
      <c r="I16" s="43">
        <f t="shared" si="1"/>
        <v>0</v>
      </c>
      <c r="J16" s="46"/>
      <c r="K16" s="46"/>
      <c r="L16" s="43">
        <f t="shared" si="2"/>
        <v>0</v>
      </c>
      <c r="M16" s="43">
        <f t="shared" si="3"/>
        <v>0</v>
      </c>
      <c r="N16" s="47" t="s">
        <v>98</v>
      </c>
      <c r="O16" s="48">
        <v>16.904</v>
      </c>
      <c r="P16" s="49">
        <v>12.699</v>
      </c>
      <c r="Q16" s="49">
        <f t="shared" si="4"/>
        <v>0</v>
      </c>
      <c r="R16" s="50"/>
      <c r="S16" s="50"/>
      <c r="T16" s="50"/>
      <c r="U16" s="50"/>
      <c r="V16" s="51">
        <f t="shared" si="5"/>
        <v>0</v>
      </c>
      <c r="W16" s="51">
        <f t="shared" si="6"/>
        <v>0</v>
      </c>
      <c r="X16" s="42"/>
      <c r="Y16" s="42"/>
      <c r="Z16" s="42"/>
      <c r="AA16" s="42"/>
      <c r="AB16" s="42"/>
    </row>
    <row r="17" ht="14.25" customHeight="1">
      <c r="A17" s="8">
        <v>16.0</v>
      </c>
      <c r="B17" s="8" t="s">
        <v>25</v>
      </c>
      <c r="C17" s="32" t="s">
        <v>41</v>
      </c>
      <c r="D17" s="33">
        <v>7.0</v>
      </c>
      <c r="E17" s="33">
        <v>7.0</v>
      </c>
      <c r="F17" s="8"/>
      <c r="G17" s="34">
        <v>63.0</v>
      </c>
      <c r="H17" s="8"/>
      <c r="I17" s="8">
        <f t="shared" si="1"/>
        <v>107</v>
      </c>
      <c r="J17" s="35"/>
      <c r="K17" s="36">
        <v>170.0</v>
      </c>
      <c r="L17" s="8">
        <f t="shared" si="2"/>
        <v>0</v>
      </c>
      <c r="M17" s="8">
        <f t="shared" si="3"/>
        <v>170</v>
      </c>
      <c r="N17" s="37"/>
      <c r="O17" s="38">
        <v>16.904</v>
      </c>
      <c r="P17" s="39">
        <v>12.699</v>
      </c>
      <c r="Q17" s="39">
        <f t="shared" si="4"/>
        <v>207.221</v>
      </c>
      <c r="R17" s="41">
        <v>176375.0</v>
      </c>
      <c r="S17" s="41">
        <v>176470.0</v>
      </c>
      <c r="T17" s="41">
        <v>176470.0</v>
      </c>
      <c r="U17" s="41">
        <v>176.0</v>
      </c>
      <c r="V17" s="12">
        <f t="shared" si="5"/>
        <v>95</v>
      </c>
      <c r="W17" s="12">
        <f t="shared" si="6"/>
        <v>-176294</v>
      </c>
      <c r="X17" s="42"/>
      <c r="Y17" s="42"/>
      <c r="Z17" s="42"/>
      <c r="AA17" s="42"/>
      <c r="AB17" s="42"/>
    </row>
    <row r="18" ht="14.25" customHeight="1">
      <c r="A18" s="8">
        <v>17.0</v>
      </c>
      <c r="B18" s="8" t="s">
        <v>25</v>
      </c>
      <c r="C18" s="32" t="s">
        <v>42</v>
      </c>
      <c r="D18" s="33">
        <v>7.0</v>
      </c>
      <c r="E18" s="33">
        <v>7.0</v>
      </c>
      <c r="F18" s="8"/>
      <c r="G18" s="34">
        <v>51.0</v>
      </c>
      <c r="H18" s="8"/>
      <c r="I18" s="8">
        <f t="shared" si="1"/>
        <v>107</v>
      </c>
      <c r="J18" s="35"/>
      <c r="K18" s="36">
        <v>158.0</v>
      </c>
      <c r="L18" s="8">
        <f t="shared" si="2"/>
        <v>0</v>
      </c>
      <c r="M18" s="8">
        <f t="shared" si="3"/>
        <v>158</v>
      </c>
      <c r="N18" s="37"/>
      <c r="O18" s="38">
        <v>16.904</v>
      </c>
      <c r="P18" s="39">
        <v>12.699</v>
      </c>
      <c r="Q18" s="39">
        <f t="shared" si="4"/>
        <v>207.221</v>
      </c>
      <c r="R18" s="41">
        <v>172286.0</v>
      </c>
      <c r="S18" s="41">
        <v>172379.0</v>
      </c>
      <c r="T18" s="41">
        <v>172379.0</v>
      </c>
      <c r="U18" s="41">
        <v>172.0</v>
      </c>
      <c r="V18" s="12">
        <f t="shared" si="5"/>
        <v>93</v>
      </c>
      <c r="W18" s="12">
        <f t="shared" si="6"/>
        <v>-172207</v>
      </c>
      <c r="X18" s="42"/>
      <c r="Y18" s="42"/>
      <c r="Z18" s="42"/>
      <c r="AA18" s="42"/>
      <c r="AB18" s="42"/>
    </row>
    <row r="19" ht="14.25" customHeight="1">
      <c r="A19" s="8">
        <v>18.0</v>
      </c>
      <c r="B19" s="43" t="s">
        <v>25</v>
      </c>
      <c r="C19" s="44" t="s">
        <v>43</v>
      </c>
      <c r="D19" s="45"/>
      <c r="E19" s="45"/>
      <c r="F19" s="43"/>
      <c r="G19" s="43"/>
      <c r="H19" s="43"/>
      <c r="I19" s="43">
        <f t="shared" si="1"/>
        <v>0</v>
      </c>
      <c r="J19" s="46"/>
      <c r="K19" s="46"/>
      <c r="L19" s="43">
        <f t="shared" si="2"/>
        <v>0</v>
      </c>
      <c r="M19" s="43">
        <f t="shared" si="3"/>
        <v>0</v>
      </c>
      <c r="N19" s="47" t="s">
        <v>98</v>
      </c>
      <c r="O19" s="48">
        <v>16.904</v>
      </c>
      <c r="P19" s="49">
        <v>12.699</v>
      </c>
      <c r="Q19" s="49">
        <f t="shared" si="4"/>
        <v>0</v>
      </c>
      <c r="R19" s="50"/>
      <c r="S19" s="50"/>
      <c r="T19" s="50"/>
      <c r="U19" s="50"/>
      <c r="V19" s="51">
        <f t="shared" si="5"/>
        <v>0</v>
      </c>
      <c r="W19" s="51">
        <f t="shared" si="6"/>
        <v>0</v>
      </c>
      <c r="X19" s="42"/>
      <c r="Y19" s="42"/>
      <c r="Z19" s="42"/>
      <c r="AA19" s="42"/>
      <c r="AB19" s="42"/>
    </row>
    <row r="20" ht="14.25" customHeight="1">
      <c r="A20" s="8">
        <v>19.0</v>
      </c>
      <c r="B20" s="8" t="s">
        <v>25</v>
      </c>
      <c r="C20" s="32" t="s">
        <v>44</v>
      </c>
      <c r="D20" s="33">
        <v>7.0</v>
      </c>
      <c r="E20" s="33">
        <v>7.0</v>
      </c>
      <c r="F20" s="8"/>
      <c r="G20" s="34">
        <v>71.0</v>
      </c>
      <c r="H20" s="8"/>
      <c r="I20" s="8">
        <f t="shared" si="1"/>
        <v>81</v>
      </c>
      <c r="J20" s="35"/>
      <c r="K20" s="36">
        <v>152.0</v>
      </c>
      <c r="L20" s="8">
        <f t="shared" si="2"/>
        <v>0</v>
      </c>
      <c r="M20" s="8">
        <f t="shared" si="3"/>
        <v>152</v>
      </c>
      <c r="N20" s="37"/>
      <c r="O20" s="38">
        <v>16.904</v>
      </c>
      <c r="P20" s="39">
        <v>12.699</v>
      </c>
      <c r="Q20" s="39">
        <f t="shared" si="4"/>
        <v>207.221</v>
      </c>
      <c r="R20" s="41">
        <v>199211.0</v>
      </c>
      <c r="S20" s="41">
        <v>199305.0</v>
      </c>
      <c r="T20" s="41">
        <v>199305.0</v>
      </c>
      <c r="U20" s="41">
        <v>199.0</v>
      </c>
      <c r="V20" s="12">
        <f t="shared" si="5"/>
        <v>94</v>
      </c>
      <c r="W20" s="12">
        <f t="shared" si="6"/>
        <v>-199106</v>
      </c>
      <c r="X20" s="42"/>
      <c r="Y20" s="42"/>
      <c r="Z20" s="42"/>
      <c r="AA20" s="42"/>
      <c r="AB20" s="42"/>
    </row>
    <row r="21" ht="14.25" customHeight="1">
      <c r="A21" s="8">
        <v>20.0</v>
      </c>
      <c r="B21" s="8" t="s">
        <v>25</v>
      </c>
      <c r="C21" s="32" t="s">
        <v>45</v>
      </c>
      <c r="D21" s="33">
        <v>7.0</v>
      </c>
      <c r="E21" s="33">
        <v>7.0</v>
      </c>
      <c r="F21" s="8"/>
      <c r="G21" s="34">
        <v>66.0</v>
      </c>
      <c r="H21" s="8"/>
      <c r="I21" s="8">
        <f t="shared" si="1"/>
        <v>79</v>
      </c>
      <c r="J21" s="35"/>
      <c r="K21" s="36">
        <v>145.0</v>
      </c>
      <c r="L21" s="8">
        <f t="shared" si="2"/>
        <v>0</v>
      </c>
      <c r="M21" s="8">
        <f t="shared" si="3"/>
        <v>145</v>
      </c>
      <c r="N21" s="37"/>
      <c r="O21" s="38">
        <v>16.904</v>
      </c>
      <c r="P21" s="39">
        <v>12.699</v>
      </c>
      <c r="Q21" s="39">
        <f t="shared" si="4"/>
        <v>207.221</v>
      </c>
      <c r="R21" s="41">
        <v>175360.0</v>
      </c>
      <c r="S21" s="41">
        <v>175453.0</v>
      </c>
      <c r="T21" s="41">
        <v>175453.0</v>
      </c>
      <c r="U21" s="41">
        <v>175.0</v>
      </c>
      <c r="V21" s="12">
        <f t="shared" si="5"/>
        <v>93</v>
      </c>
      <c r="W21" s="12">
        <f t="shared" si="6"/>
        <v>-175278</v>
      </c>
      <c r="X21" s="42"/>
      <c r="Y21" s="42"/>
      <c r="Z21" s="42"/>
      <c r="AA21" s="42"/>
      <c r="AB21" s="42"/>
    </row>
    <row r="22" ht="14.25" customHeight="1">
      <c r="A22" s="8">
        <v>21.0</v>
      </c>
      <c r="B22" s="8" t="s">
        <v>25</v>
      </c>
      <c r="C22" s="32" t="s">
        <v>46</v>
      </c>
      <c r="D22" s="33">
        <v>7.0</v>
      </c>
      <c r="E22" s="33">
        <v>7.0</v>
      </c>
      <c r="F22" s="8"/>
      <c r="G22" s="34">
        <v>64.0</v>
      </c>
      <c r="H22" s="8"/>
      <c r="I22" s="8">
        <f t="shared" si="1"/>
        <v>92</v>
      </c>
      <c r="J22" s="35"/>
      <c r="K22" s="36">
        <v>156.0</v>
      </c>
      <c r="L22" s="8">
        <f t="shared" si="2"/>
        <v>0</v>
      </c>
      <c r="M22" s="8">
        <f t="shared" si="3"/>
        <v>156</v>
      </c>
      <c r="N22" s="37"/>
      <c r="O22" s="38">
        <v>16.904</v>
      </c>
      <c r="P22" s="39">
        <v>12.699</v>
      </c>
      <c r="Q22" s="39">
        <f t="shared" si="4"/>
        <v>207.221</v>
      </c>
      <c r="R22" s="41">
        <v>199746.0</v>
      </c>
      <c r="S22" s="41">
        <v>199838.0</v>
      </c>
      <c r="T22" s="41">
        <v>199838.0</v>
      </c>
      <c r="U22" s="41">
        <v>199.0</v>
      </c>
      <c r="V22" s="12">
        <f t="shared" si="5"/>
        <v>92</v>
      </c>
      <c r="W22" s="12">
        <f t="shared" si="6"/>
        <v>-199639</v>
      </c>
      <c r="X22" s="42"/>
      <c r="Y22" s="42"/>
      <c r="Z22" s="42"/>
      <c r="AA22" s="42"/>
      <c r="AB22" s="42"/>
    </row>
    <row r="23" ht="14.25" customHeight="1">
      <c r="A23" s="8">
        <v>22.0</v>
      </c>
      <c r="B23" s="8" t="s">
        <v>25</v>
      </c>
      <c r="C23" s="32" t="s">
        <v>47</v>
      </c>
      <c r="D23" s="33">
        <v>7.0</v>
      </c>
      <c r="E23" s="33">
        <v>7.0</v>
      </c>
      <c r="F23" s="8"/>
      <c r="G23" s="34">
        <v>38.0</v>
      </c>
      <c r="H23" s="8"/>
      <c r="I23" s="8">
        <f t="shared" si="1"/>
        <v>106</v>
      </c>
      <c r="J23" s="35"/>
      <c r="K23" s="36">
        <v>144.0</v>
      </c>
      <c r="L23" s="8">
        <f t="shared" si="2"/>
        <v>0</v>
      </c>
      <c r="M23" s="8">
        <f t="shared" si="3"/>
        <v>144</v>
      </c>
      <c r="N23" s="37"/>
      <c r="O23" s="38">
        <v>16.904</v>
      </c>
      <c r="P23" s="39">
        <v>12.699</v>
      </c>
      <c r="Q23" s="39">
        <f t="shared" si="4"/>
        <v>207.221</v>
      </c>
      <c r="R23" s="41">
        <v>454415.0</v>
      </c>
      <c r="S23" s="41">
        <v>454508.0</v>
      </c>
      <c r="T23" s="41">
        <v>454508.0</v>
      </c>
      <c r="U23" s="41">
        <v>454.0</v>
      </c>
      <c r="V23" s="12">
        <f t="shared" si="5"/>
        <v>93</v>
      </c>
      <c r="W23" s="12">
        <f t="shared" si="6"/>
        <v>-454054</v>
      </c>
      <c r="X23" s="42"/>
      <c r="Y23" s="42"/>
      <c r="Z23" s="42"/>
      <c r="AA23" s="42"/>
      <c r="AB23" s="42"/>
    </row>
    <row r="24" ht="14.25" customHeight="1">
      <c r="A24" s="8">
        <v>23.0</v>
      </c>
      <c r="B24" s="43" t="s">
        <v>25</v>
      </c>
      <c r="C24" s="44" t="s">
        <v>48</v>
      </c>
      <c r="D24" s="45"/>
      <c r="E24" s="45"/>
      <c r="F24" s="43"/>
      <c r="G24" s="43"/>
      <c r="H24" s="43"/>
      <c r="I24" s="43">
        <f t="shared" si="1"/>
        <v>0</v>
      </c>
      <c r="J24" s="46"/>
      <c r="K24" s="46"/>
      <c r="L24" s="43">
        <f t="shared" si="2"/>
        <v>0</v>
      </c>
      <c r="M24" s="43">
        <f t="shared" si="3"/>
        <v>0</v>
      </c>
      <c r="N24" s="47" t="s">
        <v>98</v>
      </c>
      <c r="O24" s="48">
        <v>16.904</v>
      </c>
      <c r="P24" s="49">
        <v>12.699</v>
      </c>
      <c r="Q24" s="49">
        <f t="shared" si="4"/>
        <v>0</v>
      </c>
      <c r="R24" s="50"/>
      <c r="S24" s="50"/>
      <c r="T24" s="50"/>
      <c r="U24" s="50"/>
      <c r="V24" s="51">
        <f t="shared" si="5"/>
        <v>0</v>
      </c>
      <c r="W24" s="51">
        <f t="shared" si="6"/>
        <v>0</v>
      </c>
      <c r="X24" s="42"/>
      <c r="Y24" s="42"/>
      <c r="Z24" s="42"/>
      <c r="AA24" s="42"/>
      <c r="AB24" s="42"/>
    </row>
    <row r="25" ht="14.25" customHeight="1">
      <c r="A25" s="8">
        <v>24.0</v>
      </c>
      <c r="B25" s="8" t="s">
        <v>25</v>
      </c>
      <c r="C25" s="32" t="s">
        <v>49</v>
      </c>
      <c r="D25" s="33">
        <v>7.0</v>
      </c>
      <c r="E25" s="33">
        <v>7.0</v>
      </c>
      <c r="F25" s="8"/>
      <c r="G25" s="34">
        <v>62.0</v>
      </c>
      <c r="H25" s="8"/>
      <c r="I25" s="8">
        <f t="shared" si="1"/>
        <v>64</v>
      </c>
      <c r="J25" s="35"/>
      <c r="K25" s="36">
        <v>126.0</v>
      </c>
      <c r="L25" s="8">
        <f t="shared" si="2"/>
        <v>0</v>
      </c>
      <c r="M25" s="8">
        <f t="shared" si="3"/>
        <v>126</v>
      </c>
      <c r="N25" s="37"/>
      <c r="O25" s="38">
        <v>16.904</v>
      </c>
      <c r="P25" s="39">
        <v>12.699</v>
      </c>
      <c r="Q25" s="39">
        <f t="shared" si="4"/>
        <v>207.221</v>
      </c>
      <c r="R25" s="41">
        <v>375275.0</v>
      </c>
      <c r="S25" s="41">
        <v>375365.0</v>
      </c>
      <c r="T25" s="41">
        <v>375365.0</v>
      </c>
      <c r="U25" s="41">
        <v>375.0</v>
      </c>
      <c r="V25" s="12">
        <f t="shared" si="5"/>
        <v>90</v>
      </c>
      <c r="W25" s="12">
        <f t="shared" si="6"/>
        <v>-374990</v>
      </c>
      <c r="X25" s="42"/>
      <c r="Y25" s="42"/>
      <c r="Z25" s="42"/>
      <c r="AA25" s="42"/>
      <c r="AB25" s="42"/>
    </row>
    <row r="26" ht="14.25" customHeight="1">
      <c r="A26" s="8">
        <v>25.0</v>
      </c>
      <c r="B26" s="52" t="s">
        <v>25</v>
      </c>
      <c r="C26" s="53" t="s">
        <v>50</v>
      </c>
      <c r="D26" s="54">
        <v>3.0</v>
      </c>
      <c r="E26" s="54">
        <v>3.0</v>
      </c>
      <c r="F26" s="52"/>
      <c r="G26" s="55">
        <v>44.0</v>
      </c>
      <c r="H26" s="52"/>
      <c r="I26" s="52">
        <f t="shared" si="1"/>
        <v>0</v>
      </c>
      <c r="J26" s="63"/>
      <c r="K26" s="63"/>
      <c r="L26" s="52">
        <f t="shared" si="2"/>
        <v>0</v>
      </c>
      <c r="M26" s="52">
        <f t="shared" si="3"/>
        <v>44</v>
      </c>
      <c r="N26" s="57" t="s">
        <v>99</v>
      </c>
      <c r="O26" s="58">
        <v>16.904</v>
      </c>
      <c r="P26" s="59">
        <v>12.699</v>
      </c>
      <c r="Q26" s="59">
        <f t="shared" si="4"/>
        <v>88.809</v>
      </c>
      <c r="R26" s="60">
        <v>193662.0</v>
      </c>
      <c r="S26" s="60">
        <v>193750.0</v>
      </c>
      <c r="T26" s="60"/>
      <c r="U26" s="60"/>
      <c r="V26" s="61">
        <f t="shared" si="5"/>
        <v>88</v>
      </c>
      <c r="W26" s="61">
        <f t="shared" si="6"/>
        <v>0</v>
      </c>
      <c r="X26" s="42"/>
      <c r="Y26" s="42"/>
      <c r="Z26" s="42"/>
      <c r="AA26" s="42"/>
      <c r="AB26" s="42"/>
    </row>
    <row r="27" ht="14.25" customHeight="1">
      <c r="A27" s="8">
        <v>26.0</v>
      </c>
      <c r="B27" s="8" t="s">
        <v>25</v>
      </c>
      <c r="C27" s="32" t="s">
        <v>51</v>
      </c>
      <c r="D27" s="33">
        <v>7.0</v>
      </c>
      <c r="E27" s="33">
        <v>7.0</v>
      </c>
      <c r="F27" s="8"/>
      <c r="G27" s="34">
        <v>67.0</v>
      </c>
      <c r="H27" s="8"/>
      <c r="I27" s="8">
        <f t="shared" si="1"/>
        <v>66</v>
      </c>
      <c r="J27" s="35"/>
      <c r="K27" s="36">
        <v>133.0</v>
      </c>
      <c r="L27" s="8">
        <f t="shared" si="2"/>
        <v>0</v>
      </c>
      <c r="M27" s="8">
        <f t="shared" si="3"/>
        <v>133</v>
      </c>
      <c r="N27" s="37"/>
      <c r="O27" s="38">
        <v>16.904</v>
      </c>
      <c r="P27" s="39">
        <v>12.699</v>
      </c>
      <c r="Q27" s="39">
        <f t="shared" si="4"/>
        <v>207.221</v>
      </c>
      <c r="R27" s="41">
        <v>189872.0</v>
      </c>
      <c r="S27" s="41">
        <v>189967.0</v>
      </c>
      <c r="T27" s="41">
        <v>189967.0</v>
      </c>
      <c r="U27" s="41">
        <v>189.0</v>
      </c>
      <c r="V27" s="12">
        <f t="shared" si="5"/>
        <v>95</v>
      </c>
      <c r="W27" s="12">
        <f t="shared" si="6"/>
        <v>-189778</v>
      </c>
      <c r="X27" s="42"/>
      <c r="Y27" s="42"/>
      <c r="Z27" s="42"/>
      <c r="AA27" s="42"/>
      <c r="AB27" s="42"/>
    </row>
    <row r="28" ht="14.25" customHeight="1">
      <c r="A28" s="8">
        <v>27.0</v>
      </c>
      <c r="B28" s="8" t="s">
        <v>25</v>
      </c>
      <c r="C28" s="32" t="s">
        <v>52</v>
      </c>
      <c r="D28" s="33">
        <v>7.0</v>
      </c>
      <c r="E28" s="33">
        <v>7.0</v>
      </c>
      <c r="F28" s="8"/>
      <c r="G28" s="34">
        <v>48.0</v>
      </c>
      <c r="H28" s="8"/>
      <c r="I28" s="8">
        <f t="shared" si="1"/>
        <v>62</v>
      </c>
      <c r="J28" s="35"/>
      <c r="K28" s="36">
        <v>110.0</v>
      </c>
      <c r="L28" s="8">
        <f t="shared" si="2"/>
        <v>0</v>
      </c>
      <c r="M28" s="8">
        <f t="shared" si="3"/>
        <v>110</v>
      </c>
      <c r="N28" s="37"/>
      <c r="O28" s="38">
        <v>16.904</v>
      </c>
      <c r="P28" s="39">
        <v>12.699</v>
      </c>
      <c r="Q28" s="39">
        <f t="shared" si="4"/>
        <v>207.221</v>
      </c>
      <c r="R28" s="41">
        <v>183399.0</v>
      </c>
      <c r="S28" s="41">
        <v>183489.0</v>
      </c>
      <c r="T28" s="41">
        <v>183489.0</v>
      </c>
      <c r="U28" s="41">
        <v>183.0</v>
      </c>
      <c r="V28" s="12">
        <f t="shared" si="5"/>
        <v>90</v>
      </c>
      <c r="W28" s="12">
        <f t="shared" si="6"/>
        <v>-183306</v>
      </c>
      <c r="X28" s="42"/>
      <c r="Y28" s="42"/>
      <c r="Z28" s="42"/>
      <c r="AA28" s="42"/>
      <c r="AB28" s="42"/>
    </row>
    <row r="29" ht="14.25" customHeight="1">
      <c r="A29" s="8">
        <v>28.0</v>
      </c>
      <c r="B29" s="8" t="s">
        <v>25</v>
      </c>
      <c r="C29" s="32" t="s">
        <v>53</v>
      </c>
      <c r="D29" s="33">
        <v>7.0</v>
      </c>
      <c r="E29" s="33">
        <v>7.0</v>
      </c>
      <c r="F29" s="8"/>
      <c r="G29" s="34">
        <v>41.0</v>
      </c>
      <c r="H29" s="8"/>
      <c r="I29" s="8">
        <f t="shared" si="1"/>
        <v>133</v>
      </c>
      <c r="J29" s="35"/>
      <c r="K29" s="36">
        <v>174.0</v>
      </c>
      <c r="L29" s="8">
        <f t="shared" si="2"/>
        <v>0</v>
      </c>
      <c r="M29" s="8">
        <f t="shared" si="3"/>
        <v>174</v>
      </c>
      <c r="N29" s="37"/>
      <c r="O29" s="38">
        <v>16.904</v>
      </c>
      <c r="P29" s="39">
        <v>12.699</v>
      </c>
      <c r="Q29" s="39">
        <f t="shared" si="4"/>
        <v>207.221</v>
      </c>
      <c r="R29" s="41">
        <v>180920.0</v>
      </c>
      <c r="S29" s="41">
        <v>181010.0</v>
      </c>
      <c r="T29" s="41">
        <v>181010.0</v>
      </c>
      <c r="U29" s="41">
        <v>181.0</v>
      </c>
      <c r="V29" s="12">
        <f t="shared" si="5"/>
        <v>90</v>
      </c>
      <c r="W29" s="12">
        <f t="shared" si="6"/>
        <v>-180829</v>
      </c>
      <c r="X29" s="42"/>
      <c r="Y29" s="42"/>
      <c r="Z29" s="42"/>
      <c r="AA29" s="42"/>
      <c r="AB29" s="42"/>
    </row>
    <row r="30" ht="14.25" customHeight="1">
      <c r="A30" s="8">
        <v>29.0</v>
      </c>
      <c r="B30" s="8" t="s">
        <v>25</v>
      </c>
      <c r="C30" s="32" t="s">
        <v>54</v>
      </c>
      <c r="D30" s="33">
        <v>7.0</v>
      </c>
      <c r="E30" s="33">
        <v>7.0</v>
      </c>
      <c r="F30" s="8"/>
      <c r="G30" s="34">
        <v>61.0</v>
      </c>
      <c r="H30" s="8"/>
      <c r="I30" s="8">
        <f t="shared" si="1"/>
        <v>66</v>
      </c>
      <c r="J30" s="35"/>
      <c r="K30" s="36">
        <v>127.0</v>
      </c>
      <c r="L30" s="8">
        <f t="shared" si="2"/>
        <v>0</v>
      </c>
      <c r="M30" s="8">
        <f t="shared" si="3"/>
        <v>127</v>
      </c>
      <c r="N30" s="37"/>
      <c r="O30" s="38">
        <v>16.904</v>
      </c>
      <c r="P30" s="39">
        <v>12.699</v>
      </c>
      <c r="Q30" s="39">
        <f t="shared" si="4"/>
        <v>207.221</v>
      </c>
      <c r="R30" s="41">
        <v>200178.0</v>
      </c>
      <c r="S30" s="41">
        <v>200271.0</v>
      </c>
      <c r="T30" s="41">
        <v>200271.0</v>
      </c>
      <c r="U30" s="41">
        <v>200.0</v>
      </c>
      <c r="V30" s="12">
        <f t="shared" si="5"/>
        <v>93</v>
      </c>
      <c r="W30" s="12">
        <f t="shared" si="6"/>
        <v>-200071</v>
      </c>
      <c r="X30" s="42"/>
      <c r="Y30" s="42"/>
      <c r="Z30" s="42"/>
      <c r="AA30" s="42"/>
      <c r="AB30" s="42"/>
    </row>
    <row r="31" ht="14.25" customHeight="1">
      <c r="A31" s="8">
        <v>30.0</v>
      </c>
      <c r="B31" s="8" t="s">
        <v>25</v>
      </c>
      <c r="C31" s="32" t="s">
        <v>55</v>
      </c>
      <c r="D31" s="33">
        <v>7.0</v>
      </c>
      <c r="E31" s="33">
        <v>6.0</v>
      </c>
      <c r="F31" s="8"/>
      <c r="G31" s="34">
        <v>51.0</v>
      </c>
      <c r="H31" s="8"/>
      <c r="I31" s="8">
        <f t="shared" si="1"/>
        <v>44</v>
      </c>
      <c r="J31" s="36">
        <v>52.0</v>
      </c>
      <c r="K31" s="36">
        <v>95.0</v>
      </c>
      <c r="L31" s="8">
        <f t="shared" si="2"/>
        <v>52</v>
      </c>
      <c r="M31" s="8">
        <f t="shared" si="3"/>
        <v>147</v>
      </c>
      <c r="N31" s="37"/>
      <c r="O31" s="38">
        <v>16.904</v>
      </c>
      <c r="P31" s="39">
        <v>12.699</v>
      </c>
      <c r="Q31" s="39">
        <f t="shared" si="4"/>
        <v>194.522</v>
      </c>
      <c r="R31" s="41">
        <v>203545.0</v>
      </c>
      <c r="S31" s="41">
        <v>203638.0</v>
      </c>
      <c r="T31" s="41">
        <v>203638.0</v>
      </c>
      <c r="U31" s="41">
        <v>203.0</v>
      </c>
      <c r="V31" s="12">
        <f t="shared" si="5"/>
        <v>93</v>
      </c>
      <c r="W31" s="12">
        <f t="shared" si="6"/>
        <v>-203435</v>
      </c>
      <c r="X31" s="42"/>
      <c r="Y31" s="42"/>
      <c r="Z31" s="42"/>
      <c r="AA31" s="42"/>
      <c r="AB31" s="42"/>
    </row>
    <row r="32" ht="14.25" customHeight="1">
      <c r="A32" s="8">
        <v>31.0</v>
      </c>
      <c r="B32" s="8" t="s">
        <v>25</v>
      </c>
      <c r="C32" s="32" t="s">
        <v>56</v>
      </c>
      <c r="D32" s="33">
        <v>7.0</v>
      </c>
      <c r="E32" s="33">
        <v>7.0</v>
      </c>
      <c r="F32" s="8"/>
      <c r="G32" s="34">
        <v>74.0</v>
      </c>
      <c r="H32" s="8"/>
      <c r="I32" s="8">
        <f t="shared" si="1"/>
        <v>88</v>
      </c>
      <c r="J32" s="35"/>
      <c r="K32" s="36">
        <v>162.0</v>
      </c>
      <c r="L32" s="8">
        <f t="shared" si="2"/>
        <v>0</v>
      </c>
      <c r="M32" s="8">
        <f t="shared" si="3"/>
        <v>162</v>
      </c>
      <c r="N32" s="37"/>
      <c r="O32" s="38">
        <v>16.904</v>
      </c>
      <c r="P32" s="39">
        <v>12.699</v>
      </c>
      <c r="Q32" s="39">
        <f t="shared" si="4"/>
        <v>207.221</v>
      </c>
      <c r="R32" s="62">
        <v>183636.0</v>
      </c>
      <c r="S32" s="41">
        <v>183726.0</v>
      </c>
      <c r="T32" s="41">
        <v>183726.0</v>
      </c>
      <c r="U32" s="41">
        <v>183.0</v>
      </c>
      <c r="V32" s="12">
        <f t="shared" si="5"/>
        <v>90</v>
      </c>
      <c r="W32" s="12">
        <f t="shared" si="6"/>
        <v>-183543</v>
      </c>
      <c r="X32" s="42"/>
      <c r="Y32" s="42"/>
      <c r="Z32" s="42"/>
      <c r="AA32" s="42"/>
      <c r="AB32" s="42"/>
    </row>
    <row r="33" ht="14.25" customHeight="1">
      <c r="A33" s="8">
        <v>32.0</v>
      </c>
      <c r="B33" s="8" t="s">
        <v>25</v>
      </c>
      <c r="C33" s="32" t="s">
        <v>57</v>
      </c>
      <c r="D33" s="33">
        <v>7.0</v>
      </c>
      <c r="E33" s="33">
        <v>7.0</v>
      </c>
      <c r="F33" s="8"/>
      <c r="G33" s="34">
        <v>62.0</v>
      </c>
      <c r="H33" s="8"/>
      <c r="I33" s="8">
        <f t="shared" si="1"/>
        <v>78</v>
      </c>
      <c r="J33" s="35"/>
      <c r="K33" s="36">
        <v>140.0</v>
      </c>
      <c r="L33" s="8">
        <f t="shared" si="2"/>
        <v>0</v>
      </c>
      <c r="M33" s="8">
        <f t="shared" si="3"/>
        <v>140</v>
      </c>
      <c r="N33" s="37"/>
      <c r="O33" s="38">
        <v>16.904</v>
      </c>
      <c r="P33" s="39">
        <v>12.699</v>
      </c>
      <c r="Q33" s="39">
        <f t="shared" si="4"/>
        <v>207.221</v>
      </c>
      <c r="R33" s="41">
        <v>183551.0</v>
      </c>
      <c r="S33" s="41">
        <v>183639.0</v>
      </c>
      <c r="T33" s="41">
        <v>183639.0</v>
      </c>
      <c r="U33" s="41">
        <v>183.0</v>
      </c>
      <c r="V33" s="12">
        <f t="shared" si="5"/>
        <v>88</v>
      </c>
      <c r="W33" s="12">
        <f t="shared" si="6"/>
        <v>-183456</v>
      </c>
      <c r="X33" s="42"/>
      <c r="Y33" s="42"/>
      <c r="Z33" s="42"/>
      <c r="AA33" s="42"/>
      <c r="AB33" s="42"/>
    </row>
    <row r="34" ht="14.25" customHeight="1">
      <c r="A34" s="8">
        <v>33.0</v>
      </c>
      <c r="B34" s="8" t="s">
        <v>25</v>
      </c>
      <c r="C34" s="32" t="s">
        <v>58</v>
      </c>
      <c r="D34" s="33">
        <v>7.0</v>
      </c>
      <c r="E34" s="33">
        <v>7.0</v>
      </c>
      <c r="F34" s="8"/>
      <c r="G34" s="34">
        <v>43.0</v>
      </c>
      <c r="H34" s="8"/>
      <c r="I34" s="8">
        <f t="shared" si="1"/>
        <v>38</v>
      </c>
      <c r="J34" s="35"/>
      <c r="K34" s="36">
        <v>81.0</v>
      </c>
      <c r="L34" s="8">
        <f t="shared" si="2"/>
        <v>0</v>
      </c>
      <c r="M34" s="8">
        <f t="shared" si="3"/>
        <v>81</v>
      </c>
      <c r="N34" s="37"/>
      <c r="O34" s="38">
        <v>16.904</v>
      </c>
      <c r="P34" s="39">
        <v>12.699</v>
      </c>
      <c r="Q34" s="39">
        <f t="shared" si="4"/>
        <v>207.221</v>
      </c>
      <c r="R34" s="41">
        <v>572841.0</v>
      </c>
      <c r="S34" s="41">
        <v>572934.0</v>
      </c>
      <c r="T34" s="41">
        <v>572934.0</v>
      </c>
      <c r="U34" s="41">
        <v>572.0</v>
      </c>
      <c r="V34" s="12">
        <f t="shared" si="5"/>
        <v>93</v>
      </c>
      <c r="W34" s="12">
        <f t="shared" si="6"/>
        <v>-572362</v>
      </c>
      <c r="X34" s="42"/>
      <c r="Y34" s="42"/>
      <c r="Z34" s="42"/>
      <c r="AA34" s="42"/>
      <c r="AB34" s="42"/>
    </row>
    <row r="35" ht="14.25" customHeight="1">
      <c r="A35" s="8">
        <v>34.0</v>
      </c>
      <c r="B35" s="8" t="s">
        <v>25</v>
      </c>
      <c r="C35" s="32" t="s">
        <v>59</v>
      </c>
      <c r="D35" s="33">
        <v>6.0</v>
      </c>
      <c r="E35" s="33">
        <v>6.0</v>
      </c>
      <c r="F35" s="8"/>
      <c r="G35" s="34">
        <v>42.0</v>
      </c>
      <c r="H35" s="8"/>
      <c r="I35" s="8">
        <f t="shared" si="1"/>
        <v>105</v>
      </c>
      <c r="J35" s="35"/>
      <c r="K35" s="36">
        <v>147.0</v>
      </c>
      <c r="L35" s="8">
        <f t="shared" si="2"/>
        <v>0</v>
      </c>
      <c r="M35" s="8">
        <f t="shared" si="3"/>
        <v>147</v>
      </c>
      <c r="N35" s="37"/>
      <c r="O35" s="38">
        <v>16.904</v>
      </c>
      <c r="P35" s="39">
        <v>12.699</v>
      </c>
      <c r="Q35" s="39">
        <f t="shared" si="4"/>
        <v>177.618</v>
      </c>
      <c r="R35" s="41">
        <v>188932.0</v>
      </c>
      <c r="S35" s="41">
        <v>189025.0</v>
      </c>
      <c r="T35" s="41">
        <v>189025.0</v>
      </c>
      <c r="U35" s="41">
        <v>189.0</v>
      </c>
      <c r="V35" s="12">
        <f t="shared" si="5"/>
        <v>93</v>
      </c>
      <c r="W35" s="12">
        <f t="shared" si="6"/>
        <v>-188836</v>
      </c>
      <c r="X35" s="42"/>
      <c r="Y35" s="42"/>
      <c r="Z35" s="42"/>
      <c r="AA35" s="42"/>
      <c r="AB35" s="42"/>
    </row>
    <row r="36" ht="14.25" customHeight="1">
      <c r="A36" s="8">
        <v>35.0</v>
      </c>
      <c r="B36" s="8" t="s">
        <v>25</v>
      </c>
      <c r="C36" s="32" t="s">
        <v>60</v>
      </c>
      <c r="D36" s="33">
        <v>6.0</v>
      </c>
      <c r="E36" s="33">
        <v>6.0</v>
      </c>
      <c r="F36" s="8"/>
      <c r="G36" s="34">
        <v>59.0</v>
      </c>
      <c r="H36" s="8"/>
      <c r="I36" s="8">
        <f t="shared" si="1"/>
        <v>80</v>
      </c>
      <c r="J36" s="35"/>
      <c r="K36" s="36">
        <v>139.0</v>
      </c>
      <c r="L36" s="8">
        <f t="shared" si="2"/>
        <v>0</v>
      </c>
      <c r="M36" s="8">
        <f t="shared" si="3"/>
        <v>139</v>
      </c>
      <c r="N36" s="37"/>
      <c r="O36" s="38">
        <v>16.904</v>
      </c>
      <c r="P36" s="39">
        <v>12.699</v>
      </c>
      <c r="Q36" s="39">
        <f t="shared" si="4"/>
        <v>177.618</v>
      </c>
      <c r="R36" s="41">
        <v>473811.0</v>
      </c>
      <c r="S36" s="41">
        <v>473901.0</v>
      </c>
      <c r="T36" s="41">
        <v>473901.0</v>
      </c>
      <c r="U36" s="41">
        <v>473.0</v>
      </c>
      <c r="V36" s="12">
        <f t="shared" si="5"/>
        <v>90</v>
      </c>
      <c r="W36" s="12">
        <f t="shared" si="6"/>
        <v>-473428</v>
      </c>
      <c r="X36" s="42"/>
      <c r="Y36" s="42"/>
      <c r="Z36" s="42"/>
      <c r="AA36" s="42"/>
      <c r="AB36" s="42"/>
    </row>
    <row r="37" ht="14.25" customHeight="1">
      <c r="A37" s="8">
        <v>36.0</v>
      </c>
      <c r="B37" s="8" t="s">
        <v>25</v>
      </c>
      <c r="C37" s="53" t="s">
        <v>61</v>
      </c>
      <c r="D37" s="54">
        <v>7.0</v>
      </c>
      <c r="E37" s="54">
        <v>7.0</v>
      </c>
      <c r="F37" s="52"/>
      <c r="G37" s="55">
        <v>43.0</v>
      </c>
      <c r="H37" s="52"/>
      <c r="I37" s="52">
        <f t="shared" si="1"/>
        <v>101</v>
      </c>
      <c r="J37" s="63"/>
      <c r="K37" s="56">
        <v>144.0</v>
      </c>
      <c r="L37" s="52">
        <f t="shared" si="2"/>
        <v>0</v>
      </c>
      <c r="M37" s="52">
        <f t="shared" si="3"/>
        <v>144</v>
      </c>
      <c r="N37" s="57" t="s">
        <v>100</v>
      </c>
      <c r="O37" s="58">
        <v>16.904</v>
      </c>
      <c r="P37" s="59">
        <v>12.699</v>
      </c>
      <c r="Q37" s="59">
        <f t="shared" si="4"/>
        <v>207.221</v>
      </c>
      <c r="R37" s="60">
        <v>466773.0</v>
      </c>
      <c r="S37" s="60">
        <v>466864.0</v>
      </c>
      <c r="T37" s="60">
        <v>466864.0</v>
      </c>
      <c r="U37" s="60">
        <v>466.0</v>
      </c>
      <c r="V37" s="12">
        <f t="shared" si="5"/>
        <v>91</v>
      </c>
      <c r="W37" s="12">
        <f t="shared" si="6"/>
        <v>-466398</v>
      </c>
      <c r="X37" s="42"/>
      <c r="Y37" s="42"/>
      <c r="Z37" s="42"/>
      <c r="AA37" s="42"/>
      <c r="AB37" s="42"/>
    </row>
    <row r="38" ht="14.25" customHeight="1">
      <c r="A38" s="8">
        <v>37.0</v>
      </c>
      <c r="B38" s="8" t="s">
        <v>25</v>
      </c>
      <c r="C38" s="32" t="s">
        <v>62</v>
      </c>
      <c r="D38" s="33">
        <v>7.0</v>
      </c>
      <c r="E38" s="33">
        <v>7.0</v>
      </c>
      <c r="F38" s="8"/>
      <c r="G38" s="34">
        <v>37.0</v>
      </c>
      <c r="H38" s="8"/>
      <c r="I38" s="8">
        <f t="shared" si="1"/>
        <v>105</v>
      </c>
      <c r="J38" s="35"/>
      <c r="K38" s="36">
        <v>142.0</v>
      </c>
      <c r="L38" s="8">
        <f t="shared" si="2"/>
        <v>0</v>
      </c>
      <c r="M38" s="8">
        <f t="shared" si="3"/>
        <v>142</v>
      </c>
      <c r="N38" s="37"/>
      <c r="O38" s="38">
        <v>16.904</v>
      </c>
      <c r="P38" s="39">
        <v>12.699</v>
      </c>
      <c r="Q38" s="39">
        <f t="shared" si="4"/>
        <v>207.221</v>
      </c>
      <c r="R38" s="41">
        <v>199297.0</v>
      </c>
      <c r="S38" s="41">
        <v>199387.0</v>
      </c>
      <c r="T38" s="41">
        <v>199387.0</v>
      </c>
      <c r="U38" s="41">
        <v>199.0</v>
      </c>
      <c r="V38" s="12">
        <f t="shared" si="5"/>
        <v>90</v>
      </c>
      <c r="W38" s="12">
        <f t="shared" si="6"/>
        <v>-199188</v>
      </c>
      <c r="X38" s="42"/>
      <c r="Y38" s="42"/>
      <c r="Z38" s="42"/>
      <c r="AA38" s="42"/>
      <c r="AB38" s="42"/>
    </row>
    <row r="39" ht="14.25" customHeight="1">
      <c r="A39" s="8">
        <v>38.0</v>
      </c>
      <c r="B39" s="8" t="s">
        <v>25</v>
      </c>
      <c r="C39" s="32" t="s">
        <v>63</v>
      </c>
      <c r="D39" s="33">
        <v>7.0</v>
      </c>
      <c r="E39" s="33">
        <v>7.0</v>
      </c>
      <c r="F39" s="8"/>
      <c r="G39" s="34">
        <v>67.0</v>
      </c>
      <c r="H39" s="8"/>
      <c r="I39" s="8">
        <f t="shared" si="1"/>
        <v>83</v>
      </c>
      <c r="J39" s="35"/>
      <c r="K39" s="36">
        <v>150.0</v>
      </c>
      <c r="L39" s="8">
        <f t="shared" si="2"/>
        <v>0</v>
      </c>
      <c r="M39" s="8">
        <f t="shared" si="3"/>
        <v>150</v>
      </c>
      <c r="N39" s="37"/>
      <c r="O39" s="38">
        <v>16.904</v>
      </c>
      <c r="P39" s="39">
        <v>12.699</v>
      </c>
      <c r="Q39" s="39">
        <f t="shared" si="4"/>
        <v>207.221</v>
      </c>
      <c r="R39" s="41">
        <v>378806.0</v>
      </c>
      <c r="S39" s="41">
        <v>378896.0</v>
      </c>
      <c r="T39" s="41">
        <v>378896.0</v>
      </c>
      <c r="U39" s="41">
        <v>378.0</v>
      </c>
      <c r="V39" s="12">
        <f t="shared" si="5"/>
        <v>90</v>
      </c>
      <c r="W39" s="12">
        <f t="shared" si="6"/>
        <v>-378518</v>
      </c>
      <c r="X39" s="42"/>
      <c r="Y39" s="42"/>
      <c r="Z39" s="42"/>
      <c r="AA39" s="42"/>
      <c r="AB39" s="42"/>
    </row>
    <row r="40" ht="14.25" customHeight="1">
      <c r="A40" s="8">
        <v>39.0</v>
      </c>
      <c r="B40" s="8" t="s">
        <v>25</v>
      </c>
      <c r="C40" s="32" t="s">
        <v>64</v>
      </c>
      <c r="D40" s="33">
        <v>7.0</v>
      </c>
      <c r="E40" s="33">
        <v>7.0</v>
      </c>
      <c r="F40" s="8"/>
      <c r="G40" s="34">
        <v>20.0</v>
      </c>
      <c r="H40" s="34">
        <v>26.0</v>
      </c>
      <c r="I40" s="8">
        <f t="shared" si="1"/>
        <v>115</v>
      </c>
      <c r="J40" s="35"/>
      <c r="K40" s="36">
        <v>135.0</v>
      </c>
      <c r="L40" s="8">
        <f t="shared" si="2"/>
        <v>26</v>
      </c>
      <c r="M40" s="8">
        <f t="shared" si="3"/>
        <v>161</v>
      </c>
      <c r="N40" s="37"/>
      <c r="O40" s="38">
        <v>16.904</v>
      </c>
      <c r="P40" s="39">
        <v>12.699</v>
      </c>
      <c r="Q40" s="39">
        <f t="shared" si="4"/>
        <v>207.221</v>
      </c>
      <c r="R40" s="41">
        <v>172826.0</v>
      </c>
      <c r="S40" s="41">
        <v>172916.0</v>
      </c>
      <c r="T40" s="41">
        <v>172916.0</v>
      </c>
      <c r="U40" s="41">
        <v>172.0</v>
      </c>
      <c r="V40" s="12">
        <f t="shared" si="5"/>
        <v>90</v>
      </c>
      <c r="W40" s="12">
        <f t="shared" si="6"/>
        <v>-172744</v>
      </c>
      <c r="X40" s="42"/>
      <c r="Y40" s="42"/>
      <c r="Z40" s="42"/>
      <c r="AA40" s="42"/>
      <c r="AB40" s="42"/>
    </row>
    <row r="41" ht="14.25" customHeight="1">
      <c r="A41" s="8">
        <v>40.0</v>
      </c>
      <c r="B41" s="8" t="s">
        <v>25</v>
      </c>
      <c r="C41" s="32" t="s">
        <v>65</v>
      </c>
      <c r="D41" s="33">
        <v>7.0</v>
      </c>
      <c r="E41" s="33">
        <v>7.0</v>
      </c>
      <c r="F41" s="8"/>
      <c r="G41" s="34">
        <v>58.0</v>
      </c>
      <c r="H41" s="8"/>
      <c r="I41" s="8">
        <f t="shared" si="1"/>
        <v>73</v>
      </c>
      <c r="J41" s="35"/>
      <c r="K41" s="36">
        <v>131.0</v>
      </c>
      <c r="L41" s="8">
        <f t="shared" si="2"/>
        <v>0</v>
      </c>
      <c r="M41" s="8">
        <f t="shared" si="3"/>
        <v>131</v>
      </c>
      <c r="N41" s="37"/>
      <c r="O41" s="38">
        <v>16.904</v>
      </c>
      <c r="P41" s="39">
        <v>12.699</v>
      </c>
      <c r="Q41" s="39">
        <f t="shared" si="4"/>
        <v>207.221</v>
      </c>
      <c r="R41" s="41">
        <v>416601.0</v>
      </c>
      <c r="S41" s="41">
        <v>416691.0</v>
      </c>
      <c r="T41" s="41">
        <v>416691.0</v>
      </c>
      <c r="U41" s="41">
        <v>416.0</v>
      </c>
      <c r="V41" s="12">
        <f t="shared" si="5"/>
        <v>90</v>
      </c>
      <c r="W41" s="12">
        <f t="shared" si="6"/>
        <v>-416275</v>
      </c>
      <c r="X41" s="42"/>
      <c r="Y41" s="42"/>
      <c r="Z41" s="42"/>
      <c r="AA41" s="42"/>
      <c r="AB41" s="42"/>
    </row>
    <row r="42" ht="14.25" customHeight="1">
      <c r="A42" s="8">
        <v>41.0</v>
      </c>
      <c r="B42" s="8" t="s">
        <v>25</v>
      </c>
      <c r="C42" s="32" t="s">
        <v>66</v>
      </c>
      <c r="D42" s="33">
        <v>7.0</v>
      </c>
      <c r="E42" s="33">
        <v>7.0</v>
      </c>
      <c r="F42" s="8"/>
      <c r="G42" s="34">
        <v>58.0</v>
      </c>
      <c r="H42" s="8"/>
      <c r="I42" s="8">
        <f t="shared" si="1"/>
        <v>87</v>
      </c>
      <c r="J42" s="35"/>
      <c r="K42" s="36">
        <v>145.0</v>
      </c>
      <c r="L42" s="8">
        <f t="shared" si="2"/>
        <v>0</v>
      </c>
      <c r="M42" s="8">
        <f t="shared" si="3"/>
        <v>145</v>
      </c>
      <c r="N42" s="37"/>
      <c r="O42" s="38">
        <v>16.904</v>
      </c>
      <c r="P42" s="39">
        <v>12.699</v>
      </c>
      <c r="Q42" s="39">
        <f t="shared" si="4"/>
        <v>207.221</v>
      </c>
      <c r="R42" s="41">
        <v>202790.0</v>
      </c>
      <c r="S42" s="41">
        <v>202884.0</v>
      </c>
      <c r="T42" s="41">
        <v>202884.0</v>
      </c>
      <c r="U42" s="41">
        <v>202.0</v>
      </c>
      <c r="V42" s="12">
        <f t="shared" si="5"/>
        <v>94</v>
      </c>
      <c r="W42" s="12">
        <f t="shared" si="6"/>
        <v>-202682</v>
      </c>
      <c r="X42" s="42"/>
      <c r="Y42" s="42"/>
      <c r="Z42" s="42"/>
      <c r="AA42" s="42"/>
      <c r="AB42" s="42"/>
    </row>
    <row r="43" ht="14.25" customHeight="1">
      <c r="A43" s="8">
        <v>42.0</v>
      </c>
      <c r="B43" s="8" t="s">
        <v>25</v>
      </c>
      <c r="C43" s="32" t="s">
        <v>67</v>
      </c>
      <c r="D43" s="33">
        <v>7.0</v>
      </c>
      <c r="E43" s="33">
        <v>7.0</v>
      </c>
      <c r="F43" s="8"/>
      <c r="G43" s="34">
        <v>59.0</v>
      </c>
      <c r="H43" s="34"/>
      <c r="I43" s="8">
        <f t="shared" si="1"/>
        <v>111</v>
      </c>
      <c r="J43" s="35"/>
      <c r="K43" s="36">
        <v>170.0</v>
      </c>
      <c r="L43" s="8">
        <f t="shared" si="2"/>
        <v>0</v>
      </c>
      <c r="M43" s="8">
        <f t="shared" si="3"/>
        <v>170</v>
      </c>
      <c r="N43" s="37"/>
      <c r="O43" s="38">
        <v>16.904</v>
      </c>
      <c r="P43" s="39">
        <v>12.699</v>
      </c>
      <c r="Q43" s="39">
        <f t="shared" si="4"/>
        <v>207.221</v>
      </c>
      <c r="R43" s="41">
        <v>180333.0</v>
      </c>
      <c r="S43" s="41">
        <v>180426.0</v>
      </c>
      <c r="T43" s="41">
        <v>180426.0</v>
      </c>
      <c r="U43" s="41">
        <v>180.0</v>
      </c>
      <c r="V43" s="12">
        <f t="shared" si="5"/>
        <v>93</v>
      </c>
      <c r="W43" s="12">
        <f t="shared" si="6"/>
        <v>-180246</v>
      </c>
      <c r="X43" s="42"/>
      <c r="Y43" s="42"/>
      <c r="Z43" s="42"/>
      <c r="AA43" s="42"/>
      <c r="AB43" s="42"/>
    </row>
    <row r="44" ht="14.25" customHeight="1">
      <c r="A44" s="8">
        <v>43.0</v>
      </c>
      <c r="B44" s="8" t="s">
        <v>25</v>
      </c>
      <c r="C44" s="32" t="s">
        <v>68</v>
      </c>
      <c r="D44" s="33">
        <v>6.0</v>
      </c>
      <c r="E44" s="33">
        <v>6.0</v>
      </c>
      <c r="F44" s="8"/>
      <c r="G44" s="34">
        <v>55.0</v>
      </c>
      <c r="H44" s="8"/>
      <c r="I44" s="8">
        <f t="shared" si="1"/>
        <v>75</v>
      </c>
      <c r="J44" s="35"/>
      <c r="K44" s="36">
        <v>130.0</v>
      </c>
      <c r="L44" s="8">
        <f t="shared" si="2"/>
        <v>0</v>
      </c>
      <c r="M44" s="8">
        <f t="shared" si="3"/>
        <v>130</v>
      </c>
      <c r="N44" s="37"/>
      <c r="O44" s="38">
        <v>16.904</v>
      </c>
      <c r="P44" s="39">
        <v>12.699</v>
      </c>
      <c r="Q44" s="39">
        <f t="shared" si="4"/>
        <v>177.618</v>
      </c>
      <c r="R44" s="41">
        <v>205208.0</v>
      </c>
      <c r="S44" s="41">
        <v>205300.0</v>
      </c>
      <c r="T44" s="41">
        <v>205300.0</v>
      </c>
      <c r="U44" s="41">
        <v>205.0</v>
      </c>
      <c r="V44" s="12">
        <f t="shared" si="5"/>
        <v>92</v>
      </c>
      <c r="W44" s="12">
        <f t="shared" si="6"/>
        <v>-205095</v>
      </c>
      <c r="X44" s="42"/>
      <c r="Y44" s="42"/>
      <c r="Z44" s="42"/>
      <c r="AA44" s="42"/>
      <c r="AB44" s="42"/>
    </row>
    <row r="45" ht="14.25" customHeight="1">
      <c r="A45" s="8">
        <v>44.0</v>
      </c>
      <c r="B45" s="8" t="s">
        <v>25</v>
      </c>
      <c r="C45" s="32" t="s">
        <v>69</v>
      </c>
      <c r="D45" s="33">
        <v>7.0</v>
      </c>
      <c r="E45" s="33">
        <v>7.0</v>
      </c>
      <c r="F45" s="8"/>
      <c r="G45" s="34">
        <v>53.0</v>
      </c>
      <c r="H45" s="8"/>
      <c r="I45" s="8">
        <f t="shared" si="1"/>
        <v>53</v>
      </c>
      <c r="J45" s="35"/>
      <c r="K45" s="36">
        <v>106.0</v>
      </c>
      <c r="L45" s="8">
        <f t="shared" si="2"/>
        <v>0</v>
      </c>
      <c r="M45" s="8">
        <f t="shared" si="3"/>
        <v>106</v>
      </c>
      <c r="N45" s="37"/>
      <c r="O45" s="38">
        <v>16.904</v>
      </c>
      <c r="P45" s="39">
        <v>12.699</v>
      </c>
      <c r="Q45" s="39">
        <f t="shared" si="4"/>
        <v>207.221</v>
      </c>
      <c r="R45" s="41">
        <v>559994.0</v>
      </c>
      <c r="S45" s="41">
        <v>560083.0</v>
      </c>
      <c r="T45" s="41">
        <v>560083.0</v>
      </c>
      <c r="U45" s="41">
        <v>560.0</v>
      </c>
      <c r="V45" s="12">
        <f t="shared" si="5"/>
        <v>89</v>
      </c>
      <c r="W45" s="12">
        <f t="shared" si="6"/>
        <v>-559523</v>
      </c>
      <c r="X45" s="42"/>
      <c r="Y45" s="42"/>
      <c r="Z45" s="42"/>
      <c r="AA45" s="42"/>
      <c r="AB45" s="42"/>
    </row>
    <row r="46" ht="14.25" customHeight="1">
      <c r="A46" s="8">
        <v>45.0</v>
      </c>
      <c r="B46" s="8" t="s">
        <v>25</v>
      </c>
      <c r="C46" s="32" t="s">
        <v>70</v>
      </c>
      <c r="D46" s="33">
        <v>7.0</v>
      </c>
      <c r="E46" s="33">
        <v>7.0</v>
      </c>
      <c r="F46" s="8"/>
      <c r="G46" s="34">
        <v>34.0</v>
      </c>
      <c r="H46" s="8"/>
      <c r="I46" s="8">
        <f t="shared" si="1"/>
        <v>100</v>
      </c>
      <c r="J46" s="35"/>
      <c r="K46" s="36">
        <v>134.0</v>
      </c>
      <c r="L46" s="8">
        <f t="shared" si="2"/>
        <v>0</v>
      </c>
      <c r="M46" s="8">
        <f t="shared" si="3"/>
        <v>134</v>
      </c>
      <c r="N46" s="37"/>
      <c r="O46" s="38">
        <v>16.904</v>
      </c>
      <c r="P46" s="39">
        <v>12.699</v>
      </c>
      <c r="Q46" s="39">
        <f t="shared" si="4"/>
        <v>207.221</v>
      </c>
      <c r="R46" s="41">
        <v>549285.0</v>
      </c>
      <c r="S46" s="41">
        <v>549375.0</v>
      </c>
      <c r="T46" s="41">
        <v>549375.0</v>
      </c>
      <c r="U46" s="41">
        <v>549.0</v>
      </c>
      <c r="V46" s="12">
        <f t="shared" si="5"/>
        <v>90</v>
      </c>
      <c r="W46" s="12">
        <f t="shared" si="6"/>
        <v>-548826</v>
      </c>
      <c r="X46" s="42"/>
      <c r="Y46" s="42"/>
      <c r="Z46" s="42"/>
      <c r="AA46" s="42"/>
      <c r="AB46" s="42"/>
    </row>
    <row r="47" ht="14.25" customHeight="1">
      <c r="A47" s="8">
        <v>46.0</v>
      </c>
      <c r="B47" s="8" t="s">
        <v>25</v>
      </c>
      <c r="C47" s="32" t="s">
        <v>71</v>
      </c>
      <c r="D47" s="33">
        <v>7.0</v>
      </c>
      <c r="E47" s="33">
        <v>7.0</v>
      </c>
      <c r="F47" s="8"/>
      <c r="G47" s="34">
        <v>51.0</v>
      </c>
      <c r="H47" s="8"/>
      <c r="I47" s="8">
        <f t="shared" si="1"/>
        <v>19</v>
      </c>
      <c r="J47" s="36">
        <v>25.0</v>
      </c>
      <c r="K47" s="36">
        <v>70.0</v>
      </c>
      <c r="L47" s="8">
        <f t="shared" si="2"/>
        <v>25</v>
      </c>
      <c r="M47" s="8">
        <f t="shared" si="3"/>
        <v>95</v>
      </c>
      <c r="N47" s="37"/>
      <c r="O47" s="38">
        <v>16.904</v>
      </c>
      <c r="P47" s="39">
        <v>12.699</v>
      </c>
      <c r="Q47" s="39">
        <f t="shared" si="4"/>
        <v>207.221</v>
      </c>
      <c r="R47" s="41">
        <v>182500.0</v>
      </c>
      <c r="S47" s="41">
        <v>182593.0</v>
      </c>
      <c r="T47" s="41">
        <v>182593.0</v>
      </c>
      <c r="U47" s="41">
        <v>182.0</v>
      </c>
      <c r="V47" s="12">
        <f t="shared" si="5"/>
        <v>93</v>
      </c>
      <c r="W47" s="12">
        <f t="shared" si="6"/>
        <v>-182411</v>
      </c>
      <c r="X47" s="42"/>
      <c r="Y47" s="42"/>
      <c r="Z47" s="42"/>
      <c r="AA47" s="42"/>
      <c r="AB47" s="42"/>
    </row>
    <row r="48" ht="14.25" customHeight="1">
      <c r="A48" s="8">
        <v>47.0</v>
      </c>
      <c r="B48" s="8" t="s">
        <v>25</v>
      </c>
      <c r="C48" s="32" t="s">
        <v>72</v>
      </c>
      <c r="D48" s="33">
        <v>7.0</v>
      </c>
      <c r="E48" s="33">
        <v>7.0</v>
      </c>
      <c r="F48" s="8"/>
      <c r="G48" s="34">
        <v>43.0</v>
      </c>
      <c r="H48" s="8"/>
      <c r="I48" s="8">
        <f t="shared" si="1"/>
        <v>110</v>
      </c>
      <c r="J48" s="35"/>
      <c r="K48" s="36">
        <v>153.0</v>
      </c>
      <c r="L48" s="8">
        <f t="shared" si="2"/>
        <v>0</v>
      </c>
      <c r="M48" s="8">
        <f t="shared" si="3"/>
        <v>153</v>
      </c>
      <c r="N48" s="37"/>
      <c r="O48" s="38">
        <v>16.904</v>
      </c>
      <c r="P48" s="39">
        <v>12.699</v>
      </c>
      <c r="Q48" s="39">
        <f t="shared" si="4"/>
        <v>207.221</v>
      </c>
      <c r="R48" s="41">
        <v>385833.0</v>
      </c>
      <c r="S48" s="41">
        <v>385921.0</v>
      </c>
      <c r="T48" s="41">
        <v>385921.0</v>
      </c>
      <c r="U48" s="41">
        <v>385.0</v>
      </c>
      <c r="V48" s="12">
        <f t="shared" si="5"/>
        <v>88</v>
      </c>
      <c r="W48" s="12">
        <f t="shared" si="6"/>
        <v>-385536</v>
      </c>
      <c r="X48" s="42"/>
      <c r="Y48" s="42"/>
      <c r="Z48" s="42"/>
      <c r="AA48" s="42"/>
      <c r="AB48" s="42"/>
    </row>
    <row r="49" ht="14.25" customHeight="1">
      <c r="A49" s="8">
        <v>48.0</v>
      </c>
      <c r="B49" s="8" t="s">
        <v>25</v>
      </c>
      <c r="C49" s="32" t="s">
        <v>73</v>
      </c>
      <c r="D49" s="33">
        <v>7.0</v>
      </c>
      <c r="E49" s="33">
        <v>7.0</v>
      </c>
      <c r="F49" s="8"/>
      <c r="G49" s="34">
        <v>41.0</v>
      </c>
      <c r="H49" s="8"/>
      <c r="I49" s="8">
        <f t="shared" si="1"/>
        <v>121</v>
      </c>
      <c r="J49" s="35"/>
      <c r="K49" s="36">
        <v>162.0</v>
      </c>
      <c r="L49" s="8">
        <f t="shared" si="2"/>
        <v>0</v>
      </c>
      <c r="M49" s="8">
        <f t="shared" si="3"/>
        <v>162</v>
      </c>
      <c r="N49" s="37"/>
      <c r="O49" s="38">
        <v>16.904</v>
      </c>
      <c r="P49" s="39">
        <v>12.699</v>
      </c>
      <c r="Q49" s="39">
        <f t="shared" si="4"/>
        <v>207.221</v>
      </c>
      <c r="R49" s="41">
        <v>182576.0</v>
      </c>
      <c r="S49" s="41">
        <v>182664.0</v>
      </c>
      <c r="T49" s="41">
        <v>182664.0</v>
      </c>
      <c r="U49" s="41">
        <v>182.0</v>
      </c>
      <c r="V49" s="12">
        <f t="shared" si="5"/>
        <v>88</v>
      </c>
      <c r="W49" s="12">
        <f t="shared" si="6"/>
        <v>-182482</v>
      </c>
      <c r="X49" s="42"/>
      <c r="Y49" s="42"/>
      <c r="Z49" s="42"/>
      <c r="AA49" s="42"/>
      <c r="AB49" s="42"/>
    </row>
    <row r="50" ht="14.25" customHeight="1">
      <c r="A50" s="8">
        <v>49.0</v>
      </c>
      <c r="B50" s="8" t="s">
        <v>25</v>
      </c>
      <c r="C50" s="32" t="s">
        <v>74</v>
      </c>
      <c r="D50" s="33">
        <v>7.0</v>
      </c>
      <c r="E50" s="33">
        <v>7.0</v>
      </c>
      <c r="F50" s="8"/>
      <c r="G50" s="34">
        <v>56.0</v>
      </c>
      <c r="H50" s="8"/>
      <c r="I50" s="8">
        <f t="shared" si="1"/>
        <v>76</v>
      </c>
      <c r="J50" s="35"/>
      <c r="K50" s="36">
        <v>132.0</v>
      </c>
      <c r="L50" s="8">
        <f t="shared" si="2"/>
        <v>0</v>
      </c>
      <c r="M50" s="8">
        <f t="shared" si="3"/>
        <v>132</v>
      </c>
      <c r="N50" s="37"/>
      <c r="O50" s="38">
        <v>16.904</v>
      </c>
      <c r="P50" s="39">
        <v>12.699</v>
      </c>
      <c r="Q50" s="39">
        <f t="shared" si="4"/>
        <v>207.221</v>
      </c>
      <c r="R50" s="41">
        <v>176880.0</v>
      </c>
      <c r="S50" s="41">
        <v>176973.0</v>
      </c>
      <c r="T50" s="41">
        <v>176973.0</v>
      </c>
      <c r="U50" s="41">
        <v>176.0</v>
      </c>
      <c r="V50" s="12">
        <f t="shared" si="5"/>
        <v>93</v>
      </c>
      <c r="W50" s="12">
        <f t="shared" si="6"/>
        <v>-176797</v>
      </c>
      <c r="X50" s="42"/>
      <c r="Y50" s="42"/>
      <c r="Z50" s="42"/>
      <c r="AA50" s="42"/>
      <c r="AB50" s="42"/>
    </row>
    <row r="51" ht="14.25" customHeight="1">
      <c r="A51" s="8">
        <v>50.0</v>
      </c>
      <c r="B51" s="8" t="s">
        <v>25</v>
      </c>
      <c r="C51" s="32" t="s">
        <v>75</v>
      </c>
      <c r="D51" s="33">
        <v>6.0</v>
      </c>
      <c r="E51" s="33">
        <v>6.0</v>
      </c>
      <c r="F51" s="8"/>
      <c r="G51" s="34">
        <v>55.0</v>
      </c>
      <c r="H51" s="8"/>
      <c r="I51" s="8">
        <f t="shared" si="1"/>
        <v>52</v>
      </c>
      <c r="J51" s="35"/>
      <c r="K51" s="36">
        <v>107.0</v>
      </c>
      <c r="L51" s="8">
        <f t="shared" si="2"/>
        <v>0</v>
      </c>
      <c r="M51" s="8">
        <f t="shared" si="3"/>
        <v>107</v>
      </c>
      <c r="N51" s="37"/>
      <c r="O51" s="38">
        <v>16.904</v>
      </c>
      <c r="P51" s="39">
        <v>12.699</v>
      </c>
      <c r="Q51" s="39">
        <f t="shared" si="4"/>
        <v>177.618</v>
      </c>
      <c r="R51" s="41">
        <v>197408.0</v>
      </c>
      <c r="S51" s="41">
        <v>197501.0</v>
      </c>
      <c r="T51" s="41">
        <v>197501.0</v>
      </c>
      <c r="U51" s="41">
        <v>197.0</v>
      </c>
      <c r="V51" s="12">
        <f t="shared" si="5"/>
        <v>93</v>
      </c>
      <c r="W51" s="12">
        <f t="shared" si="6"/>
        <v>-197304</v>
      </c>
      <c r="X51" s="42"/>
      <c r="Y51" s="42"/>
      <c r="Z51" s="42"/>
      <c r="AA51" s="42"/>
      <c r="AB51" s="42"/>
    </row>
    <row r="52" ht="14.25" customHeight="1">
      <c r="A52" s="8">
        <v>51.0</v>
      </c>
      <c r="B52" s="8" t="s">
        <v>25</v>
      </c>
      <c r="C52" s="32" t="s">
        <v>76</v>
      </c>
      <c r="D52" s="33">
        <v>7.0</v>
      </c>
      <c r="E52" s="33">
        <v>7.0</v>
      </c>
      <c r="F52" s="8"/>
      <c r="G52" s="34">
        <v>69.0</v>
      </c>
      <c r="H52" s="8"/>
      <c r="I52" s="8">
        <f t="shared" si="1"/>
        <v>98</v>
      </c>
      <c r="J52" s="35"/>
      <c r="K52" s="36">
        <v>167.0</v>
      </c>
      <c r="L52" s="8">
        <f t="shared" si="2"/>
        <v>0</v>
      </c>
      <c r="M52" s="8">
        <f t="shared" si="3"/>
        <v>167</v>
      </c>
      <c r="N52" s="37"/>
      <c r="O52" s="38">
        <v>16.904</v>
      </c>
      <c r="P52" s="39">
        <v>12.699</v>
      </c>
      <c r="Q52" s="39">
        <f t="shared" si="4"/>
        <v>207.221</v>
      </c>
      <c r="R52" s="41">
        <v>528962.0</v>
      </c>
      <c r="S52" s="41">
        <v>529052.0</v>
      </c>
      <c r="T52" s="41">
        <v>529052.0</v>
      </c>
      <c r="U52" s="41">
        <v>529.0</v>
      </c>
      <c r="V52" s="12">
        <f t="shared" si="5"/>
        <v>90</v>
      </c>
      <c r="W52" s="12">
        <f t="shared" si="6"/>
        <v>-528523</v>
      </c>
      <c r="X52" s="42"/>
      <c r="Y52" s="42"/>
      <c r="Z52" s="42"/>
      <c r="AA52" s="42"/>
      <c r="AB52" s="42"/>
    </row>
    <row r="53" ht="14.25" customHeight="1">
      <c r="A53" s="8">
        <v>52.0</v>
      </c>
      <c r="B53" s="8" t="s">
        <v>25</v>
      </c>
      <c r="C53" s="32" t="s">
        <v>77</v>
      </c>
      <c r="D53" s="33">
        <v>7.0</v>
      </c>
      <c r="E53" s="33">
        <v>7.0</v>
      </c>
      <c r="F53" s="8"/>
      <c r="G53" s="34">
        <v>53.0</v>
      </c>
      <c r="H53" s="8"/>
      <c r="I53" s="8">
        <f t="shared" si="1"/>
        <v>95</v>
      </c>
      <c r="J53" s="35"/>
      <c r="K53" s="36">
        <v>148.0</v>
      </c>
      <c r="L53" s="8">
        <f t="shared" si="2"/>
        <v>0</v>
      </c>
      <c r="M53" s="8">
        <f t="shared" si="3"/>
        <v>148</v>
      </c>
      <c r="N53" s="37"/>
      <c r="O53" s="38">
        <v>16.904</v>
      </c>
      <c r="P53" s="39">
        <v>12.699</v>
      </c>
      <c r="Q53" s="39">
        <f t="shared" si="4"/>
        <v>207.221</v>
      </c>
      <c r="R53" s="40">
        <v>478894.0</v>
      </c>
      <c r="S53" s="41">
        <v>478987.0</v>
      </c>
      <c r="T53" s="41">
        <v>478987.0</v>
      </c>
      <c r="U53" s="41">
        <v>478.0</v>
      </c>
      <c r="V53" s="12">
        <f t="shared" si="5"/>
        <v>93</v>
      </c>
      <c r="W53" s="12">
        <f t="shared" si="6"/>
        <v>-478509</v>
      </c>
      <c r="X53" s="42"/>
      <c r="Y53" s="42"/>
      <c r="Z53" s="42"/>
      <c r="AA53" s="42"/>
      <c r="AB53" s="42"/>
    </row>
    <row r="54" ht="14.25" customHeight="1">
      <c r="A54" s="8">
        <v>53.0</v>
      </c>
      <c r="B54" s="8" t="s">
        <v>25</v>
      </c>
      <c r="C54" s="32" t="s">
        <v>78</v>
      </c>
      <c r="D54" s="33">
        <v>6.0</v>
      </c>
      <c r="E54" s="33">
        <v>6.0</v>
      </c>
      <c r="F54" s="8"/>
      <c r="G54" s="34">
        <v>64.0</v>
      </c>
      <c r="H54" s="8"/>
      <c r="I54" s="8">
        <f t="shared" si="1"/>
        <v>76</v>
      </c>
      <c r="J54" s="35"/>
      <c r="K54" s="36">
        <v>140.0</v>
      </c>
      <c r="L54" s="8">
        <f t="shared" si="2"/>
        <v>0</v>
      </c>
      <c r="M54" s="8">
        <f t="shared" si="3"/>
        <v>140</v>
      </c>
      <c r="N54" s="37"/>
      <c r="O54" s="38">
        <v>16.904</v>
      </c>
      <c r="P54" s="39">
        <v>12.699</v>
      </c>
      <c r="Q54" s="39">
        <f t="shared" si="4"/>
        <v>177.618</v>
      </c>
      <c r="R54" s="41">
        <v>492203.0</v>
      </c>
      <c r="S54" s="41">
        <v>492296.0</v>
      </c>
      <c r="T54" s="41">
        <v>492296.0</v>
      </c>
      <c r="U54" s="41">
        <v>492.0</v>
      </c>
      <c r="V54" s="12">
        <f t="shared" si="5"/>
        <v>93</v>
      </c>
      <c r="W54" s="12">
        <f t="shared" si="6"/>
        <v>-491804</v>
      </c>
      <c r="X54" s="42"/>
      <c r="Y54" s="42"/>
      <c r="Z54" s="42"/>
      <c r="AA54" s="42"/>
      <c r="AB54" s="42"/>
    </row>
    <row r="55" ht="14.25" customHeight="1">
      <c r="A55" s="8">
        <v>54.0</v>
      </c>
      <c r="B55" s="64" t="s">
        <v>25</v>
      </c>
      <c r="C55" s="65" t="s">
        <v>79</v>
      </c>
      <c r="D55" s="66">
        <v>4.0</v>
      </c>
      <c r="E55" s="66">
        <v>4.0</v>
      </c>
      <c r="F55" s="64"/>
      <c r="G55" s="64"/>
      <c r="H55" s="64"/>
      <c r="I55" s="64">
        <f t="shared" si="1"/>
        <v>100</v>
      </c>
      <c r="J55" s="67"/>
      <c r="K55" s="68">
        <v>100.0</v>
      </c>
      <c r="L55" s="64">
        <f t="shared" si="2"/>
        <v>0</v>
      </c>
      <c r="M55" s="64">
        <f t="shared" si="3"/>
        <v>100</v>
      </c>
      <c r="N55" s="69" t="s">
        <v>101</v>
      </c>
      <c r="O55" s="70">
        <v>16.904</v>
      </c>
      <c r="P55" s="71">
        <v>12.699</v>
      </c>
      <c r="Q55" s="71">
        <f t="shared" si="4"/>
        <v>118.412</v>
      </c>
      <c r="R55" s="72"/>
      <c r="S55" s="72"/>
      <c r="T55" s="72"/>
      <c r="U55" s="72"/>
      <c r="V55" s="73">
        <f t="shared" si="5"/>
        <v>0</v>
      </c>
      <c r="W55" s="73">
        <f t="shared" si="6"/>
        <v>0</v>
      </c>
      <c r="X55" s="42"/>
      <c r="Y55" s="42"/>
      <c r="Z55" s="42"/>
      <c r="AA55" s="42"/>
      <c r="AB55" s="42"/>
    </row>
    <row r="56" ht="14.25" customHeight="1">
      <c r="A56" s="8">
        <v>55.0</v>
      </c>
      <c r="B56" s="64" t="s">
        <v>25</v>
      </c>
      <c r="C56" s="65" t="s">
        <v>80</v>
      </c>
      <c r="D56" s="66">
        <v>4.0</v>
      </c>
      <c r="E56" s="66">
        <v>4.0</v>
      </c>
      <c r="F56" s="64"/>
      <c r="G56" s="64"/>
      <c r="H56" s="64"/>
      <c r="I56" s="64">
        <f t="shared" si="1"/>
        <v>82</v>
      </c>
      <c r="J56" s="67"/>
      <c r="K56" s="68">
        <v>82.0</v>
      </c>
      <c r="L56" s="64">
        <f t="shared" si="2"/>
        <v>0</v>
      </c>
      <c r="M56" s="64">
        <f t="shared" si="3"/>
        <v>82</v>
      </c>
      <c r="N56" s="69" t="s">
        <v>101</v>
      </c>
      <c r="O56" s="70">
        <v>16.904</v>
      </c>
      <c r="P56" s="71">
        <v>12.699</v>
      </c>
      <c r="Q56" s="71">
        <f t="shared" si="4"/>
        <v>118.412</v>
      </c>
      <c r="R56" s="72"/>
      <c r="S56" s="72"/>
      <c r="T56" s="72"/>
      <c r="U56" s="72"/>
      <c r="V56" s="73">
        <f t="shared" si="5"/>
        <v>0</v>
      </c>
      <c r="W56" s="73">
        <f t="shared" si="6"/>
        <v>0</v>
      </c>
      <c r="X56" s="42"/>
      <c r="Y56" s="42"/>
      <c r="Z56" s="42"/>
      <c r="AA56" s="42"/>
      <c r="AB56" s="42"/>
    </row>
    <row r="57" ht="14.25" customHeight="1">
      <c r="A57" s="8">
        <v>56.0</v>
      </c>
      <c r="B57" s="8" t="s">
        <v>25</v>
      </c>
      <c r="C57" s="32" t="s">
        <v>81</v>
      </c>
      <c r="D57" s="33">
        <v>7.0</v>
      </c>
      <c r="E57" s="33">
        <v>7.0</v>
      </c>
      <c r="F57" s="8"/>
      <c r="G57" s="34">
        <v>37.0</v>
      </c>
      <c r="H57" s="8"/>
      <c r="I57" s="8">
        <f t="shared" si="1"/>
        <v>57</v>
      </c>
      <c r="J57" s="35"/>
      <c r="K57" s="36">
        <v>94.0</v>
      </c>
      <c r="L57" s="8">
        <f t="shared" si="2"/>
        <v>0</v>
      </c>
      <c r="M57" s="8">
        <f t="shared" si="3"/>
        <v>94</v>
      </c>
      <c r="N57" s="37"/>
      <c r="O57" s="38">
        <v>16.904</v>
      </c>
      <c r="P57" s="39">
        <v>12.699</v>
      </c>
      <c r="Q57" s="39">
        <f t="shared" si="4"/>
        <v>207.221</v>
      </c>
      <c r="R57" s="41">
        <v>481426.0</v>
      </c>
      <c r="S57" s="41">
        <v>481518.0</v>
      </c>
      <c r="T57" s="41">
        <v>481518.0</v>
      </c>
      <c r="U57" s="41">
        <v>481.0</v>
      </c>
      <c r="V57" s="12">
        <f t="shared" si="5"/>
        <v>92</v>
      </c>
      <c r="W57" s="12">
        <f t="shared" si="6"/>
        <v>-481037</v>
      </c>
      <c r="X57" s="42"/>
      <c r="Y57" s="42"/>
      <c r="Z57" s="42"/>
      <c r="AA57" s="42"/>
      <c r="AB57" s="42"/>
    </row>
    <row r="58" ht="14.25" customHeight="1">
      <c r="A58" s="8">
        <v>57.0</v>
      </c>
      <c r="B58" s="64" t="s">
        <v>25</v>
      </c>
      <c r="C58" s="65" t="s">
        <v>82</v>
      </c>
      <c r="D58" s="66">
        <v>6.0</v>
      </c>
      <c r="E58" s="66">
        <v>6.0</v>
      </c>
      <c r="F58" s="64"/>
      <c r="G58" s="74">
        <v>25.0</v>
      </c>
      <c r="H58" s="64"/>
      <c r="I58" s="64">
        <f t="shared" si="1"/>
        <v>43</v>
      </c>
      <c r="J58" s="67"/>
      <c r="K58" s="68">
        <v>68.0</v>
      </c>
      <c r="L58" s="64">
        <f t="shared" si="2"/>
        <v>0</v>
      </c>
      <c r="M58" s="64">
        <f t="shared" si="3"/>
        <v>68</v>
      </c>
      <c r="N58" s="69" t="s">
        <v>102</v>
      </c>
      <c r="O58" s="70">
        <v>16.904</v>
      </c>
      <c r="P58" s="71">
        <v>12.699</v>
      </c>
      <c r="Q58" s="71">
        <f t="shared" si="4"/>
        <v>177.618</v>
      </c>
      <c r="R58" s="75">
        <v>459110.0</v>
      </c>
      <c r="S58" s="75">
        <v>459170.0</v>
      </c>
      <c r="T58" s="75"/>
      <c r="U58" s="75"/>
      <c r="V58" s="73">
        <f t="shared" si="5"/>
        <v>60</v>
      </c>
      <c r="W58" s="73">
        <f t="shared" si="6"/>
        <v>0</v>
      </c>
      <c r="X58" s="42"/>
      <c r="Y58" s="42"/>
      <c r="Z58" s="42"/>
      <c r="AA58" s="42"/>
      <c r="AB58" s="42"/>
    </row>
    <row r="59" ht="14.25" customHeight="1">
      <c r="A59" s="8">
        <v>58.0</v>
      </c>
      <c r="B59" s="8" t="s">
        <v>25</v>
      </c>
      <c r="C59" s="32" t="s">
        <v>83</v>
      </c>
      <c r="D59" s="33">
        <v>6.0</v>
      </c>
      <c r="E59" s="33">
        <v>6.0</v>
      </c>
      <c r="F59" s="8"/>
      <c r="G59" s="34">
        <v>74.0</v>
      </c>
      <c r="H59" s="8"/>
      <c r="I59" s="8">
        <f t="shared" si="1"/>
        <v>81</v>
      </c>
      <c r="J59" s="35"/>
      <c r="K59" s="36">
        <v>155.0</v>
      </c>
      <c r="L59" s="8">
        <f t="shared" si="2"/>
        <v>0</v>
      </c>
      <c r="M59" s="8">
        <f t="shared" si="3"/>
        <v>155</v>
      </c>
      <c r="N59" s="37"/>
      <c r="O59" s="38">
        <v>16.904</v>
      </c>
      <c r="P59" s="39">
        <v>12.699</v>
      </c>
      <c r="Q59" s="39">
        <f t="shared" si="4"/>
        <v>177.618</v>
      </c>
      <c r="R59" s="41">
        <v>446053.0</v>
      </c>
      <c r="S59" s="41">
        <v>446144.0</v>
      </c>
      <c r="T59" s="41">
        <v>446144.0</v>
      </c>
      <c r="U59" s="41">
        <v>446.0</v>
      </c>
      <c r="V59" s="12">
        <f t="shared" si="5"/>
        <v>91</v>
      </c>
      <c r="W59" s="12">
        <f t="shared" si="6"/>
        <v>-445698</v>
      </c>
      <c r="X59" s="42"/>
      <c r="Y59" s="42"/>
      <c r="Z59" s="42"/>
      <c r="AA59" s="42"/>
      <c r="AB59" s="42"/>
    </row>
    <row r="60" ht="14.25" customHeight="1">
      <c r="A60" s="8">
        <v>59.0</v>
      </c>
      <c r="B60" s="8" t="s">
        <v>25</v>
      </c>
      <c r="C60" s="32" t="s">
        <v>84</v>
      </c>
      <c r="D60" s="33">
        <v>7.0</v>
      </c>
      <c r="E60" s="33">
        <v>7.0</v>
      </c>
      <c r="F60" s="8"/>
      <c r="G60" s="34">
        <v>51.0</v>
      </c>
      <c r="H60" s="8"/>
      <c r="I60" s="8">
        <f t="shared" si="1"/>
        <v>84</v>
      </c>
      <c r="J60" s="35"/>
      <c r="K60" s="36">
        <v>135.0</v>
      </c>
      <c r="L60" s="8">
        <f t="shared" si="2"/>
        <v>0</v>
      </c>
      <c r="M60" s="8">
        <f t="shared" si="3"/>
        <v>135</v>
      </c>
      <c r="N60" s="37"/>
      <c r="O60" s="38">
        <v>16.904</v>
      </c>
      <c r="P60" s="39">
        <v>12.699</v>
      </c>
      <c r="Q60" s="39">
        <f t="shared" si="4"/>
        <v>207.221</v>
      </c>
      <c r="R60" s="41">
        <v>501810.0</v>
      </c>
      <c r="S60" s="41">
        <v>501901.0</v>
      </c>
      <c r="T60" s="41">
        <v>501901.0</v>
      </c>
      <c r="U60" s="41">
        <v>501.0</v>
      </c>
      <c r="V60" s="16">
        <f t="shared" si="5"/>
        <v>91</v>
      </c>
      <c r="W60" s="16">
        <f t="shared" si="6"/>
        <v>-501400</v>
      </c>
      <c r="X60" s="42"/>
      <c r="Y60" s="42"/>
      <c r="Z60" s="42"/>
      <c r="AA60" s="42"/>
      <c r="AB60" s="42"/>
    </row>
    <row r="61" ht="14.25" customHeight="1">
      <c r="A61" s="8">
        <v>60.0</v>
      </c>
      <c r="B61" s="8" t="s">
        <v>25</v>
      </c>
      <c r="C61" s="32" t="s">
        <v>85</v>
      </c>
      <c r="D61" s="33">
        <v>6.0</v>
      </c>
      <c r="E61" s="33">
        <v>6.0</v>
      </c>
      <c r="F61" s="8"/>
      <c r="G61" s="34">
        <v>54.0</v>
      </c>
      <c r="H61" s="8"/>
      <c r="I61" s="8">
        <f t="shared" si="1"/>
        <v>93</v>
      </c>
      <c r="J61" s="35"/>
      <c r="K61" s="36">
        <v>147.0</v>
      </c>
      <c r="L61" s="8">
        <f t="shared" si="2"/>
        <v>0</v>
      </c>
      <c r="M61" s="8">
        <f t="shared" si="3"/>
        <v>147</v>
      </c>
      <c r="N61" s="37"/>
      <c r="O61" s="38">
        <v>16.904</v>
      </c>
      <c r="P61" s="39">
        <v>12.699</v>
      </c>
      <c r="Q61" s="39">
        <f t="shared" si="4"/>
        <v>177.618</v>
      </c>
      <c r="R61" s="41">
        <v>450456.0</v>
      </c>
      <c r="S61" s="41">
        <v>450547.0</v>
      </c>
      <c r="T61" s="41">
        <v>450547.0</v>
      </c>
      <c r="U61" s="41">
        <v>450.0</v>
      </c>
      <c r="V61" s="18">
        <f t="shared" si="5"/>
        <v>91</v>
      </c>
      <c r="W61" s="18">
        <f t="shared" si="6"/>
        <v>-450097</v>
      </c>
      <c r="X61" s="42"/>
      <c r="Y61" s="42"/>
      <c r="Z61" s="42"/>
      <c r="AA61" s="42"/>
      <c r="AB61" s="42"/>
    </row>
    <row r="62" ht="14.25" customHeight="1">
      <c r="A62" s="76"/>
      <c r="B62" s="42"/>
      <c r="C62" s="42"/>
      <c r="D62" s="19" t="s">
        <v>86</v>
      </c>
      <c r="E62" s="19">
        <f>SUM(M:M)</f>
        <v>7508</v>
      </c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</row>
    <row r="63" ht="14.25" customHeight="1">
      <c r="A63" s="76"/>
      <c r="B63" s="42"/>
      <c r="C63" s="42"/>
      <c r="D63" s="19" t="s">
        <v>87</v>
      </c>
      <c r="E63" s="19">
        <f>SUM(Q:Q)</f>
        <v>10957.315</v>
      </c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</row>
    <row r="64" ht="14.25" customHeight="1">
      <c r="A64" s="76"/>
      <c r="B64" s="42"/>
      <c r="C64" s="42"/>
      <c r="D64" s="19" t="s">
        <v>88</v>
      </c>
      <c r="E64" s="19">
        <f>E62/E63</f>
        <v>0.6852043589</v>
      </c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</row>
    <row r="65" ht="14.25" customHeight="1">
      <c r="A65" s="76"/>
      <c r="B65" s="42"/>
      <c r="C65" s="42"/>
      <c r="D65" s="21"/>
      <c r="E65" s="7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</row>
    <row r="66" ht="14.25" customHeight="1">
      <c r="A66" s="76"/>
      <c r="B66" s="42"/>
      <c r="C66" s="42"/>
      <c r="D66" s="22" t="s">
        <v>89</v>
      </c>
      <c r="E66" s="22">
        <f>AVERAGEIF(Q:Q,"&gt;0",Q:Q)</f>
        <v>195.6663393</v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</row>
    <row r="67" ht="14.25" customHeight="1">
      <c r="A67" s="76"/>
      <c r="B67" s="42"/>
      <c r="C67" s="42"/>
      <c r="D67" s="7"/>
      <c r="E67" s="7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</row>
    <row r="68" ht="14.25" customHeight="1">
      <c r="A68" s="76"/>
      <c r="B68" s="42"/>
      <c r="C68" s="42"/>
      <c r="D68" s="23" t="s">
        <v>90</v>
      </c>
      <c r="E68" s="24">
        <f>SUM(G:G)</f>
        <v>2893</v>
      </c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</row>
    <row r="69" ht="14.25" customHeight="1">
      <c r="A69" s="76"/>
      <c r="B69" s="42"/>
      <c r="C69" s="42"/>
      <c r="D69" s="23" t="s">
        <v>91</v>
      </c>
      <c r="E69" s="24">
        <f>SUM(H:H)</f>
        <v>26</v>
      </c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</row>
    <row r="70" ht="14.25" customHeight="1">
      <c r="A70" s="76"/>
      <c r="B70" s="42"/>
      <c r="C70" s="42"/>
      <c r="D70" s="23" t="s">
        <v>92</v>
      </c>
      <c r="E70" s="24">
        <f>E69+E68</f>
        <v>2919</v>
      </c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</row>
    <row r="71" ht="14.25" customHeight="1">
      <c r="A71" s="76"/>
      <c r="B71" s="42"/>
      <c r="C71" s="42"/>
      <c r="D71" s="7"/>
      <c r="E71" s="7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</row>
    <row r="72" ht="14.25" customHeight="1">
      <c r="A72" s="76"/>
      <c r="B72" s="42"/>
      <c r="C72" s="42"/>
      <c r="D72" s="25" t="s">
        <v>93</v>
      </c>
      <c r="E72" s="26">
        <f>SUM(I:I)</f>
        <v>4504</v>
      </c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</row>
    <row r="73" ht="14.25" customHeight="1">
      <c r="A73" s="76"/>
      <c r="B73" s="42"/>
      <c r="C73" s="42"/>
      <c r="D73" s="25" t="s">
        <v>94</v>
      </c>
      <c r="E73" s="26">
        <f>SUM(J:J)</f>
        <v>85</v>
      </c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</row>
    <row r="74" ht="14.25" customHeight="1">
      <c r="A74" s="76"/>
      <c r="B74" s="42"/>
      <c r="C74" s="42"/>
      <c r="D74" s="25" t="s">
        <v>95</v>
      </c>
      <c r="E74" s="26">
        <f>E73+E72</f>
        <v>4589</v>
      </c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</row>
    <row r="75" ht="14.25" customHeight="1">
      <c r="A75" s="76"/>
      <c r="B75" s="42"/>
      <c r="C75" s="42"/>
      <c r="D75" s="7"/>
      <c r="E75" s="7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</row>
    <row r="76" ht="14.25" customHeight="1">
      <c r="A76" s="76"/>
      <c r="B76" s="42"/>
      <c r="C76" s="42"/>
      <c r="D76" s="27" t="s">
        <v>11</v>
      </c>
      <c r="E76" s="28">
        <f t="shared" ref="E76:E77" si="7">E72+E68</f>
        <v>7397</v>
      </c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</row>
    <row r="77" ht="14.25" customHeight="1">
      <c r="A77" s="76"/>
      <c r="B77" s="42"/>
      <c r="C77" s="42"/>
      <c r="D77" s="27" t="s">
        <v>12</v>
      </c>
      <c r="E77" s="28">
        <f t="shared" si="7"/>
        <v>111</v>
      </c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</row>
    <row r="78" ht="14.25" customHeight="1">
      <c r="A78" s="76"/>
      <c r="B78" s="42"/>
      <c r="C78" s="42"/>
      <c r="D78" s="21"/>
      <c r="E78" s="21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</row>
    <row r="79" ht="14.25" customHeight="1">
      <c r="A79" s="76"/>
      <c r="B79" s="42"/>
      <c r="C79" s="42"/>
      <c r="D79" s="21"/>
      <c r="E79" s="21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</row>
    <row r="80" ht="14.25" customHeight="1">
      <c r="A80" s="76"/>
      <c r="B80" s="42"/>
      <c r="C80" s="42"/>
      <c r="D80" s="21"/>
      <c r="E80" s="21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</row>
    <row r="81" ht="14.25" customHeight="1">
      <c r="A81" s="76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</row>
    <row r="82" ht="14.25" customHeight="1">
      <c r="A82" s="76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</row>
    <row r="83" ht="14.25" customHeight="1">
      <c r="A83" s="76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</row>
    <row r="84" ht="14.25" customHeight="1">
      <c r="A84" s="76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</row>
    <row r="85" ht="14.25" customHeight="1">
      <c r="A85" s="76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</row>
    <row r="86" ht="14.25" customHeight="1">
      <c r="A86" s="76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</row>
    <row r="87" ht="14.25" customHeight="1">
      <c r="A87" s="76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</row>
    <row r="88" ht="14.25" customHeight="1">
      <c r="A88" s="76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</row>
    <row r="89" ht="14.25" customHeight="1">
      <c r="A89" s="76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</row>
    <row r="90" ht="14.25" customHeight="1">
      <c r="A90" s="76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</row>
    <row r="91" ht="14.25" customHeight="1">
      <c r="A91" s="76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</row>
    <row r="92" ht="14.25" customHeight="1">
      <c r="A92" s="76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</row>
    <row r="93" ht="14.25" customHeight="1">
      <c r="A93" s="76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 ht="14.25" customHeight="1">
      <c r="A94" s="76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</row>
    <row r="95" ht="14.25" customHeight="1">
      <c r="A95" s="76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</row>
    <row r="96" ht="14.25" customHeight="1">
      <c r="A96" s="76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</row>
    <row r="97" ht="14.25" customHeight="1">
      <c r="A97" s="76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</row>
    <row r="98" ht="14.25" customHeight="1">
      <c r="A98" s="76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</row>
    <row r="99" ht="14.25" customHeight="1">
      <c r="A99" s="76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</row>
    <row r="100" ht="14.25" customHeight="1">
      <c r="A100" s="76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</row>
    <row r="101" ht="14.25" customHeight="1">
      <c r="A101" s="76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</row>
    <row r="102" ht="14.25" customHeight="1">
      <c r="A102" s="76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</row>
    <row r="103" ht="14.25" customHeight="1">
      <c r="A103" s="76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</row>
    <row r="104" ht="14.25" customHeight="1">
      <c r="A104" s="76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</row>
    <row r="105" ht="14.25" customHeight="1">
      <c r="A105" s="76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</row>
    <row r="106" ht="14.25" customHeight="1">
      <c r="A106" s="76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 ht="14.25" customHeight="1">
      <c r="A107" s="76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</row>
    <row r="108" ht="14.25" customHeight="1">
      <c r="A108" s="76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</row>
    <row r="109" ht="14.25" customHeight="1">
      <c r="A109" s="76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</row>
    <row r="110" ht="14.25" customHeight="1">
      <c r="A110" s="76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</row>
    <row r="111" ht="14.25" customHeight="1">
      <c r="A111" s="76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</row>
    <row r="112" ht="14.25" customHeight="1">
      <c r="A112" s="76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 ht="14.25" customHeight="1">
      <c r="A113" s="76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 ht="14.25" customHeight="1">
      <c r="A114" s="76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 ht="14.25" customHeight="1">
      <c r="A115" s="76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</row>
    <row r="116" ht="14.25" customHeight="1">
      <c r="A116" s="76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</row>
    <row r="117" ht="14.25" customHeight="1">
      <c r="A117" s="76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</row>
    <row r="118" ht="14.25" customHeight="1">
      <c r="A118" s="76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</row>
    <row r="119" ht="14.25" customHeight="1">
      <c r="A119" s="76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</row>
    <row r="120" ht="14.25" customHeight="1">
      <c r="A120" s="76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</row>
    <row r="121" ht="14.25" customHeight="1">
      <c r="A121" s="76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 ht="14.25" customHeight="1">
      <c r="A122" s="76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</row>
    <row r="123" ht="14.25" customHeight="1">
      <c r="A123" s="76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 ht="14.25" customHeight="1">
      <c r="A124" s="76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 ht="14.25" customHeight="1">
      <c r="A125" s="76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</row>
    <row r="126" ht="14.25" customHeight="1">
      <c r="A126" s="76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</row>
    <row r="127" ht="14.25" customHeight="1">
      <c r="A127" s="76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</row>
    <row r="128" ht="14.25" customHeight="1">
      <c r="A128" s="76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</row>
    <row r="129" ht="14.25" customHeight="1">
      <c r="A129" s="76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</row>
    <row r="130" ht="14.25" customHeight="1">
      <c r="A130" s="76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</row>
    <row r="131" ht="14.25" customHeight="1">
      <c r="A131" s="76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</row>
    <row r="132" ht="14.25" customHeight="1">
      <c r="A132" s="76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</row>
    <row r="133" ht="14.25" customHeight="1">
      <c r="A133" s="76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</row>
    <row r="134" ht="14.25" customHeight="1">
      <c r="A134" s="76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</row>
    <row r="135" ht="14.25" customHeight="1">
      <c r="A135" s="76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</row>
    <row r="136" ht="14.25" customHeight="1">
      <c r="A136" s="76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</row>
    <row r="137" ht="14.25" customHeight="1">
      <c r="A137" s="76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</row>
    <row r="138" ht="14.25" customHeight="1">
      <c r="A138" s="76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</row>
    <row r="139" ht="14.25" customHeight="1">
      <c r="A139" s="76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</row>
    <row r="140" ht="14.25" customHeight="1">
      <c r="A140" s="76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</row>
    <row r="141" ht="14.25" customHeight="1">
      <c r="A141" s="76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</row>
    <row r="142" ht="14.25" customHeight="1">
      <c r="A142" s="76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</row>
    <row r="143" ht="14.25" customHeight="1">
      <c r="A143" s="76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</row>
    <row r="144" ht="14.25" customHeight="1">
      <c r="A144" s="76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</row>
    <row r="145" ht="14.25" customHeight="1">
      <c r="A145" s="76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</row>
    <row r="146" ht="14.25" customHeight="1">
      <c r="A146" s="76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</row>
    <row r="147" ht="14.25" customHeight="1">
      <c r="A147" s="76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</row>
    <row r="148" ht="14.25" customHeight="1">
      <c r="A148" s="76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</row>
    <row r="149" ht="14.25" customHeight="1">
      <c r="A149" s="76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</row>
    <row r="150" ht="14.25" customHeight="1">
      <c r="A150" s="76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</row>
    <row r="151" ht="14.25" customHeight="1">
      <c r="A151" s="76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</row>
    <row r="152" ht="14.25" customHeight="1">
      <c r="A152" s="76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</row>
    <row r="153" ht="14.25" customHeight="1">
      <c r="A153" s="76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</row>
    <row r="154" ht="14.25" customHeight="1">
      <c r="A154" s="76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</row>
    <row r="155" ht="14.25" customHeight="1">
      <c r="A155" s="76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</row>
    <row r="156" ht="14.25" customHeight="1">
      <c r="A156" s="76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</row>
    <row r="157" ht="14.25" customHeight="1">
      <c r="A157" s="76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 ht="14.25" customHeight="1">
      <c r="A158" s="76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</row>
    <row r="159" ht="14.25" customHeight="1">
      <c r="A159" s="76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</row>
    <row r="160" ht="14.25" customHeight="1">
      <c r="A160" s="76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</row>
    <row r="161" ht="14.25" customHeight="1">
      <c r="A161" s="76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</row>
    <row r="162" ht="14.25" customHeight="1">
      <c r="A162" s="76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</row>
    <row r="163" ht="14.25" customHeight="1">
      <c r="A163" s="76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</row>
    <row r="164" ht="14.25" customHeight="1">
      <c r="A164" s="76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</row>
    <row r="165" ht="14.25" customHeight="1">
      <c r="A165" s="76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</row>
    <row r="166" ht="14.25" customHeight="1">
      <c r="A166" s="76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</row>
    <row r="167" ht="14.25" customHeight="1">
      <c r="A167" s="76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</row>
    <row r="168" ht="14.25" customHeight="1">
      <c r="A168" s="76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</row>
    <row r="169" ht="14.25" customHeight="1">
      <c r="A169" s="76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</row>
    <row r="170" ht="14.25" customHeight="1">
      <c r="A170" s="76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</row>
    <row r="171" ht="14.25" customHeight="1">
      <c r="A171" s="76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</row>
    <row r="172" ht="14.25" customHeight="1">
      <c r="A172" s="76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</row>
    <row r="173" ht="14.25" customHeight="1">
      <c r="A173" s="76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</row>
    <row r="174" ht="14.25" customHeight="1">
      <c r="A174" s="76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</row>
    <row r="175" ht="14.25" customHeight="1">
      <c r="A175" s="76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</row>
    <row r="176" ht="14.25" customHeight="1">
      <c r="A176" s="76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</row>
    <row r="177" ht="14.25" customHeight="1">
      <c r="A177" s="76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</row>
    <row r="178" ht="14.25" customHeight="1">
      <c r="A178" s="76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</row>
    <row r="179" ht="14.25" customHeight="1">
      <c r="A179" s="76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</row>
    <row r="180" ht="14.25" customHeight="1">
      <c r="A180" s="76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</row>
    <row r="181" ht="14.25" customHeight="1">
      <c r="A181" s="76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</row>
    <row r="182" ht="14.25" customHeight="1">
      <c r="A182" s="76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</row>
    <row r="183" ht="14.25" customHeight="1">
      <c r="A183" s="76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</row>
    <row r="184" ht="14.25" customHeight="1">
      <c r="A184" s="76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</row>
    <row r="185" ht="14.25" customHeight="1">
      <c r="A185" s="76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</row>
    <row r="186" ht="14.25" customHeight="1">
      <c r="A186" s="76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</row>
    <row r="187" ht="14.25" customHeight="1">
      <c r="A187" s="76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</row>
    <row r="188" ht="14.25" customHeight="1">
      <c r="A188" s="76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</row>
    <row r="189" ht="14.25" customHeight="1">
      <c r="A189" s="76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</row>
    <row r="190" ht="14.25" customHeight="1">
      <c r="A190" s="76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</row>
    <row r="191" ht="14.25" customHeight="1">
      <c r="A191" s="76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</row>
    <row r="192" ht="14.25" customHeight="1">
      <c r="A192" s="76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</row>
    <row r="193" ht="14.25" customHeight="1">
      <c r="A193" s="76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</row>
    <row r="194" ht="14.25" customHeight="1">
      <c r="A194" s="76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</row>
    <row r="195" ht="14.25" customHeight="1">
      <c r="A195" s="76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</row>
    <row r="196" ht="14.25" customHeight="1">
      <c r="A196" s="76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</row>
    <row r="197" ht="14.25" customHeight="1">
      <c r="A197" s="76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</row>
    <row r="198" ht="14.25" customHeight="1">
      <c r="A198" s="76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</row>
    <row r="199" ht="14.25" customHeight="1">
      <c r="A199" s="76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</row>
    <row r="200" ht="14.25" customHeight="1">
      <c r="A200" s="76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</row>
    <row r="201" ht="14.25" customHeight="1">
      <c r="A201" s="76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</row>
    <row r="202" ht="14.25" customHeight="1">
      <c r="A202" s="76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 ht="14.25" customHeight="1">
      <c r="A203" s="76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</row>
    <row r="204" ht="14.25" customHeight="1">
      <c r="A204" s="76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</row>
    <row r="205" ht="14.25" customHeight="1">
      <c r="A205" s="76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</row>
    <row r="206" ht="14.25" customHeight="1">
      <c r="A206" s="76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</row>
    <row r="207" ht="14.25" customHeight="1">
      <c r="A207" s="76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</row>
    <row r="208" ht="14.25" customHeight="1">
      <c r="A208" s="76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</row>
    <row r="209" ht="14.25" customHeight="1">
      <c r="A209" s="76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</row>
    <row r="210" ht="14.25" customHeight="1">
      <c r="A210" s="76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</row>
    <row r="211" ht="14.25" customHeight="1">
      <c r="A211" s="76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</row>
    <row r="212" ht="14.25" customHeight="1">
      <c r="A212" s="76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</row>
    <row r="213" ht="14.25" customHeight="1">
      <c r="A213" s="76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</row>
    <row r="214" ht="14.25" customHeight="1">
      <c r="A214" s="76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</row>
    <row r="215" ht="14.25" customHeight="1">
      <c r="A215" s="76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</row>
    <row r="216" ht="14.25" customHeight="1">
      <c r="A216" s="76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</row>
    <row r="217" ht="14.25" customHeight="1">
      <c r="A217" s="76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</row>
    <row r="218" ht="14.25" customHeight="1">
      <c r="A218" s="76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</row>
    <row r="219" ht="14.25" customHeight="1">
      <c r="A219" s="76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</row>
    <row r="220" ht="14.25" customHeight="1">
      <c r="A220" s="76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</row>
    <row r="221" ht="14.25" customHeight="1">
      <c r="A221" s="76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</row>
    <row r="222" ht="14.25" customHeight="1">
      <c r="A222" s="76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</row>
    <row r="223" ht="14.25" customHeight="1">
      <c r="A223" s="76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</row>
    <row r="224" ht="14.25" customHeight="1">
      <c r="A224" s="76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</row>
    <row r="225" ht="14.25" customHeight="1">
      <c r="A225" s="76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</row>
    <row r="226" ht="14.25" customHeight="1">
      <c r="A226" s="76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</row>
    <row r="227" ht="14.25" customHeight="1">
      <c r="A227" s="76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</row>
    <row r="228" ht="14.25" customHeight="1">
      <c r="A228" s="76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</row>
    <row r="229" ht="14.25" customHeight="1">
      <c r="A229" s="76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</row>
    <row r="230" ht="14.25" customHeight="1">
      <c r="A230" s="76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</row>
    <row r="231" ht="14.25" customHeight="1">
      <c r="A231" s="76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</row>
    <row r="232" ht="14.25" customHeight="1">
      <c r="A232" s="76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</row>
    <row r="233" ht="14.25" customHeight="1">
      <c r="A233" s="76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</row>
    <row r="234" ht="14.25" customHeight="1">
      <c r="A234" s="76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</row>
    <row r="235" ht="14.25" customHeight="1">
      <c r="A235" s="76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</row>
    <row r="236" ht="14.25" customHeight="1">
      <c r="A236" s="76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</row>
    <row r="237" ht="14.25" customHeight="1">
      <c r="A237" s="76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</row>
    <row r="238" ht="14.25" customHeight="1">
      <c r="A238" s="76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</row>
    <row r="239" ht="14.25" customHeight="1">
      <c r="A239" s="76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</row>
    <row r="240" ht="14.25" customHeight="1">
      <c r="A240" s="76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</row>
    <row r="241" ht="14.25" customHeight="1">
      <c r="A241" s="76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</row>
    <row r="242" ht="14.25" customHeight="1">
      <c r="A242" s="76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</row>
    <row r="243" ht="14.25" customHeight="1">
      <c r="A243" s="76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</row>
    <row r="244" ht="14.25" customHeight="1">
      <c r="A244" s="76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</row>
    <row r="245" ht="14.25" customHeight="1">
      <c r="A245" s="76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</row>
    <row r="246" ht="14.25" customHeight="1">
      <c r="A246" s="76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</row>
    <row r="247" ht="14.25" customHeight="1">
      <c r="A247" s="76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</row>
    <row r="248" ht="14.25" customHeight="1">
      <c r="A248" s="76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</row>
    <row r="249" ht="14.25" customHeight="1">
      <c r="A249" s="76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</row>
    <row r="250" ht="14.25" customHeight="1">
      <c r="A250" s="76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</row>
    <row r="251" ht="14.25" customHeight="1">
      <c r="A251" s="76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</row>
    <row r="252" ht="14.25" customHeight="1">
      <c r="A252" s="76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</row>
    <row r="253" ht="14.25" customHeight="1">
      <c r="A253" s="76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</row>
    <row r="254" ht="14.25" customHeight="1">
      <c r="A254" s="76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</row>
    <row r="255" ht="14.25" customHeight="1">
      <c r="A255" s="76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</row>
    <row r="256" ht="14.25" customHeight="1">
      <c r="A256" s="76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</row>
    <row r="257" ht="14.25" customHeight="1">
      <c r="A257" s="76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</row>
    <row r="258" ht="14.25" customHeight="1">
      <c r="A258" s="76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</row>
    <row r="259" ht="14.25" customHeight="1">
      <c r="A259" s="76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</row>
    <row r="260" ht="14.25" customHeight="1">
      <c r="A260" s="76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</row>
    <row r="261" ht="14.25" customHeight="1">
      <c r="A261" s="76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</row>
    <row r="262" ht="14.25" customHeight="1">
      <c r="A262" s="76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</row>
    <row r="263" ht="14.25" customHeight="1">
      <c r="A263" s="76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</row>
    <row r="264" ht="14.25" customHeight="1">
      <c r="A264" s="76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</row>
    <row r="265" ht="14.25" customHeight="1">
      <c r="A265" s="76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</row>
    <row r="266" ht="14.25" customHeight="1">
      <c r="A266" s="76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</row>
    <row r="267" ht="14.25" customHeight="1">
      <c r="A267" s="76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</row>
    <row r="268" ht="14.25" customHeight="1">
      <c r="A268" s="76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</row>
    <row r="269" ht="14.25" customHeight="1">
      <c r="A269" s="76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</row>
    <row r="270" ht="14.25" customHeight="1">
      <c r="A270" s="76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</row>
    <row r="271" ht="14.25" customHeight="1">
      <c r="A271" s="76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</row>
    <row r="272" ht="14.25" customHeight="1">
      <c r="A272" s="76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</row>
    <row r="273" ht="14.25" customHeight="1">
      <c r="A273" s="76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</row>
    <row r="274" ht="14.25" customHeight="1">
      <c r="A274" s="76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</row>
    <row r="275" ht="14.25" customHeight="1">
      <c r="A275" s="76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</row>
    <row r="276" ht="14.25" customHeight="1">
      <c r="A276" s="76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</row>
    <row r="277" ht="14.25" customHeight="1">
      <c r="A277" s="76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</row>
    <row r="278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</row>
    <row r="279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</row>
    <row r="280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</row>
    <row r="281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</row>
    <row r="282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</row>
    <row r="283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</row>
    <row r="284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</row>
    <row r="285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</row>
    <row r="28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</row>
    <row r="287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</row>
    <row r="288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</row>
    <row r="289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</row>
    <row r="290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</row>
    <row r="291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</row>
    <row r="292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</row>
    <row r="293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</row>
    <row r="294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</row>
    <row r="295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</row>
    <row r="29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</row>
    <row r="297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</row>
    <row r="298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</row>
    <row r="299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</row>
    <row r="300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</row>
    <row r="301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</row>
    <row r="302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</row>
    <row r="303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</row>
    <row r="304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</row>
    <row r="305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</row>
    <row r="30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</row>
    <row r="307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</row>
    <row r="308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</row>
    <row r="309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</row>
    <row r="310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</row>
    <row r="311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</row>
    <row r="312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</row>
    <row r="313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</row>
    <row r="314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</row>
    <row r="315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</row>
    <row r="31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</row>
    <row r="317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</row>
    <row r="318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</row>
    <row r="319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</row>
    <row r="320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</row>
    <row r="321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</row>
    <row r="322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</row>
    <row r="323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</row>
    <row r="324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</row>
    <row r="325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</row>
    <row r="3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</row>
    <row r="327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</row>
    <row r="328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</row>
    <row r="329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</row>
    <row r="330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</row>
    <row r="331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</row>
    <row r="332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</row>
    <row r="333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</row>
    <row r="334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</row>
    <row r="335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</row>
    <row r="33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</row>
    <row r="337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</row>
    <row r="338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</row>
    <row r="339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</row>
    <row r="340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</row>
    <row r="341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</row>
    <row r="342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</row>
    <row r="343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</row>
    <row r="344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</row>
    <row r="345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</row>
    <row r="34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</row>
    <row r="34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</row>
    <row r="348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</row>
    <row r="349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</row>
    <row r="350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</row>
    <row r="351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</row>
    <row r="352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</row>
    <row r="353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</row>
    <row r="354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</row>
    <row r="355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</row>
    <row r="35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</row>
    <row r="35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</row>
    <row r="358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</row>
    <row r="359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</row>
    <row r="360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</row>
    <row r="361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</row>
    <row r="362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</row>
    <row r="363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</row>
    <row r="364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</row>
    <row r="365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</row>
    <row r="36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</row>
    <row r="36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</row>
    <row r="368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</row>
    <row r="369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</row>
    <row r="370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</row>
    <row r="371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</row>
    <row r="372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</row>
    <row r="373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</row>
    <row r="374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</row>
    <row r="375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</row>
    <row r="37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</row>
    <row r="37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</row>
    <row r="378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</row>
    <row r="379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</row>
    <row r="380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</row>
    <row r="381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</row>
    <row r="382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</row>
    <row r="383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</row>
    <row r="384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</row>
    <row r="385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</row>
    <row r="38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</row>
    <row r="38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</row>
    <row r="388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</row>
    <row r="389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</row>
    <row r="390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</row>
    <row r="391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</row>
    <row r="392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</row>
    <row r="393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</row>
    <row r="394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</row>
    <row r="395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</row>
    <row r="39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</row>
    <row r="39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</row>
    <row r="398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</row>
    <row r="399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</row>
    <row r="400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</row>
    <row r="401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</row>
    <row r="402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</row>
    <row r="403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</row>
    <row r="404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</row>
    <row r="405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</row>
    <row r="40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</row>
    <row r="40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</row>
    <row r="408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</row>
    <row r="409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</row>
    <row r="410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</row>
    <row r="411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</row>
    <row r="412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</row>
    <row r="413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</row>
    <row r="414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</row>
    <row r="415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</row>
    <row r="41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</row>
    <row r="41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</row>
    <row r="418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</row>
    <row r="419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</row>
    <row r="420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</row>
    <row r="421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</row>
    <row r="422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</row>
    <row r="423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</row>
    <row r="424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</row>
    <row r="425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</row>
    <row r="4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</row>
    <row r="42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</row>
    <row r="428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</row>
    <row r="429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</row>
    <row r="430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</row>
    <row r="431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</row>
    <row r="432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</row>
    <row r="433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</row>
    <row r="434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</row>
    <row r="435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</row>
    <row r="43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</row>
    <row r="4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</row>
    <row r="438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</row>
    <row r="439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</row>
    <row r="440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</row>
    <row r="441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</row>
    <row r="442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</row>
    <row r="443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</row>
    <row r="444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</row>
    <row r="445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</row>
    <row r="44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</row>
    <row r="44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</row>
    <row r="448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</row>
    <row r="449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</row>
    <row r="450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</row>
    <row r="451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</row>
    <row r="452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</row>
    <row r="453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</row>
    <row r="454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</row>
    <row r="455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</row>
    <row r="45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</row>
    <row r="45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</row>
    <row r="458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</row>
    <row r="459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</row>
    <row r="460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</row>
    <row r="461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</row>
    <row r="462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</row>
    <row r="463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</row>
    <row r="464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</row>
    <row r="465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</row>
    <row r="46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</row>
    <row r="46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</row>
    <row r="468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</row>
    <row r="469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</row>
    <row r="470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</row>
    <row r="471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</row>
    <row r="472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</row>
    <row r="473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</row>
    <row r="474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</row>
    <row r="475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</row>
    <row r="47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</row>
    <row r="47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</row>
    <row r="478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</row>
    <row r="479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</row>
    <row r="480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</row>
    <row r="481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</row>
    <row r="482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</row>
    <row r="483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</row>
    <row r="484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</row>
    <row r="485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</row>
    <row r="48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</row>
    <row r="48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</row>
    <row r="488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</row>
    <row r="489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</row>
    <row r="490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</row>
    <row r="491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</row>
    <row r="492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</row>
    <row r="493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</row>
    <row r="494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</row>
    <row r="495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</row>
    <row r="49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</row>
    <row r="49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</row>
    <row r="498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</row>
    <row r="499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</row>
    <row r="500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</row>
    <row r="501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</row>
    <row r="502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</row>
    <row r="503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</row>
    <row r="504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</row>
    <row r="505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</row>
    <row r="50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</row>
    <row r="50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</row>
    <row r="508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</row>
    <row r="509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</row>
    <row r="510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</row>
    <row r="511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</row>
    <row r="512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</row>
    <row r="513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</row>
    <row r="514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</row>
    <row r="515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</row>
    <row r="51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</row>
    <row r="51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</row>
    <row r="518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</row>
    <row r="519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</row>
    <row r="520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</row>
    <row r="521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</row>
    <row r="522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</row>
    <row r="523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</row>
    <row r="524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</row>
    <row r="525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</row>
    <row r="5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</row>
    <row r="52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</row>
    <row r="528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</row>
    <row r="529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</row>
    <row r="530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</row>
    <row r="531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</row>
    <row r="532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</row>
    <row r="533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</row>
    <row r="534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</row>
    <row r="535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</row>
    <row r="53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</row>
    <row r="5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</row>
    <row r="538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</row>
    <row r="539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</row>
    <row r="540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</row>
    <row r="541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</row>
    <row r="542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</row>
    <row r="543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</row>
    <row r="544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</row>
    <row r="545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</row>
    <row r="54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</row>
    <row r="54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</row>
    <row r="548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</row>
    <row r="549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</row>
    <row r="550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</row>
    <row r="551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</row>
    <row r="552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</row>
    <row r="553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</row>
    <row r="554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</row>
    <row r="555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</row>
    <row r="55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</row>
    <row r="55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</row>
    <row r="558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</row>
    <row r="559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</row>
    <row r="560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</row>
    <row r="561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</row>
    <row r="562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</row>
    <row r="563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</row>
    <row r="564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</row>
    <row r="565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</row>
    <row r="56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</row>
    <row r="56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</row>
    <row r="568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</row>
    <row r="569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</row>
    <row r="570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</row>
    <row r="571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</row>
    <row r="572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</row>
    <row r="573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</row>
    <row r="574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</row>
    <row r="575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</row>
    <row r="57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</row>
    <row r="57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</row>
    <row r="578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</row>
    <row r="579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</row>
    <row r="580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</row>
    <row r="581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</row>
    <row r="582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</row>
    <row r="583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</row>
    <row r="584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</row>
    <row r="585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</row>
    <row r="58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</row>
    <row r="58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</row>
    <row r="588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</row>
    <row r="589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</row>
    <row r="590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</row>
    <row r="591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</row>
    <row r="592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</row>
    <row r="593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</row>
    <row r="594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</row>
    <row r="595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</row>
    <row r="59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</row>
    <row r="59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</row>
    <row r="598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</row>
    <row r="599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</row>
    <row r="600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</row>
    <row r="601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</row>
    <row r="602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</row>
    <row r="603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</row>
    <row r="604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</row>
    <row r="605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</row>
    <row r="60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</row>
    <row r="60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</row>
    <row r="608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</row>
    <row r="609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</row>
    <row r="610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</row>
    <row r="611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</row>
    <row r="612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</row>
    <row r="613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</row>
    <row r="614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</row>
    <row r="615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</row>
    <row r="61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</row>
    <row r="61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</row>
    <row r="618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</row>
    <row r="619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</row>
    <row r="620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</row>
    <row r="621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</row>
    <row r="622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</row>
    <row r="623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</row>
    <row r="624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</row>
    <row r="625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</row>
    <row r="6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</row>
    <row r="62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</row>
    <row r="628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</row>
    <row r="629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</row>
    <row r="630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</row>
    <row r="631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</row>
    <row r="632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</row>
    <row r="633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</row>
    <row r="634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</row>
    <row r="635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</row>
    <row r="63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</row>
    <row r="6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</row>
    <row r="638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</row>
    <row r="639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</row>
    <row r="640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</row>
    <row r="641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</row>
    <row r="642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</row>
    <row r="643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</row>
    <row r="644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</row>
    <row r="645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</row>
    <row r="64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</row>
    <row r="64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</row>
    <row r="648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</row>
    <row r="649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</row>
    <row r="650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</row>
    <row r="651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</row>
    <row r="652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</row>
    <row r="653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</row>
    <row r="654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</row>
    <row r="655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</row>
    <row r="65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</row>
    <row r="65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</row>
    <row r="658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</row>
    <row r="659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</row>
    <row r="660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</row>
    <row r="661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</row>
    <row r="662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</row>
    <row r="663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</row>
    <row r="664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</row>
    <row r="665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</row>
    <row r="66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</row>
    <row r="66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</row>
    <row r="668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</row>
    <row r="669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</row>
    <row r="670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</row>
    <row r="671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</row>
    <row r="672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</row>
    <row r="673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</row>
    <row r="674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</row>
    <row r="675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</row>
    <row r="67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</row>
    <row r="67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</row>
    <row r="678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</row>
    <row r="679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</row>
    <row r="680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</row>
    <row r="681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</row>
    <row r="682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</row>
    <row r="683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</row>
    <row r="684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</row>
    <row r="685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</row>
    <row r="68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</row>
    <row r="68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</row>
    <row r="688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</row>
    <row r="689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</row>
    <row r="690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</row>
    <row r="691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</row>
    <row r="692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</row>
    <row r="693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</row>
    <row r="694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</row>
    <row r="695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</row>
    <row r="69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</row>
    <row r="69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</row>
    <row r="698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</row>
    <row r="699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</row>
    <row r="700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</row>
    <row r="701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</row>
    <row r="702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</row>
    <row r="703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</row>
    <row r="704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</row>
    <row r="705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</row>
    <row r="70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</row>
    <row r="70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</row>
    <row r="708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</row>
    <row r="709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</row>
    <row r="710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</row>
    <row r="711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</row>
    <row r="712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</row>
    <row r="713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</row>
    <row r="714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</row>
    <row r="715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</row>
    <row r="71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</row>
    <row r="71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</row>
    <row r="718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</row>
    <row r="719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</row>
    <row r="720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</row>
    <row r="721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</row>
    <row r="722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</row>
    <row r="723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</row>
    <row r="724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</row>
    <row r="725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</row>
    <row r="7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</row>
    <row r="72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</row>
    <row r="728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</row>
    <row r="729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</row>
    <row r="730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</row>
    <row r="731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</row>
    <row r="732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</row>
    <row r="733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</row>
    <row r="734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</row>
    <row r="735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</row>
    <row r="73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</row>
    <row r="7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</row>
    <row r="738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</row>
    <row r="739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</row>
    <row r="740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</row>
    <row r="741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</row>
    <row r="742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</row>
    <row r="743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</row>
    <row r="744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</row>
    <row r="745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</row>
    <row r="74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</row>
    <row r="74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</row>
    <row r="748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</row>
    <row r="749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</row>
    <row r="750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</row>
    <row r="751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</row>
    <row r="752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</row>
    <row r="753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</row>
    <row r="754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</row>
    <row r="755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</row>
    <row r="75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</row>
    <row r="75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</row>
    <row r="758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</row>
    <row r="759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</row>
    <row r="760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</row>
    <row r="761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</row>
    <row r="762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</row>
    <row r="763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</row>
    <row r="764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</row>
    <row r="765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</row>
    <row r="76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</row>
    <row r="76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</row>
    <row r="768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</row>
    <row r="769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</row>
    <row r="770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</row>
    <row r="771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</row>
    <row r="772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</row>
    <row r="773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</row>
    <row r="774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</row>
    <row r="775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</row>
    <row r="77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</row>
    <row r="77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</row>
    <row r="778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</row>
    <row r="779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</row>
    <row r="780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</row>
    <row r="781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</row>
    <row r="782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</row>
    <row r="783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</row>
    <row r="784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</row>
    <row r="785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</row>
    <row r="78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</row>
    <row r="78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</row>
    <row r="788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</row>
    <row r="789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</row>
    <row r="790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</row>
    <row r="791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</row>
    <row r="792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</row>
    <row r="793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</row>
    <row r="794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</row>
    <row r="795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</row>
    <row r="79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</row>
    <row r="79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</row>
    <row r="798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</row>
    <row r="799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</row>
    <row r="800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</row>
    <row r="801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</row>
    <row r="802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</row>
    <row r="803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</row>
    <row r="804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</row>
    <row r="805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</row>
    <row r="80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</row>
    <row r="80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</row>
    <row r="808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</row>
    <row r="809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</row>
    <row r="810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</row>
    <row r="811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</row>
    <row r="812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</row>
    <row r="813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</row>
    <row r="814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</row>
    <row r="815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</row>
    <row r="81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</row>
    <row r="81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</row>
    <row r="818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</row>
    <row r="819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</row>
    <row r="820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</row>
    <row r="821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</row>
    <row r="822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</row>
    <row r="823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</row>
    <row r="824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</row>
    <row r="825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</row>
    <row r="8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</row>
    <row r="82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</row>
    <row r="828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</row>
    <row r="829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</row>
    <row r="830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</row>
    <row r="831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</row>
    <row r="832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</row>
    <row r="833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</row>
    <row r="834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</row>
    <row r="835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</row>
    <row r="83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</row>
    <row r="8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</row>
    <row r="838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</row>
    <row r="839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</row>
    <row r="840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</row>
    <row r="841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</row>
    <row r="842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</row>
    <row r="843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</row>
    <row r="844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</row>
    <row r="845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</row>
    <row r="84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</row>
    <row r="84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</row>
    <row r="848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</row>
    <row r="849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</row>
    <row r="850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</row>
    <row r="851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</row>
    <row r="852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</row>
    <row r="853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</row>
    <row r="854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</row>
    <row r="855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</row>
    <row r="85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</row>
    <row r="85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</row>
    <row r="858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</row>
    <row r="859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</row>
    <row r="860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</row>
    <row r="861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</row>
    <row r="862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</row>
    <row r="863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</row>
    <row r="864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</row>
    <row r="865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</row>
    <row r="86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</row>
    <row r="86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</row>
    <row r="868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</row>
    <row r="869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</row>
    <row r="870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</row>
    <row r="871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</row>
    <row r="872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</row>
    <row r="873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</row>
    <row r="874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</row>
    <row r="875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</row>
    <row r="87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</row>
    <row r="87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</row>
    <row r="878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</row>
    <row r="879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</row>
    <row r="880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</row>
    <row r="881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</row>
    <row r="882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</row>
    <row r="883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</row>
    <row r="884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</row>
    <row r="885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</row>
    <row r="88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</row>
    <row r="88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</row>
    <row r="888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</row>
    <row r="889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</row>
    <row r="890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</row>
    <row r="891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</row>
    <row r="892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</row>
    <row r="893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</row>
    <row r="894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</row>
    <row r="895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</row>
    <row r="89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</row>
    <row r="89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</row>
    <row r="898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</row>
    <row r="899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</row>
    <row r="900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</row>
    <row r="901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</row>
    <row r="902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</row>
    <row r="903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</row>
    <row r="904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</row>
    <row r="905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</row>
    <row r="90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</row>
    <row r="90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</row>
    <row r="908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</row>
    <row r="909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</row>
    <row r="910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</row>
    <row r="911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</row>
    <row r="912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</row>
    <row r="913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</row>
    <row r="914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</row>
    <row r="915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</row>
    <row r="91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</row>
    <row r="91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</row>
    <row r="918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</row>
    <row r="919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</row>
    <row r="920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</row>
    <row r="921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</row>
    <row r="922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</row>
    <row r="923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</row>
    <row r="924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</row>
    <row r="925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</row>
    <row r="9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</row>
    <row r="92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</row>
    <row r="928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</row>
    <row r="929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</row>
    <row r="930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</row>
    <row r="931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</row>
    <row r="932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</row>
    <row r="933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</row>
    <row r="934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</row>
    <row r="935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</row>
    <row r="93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</row>
    <row r="937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</row>
    <row r="938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</row>
    <row r="939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</row>
    <row r="940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</row>
    <row r="941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</row>
    <row r="942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</row>
    <row r="943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</row>
    <row r="944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</row>
    <row r="945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</row>
    <row r="94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</row>
    <row r="947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</row>
    <row r="948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</row>
    <row r="949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</row>
    <row r="950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</row>
    <row r="951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</row>
    <row r="952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</row>
    <row r="953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</row>
    <row r="954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</row>
    <row r="955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</row>
    <row r="95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</row>
    <row r="957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</row>
    <row r="958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</row>
    <row r="959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</row>
    <row r="960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</row>
    <row r="961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</row>
    <row r="962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</row>
    <row r="963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</row>
    <row r="964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</row>
    <row r="965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</row>
    <row r="96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</row>
    <row r="967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</row>
    <row r="968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</row>
    <row r="969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</row>
    <row r="970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</row>
    <row r="971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</row>
    <row r="972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</row>
    <row r="973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</row>
    <row r="974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</row>
    <row r="975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</row>
    <row r="97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</row>
    <row r="977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</row>
    <row r="978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</row>
    <row r="979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</row>
    <row r="980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</row>
    <row r="981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</row>
    <row r="982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</row>
    <row r="983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</row>
    <row r="984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</row>
    <row r="985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</row>
    <row r="98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</row>
    <row r="987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</row>
    <row r="988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</row>
    <row r="989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</row>
    <row r="990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</row>
    <row r="991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</row>
    <row r="992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</row>
    <row r="993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</row>
    <row r="994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</row>
    <row r="995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</row>
    <row r="99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</row>
    <row r="997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</row>
    <row r="998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</row>
    <row r="999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</row>
    <row r="1000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77" t="s">
        <v>19</v>
      </c>
      <c r="S1" s="78" t="s">
        <v>20</v>
      </c>
      <c r="T1" s="78" t="s">
        <v>21</v>
      </c>
      <c r="U1" s="78" t="s">
        <v>22</v>
      </c>
      <c r="V1" s="79" t="s">
        <v>23</v>
      </c>
      <c r="W1" s="79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44" t="s">
        <v>26</v>
      </c>
      <c r="D2" s="44"/>
      <c r="E2" s="44"/>
      <c r="F2" s="81"/>
      <c r="G2" s="81"/>
      <c r="H2" s="81"/>
      <c r="I2" s="82">
        <f t="shared" ref="I2:I61" si="1">max(0,K2-G2)</f>
        <v>0</v>
      </c>
      <c r="J2" s="83"/>
      <c r="K2" s="83"/>
      <c r="L2" s="82">
        <f t="shared" ref="L2:L61" si="2">J2+H2</f>
        <v>0</v>
      </c>
      <c r="M2" s="82">
        <f t="shared" ref="M2:M61" si="3">G2+H2+I2+J2</f>
        <v>0</v>
      </c>
      <c r="N2" s="45" t="s">
        <v>103</v>
      </c>
      <c r="O2" s="44">
        <v>16.904</v>
      </c>
      <c r="P2" s="44">
        <v>12.699</v>
      </c>
      <c r="Q2" s="44">
        <f t="shared" ref="Q2:Q61" si="4">(D2*O2)+(E2*P2)</f>
        <v>0</v>
      </c>
      <c r="R2" s="84"/>
      <c r="S2" s="85"/>
      <c r="T2" s="86"/>
      <c r="U2" s="86"/>
      <c r="V2" s="87">
        <f t="shared" ref="V2:V61" si="5">S2-R2</f>
        <v>0</v>
      </c>
      <c r="W2" s="87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3">
        <v>7.0</v>
      </c>
      <c r="E3" s="33">
        <v>7.0</v>
      </c>
      <c r="F3" s="88"/>
      <c r="G3" s="89">
        <v>45.0</v>
      </c>
      <c r="H3" s="88"/>
      <c r="I3" s="90">
        <f t="shared" si="1"/>
        <v>76</v>
      </c>
      <c r="J3" s="91"/>
      <c r="K3" s="92">
        <v>121.0</v>
      </c>
      <c r="L3" s="90">
        <f t="shared" si="2"/>
        <v>0</v>
      </c>
      <c r="M3" s="90">
        <f t="shared" si="3"/>
        <v>121</v>
      </c>
      <c r="N3" s="32"/>
      <c r="O3" s="32">
        <v>16.904</v>
      </c>
      <c r="P3" s="32">
        <v>12.699</v>
      </c>
      <c r="Q3" s="32">
        <f t="shared" si="4"/>
        <v>207.221</v>
      </c>
      <c r="R3" s="93">
        <v>506775.0</v>
      </c>
      <c r="S3" s="94"/>
      <c r="T3" s="94"/>
      <c r="U3" s="94"/>
      <c r="V3" s="95">
        <f t="shared" si="5"/>
        <v>-506775</v>
      </c>
      <c r="W3" s="9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3">
        <v>7.0</v>
      </c>
      <c r="E4" s="33">
        <v>7.0</v>
      </c>
      <c r="F4" s="88"/>
      <c r="G4" s="89">
        <v>66.0</v>
      </c>
      <c r="H4" s="88"/>
      <c r="I4" s="90">
        <f t="shared" si="1"/>
        <v>52</v>
      </c>
      <c r="J4" s="91"/>
      <c r="K4" s="92">
        <v>118.0</v>
      </c>
      <c r="L4" s="90">
        <f t="shared" si="2"/>
        <v>0</v>
      </c>
      <c r="M4" s="90">
        <f t="shared" si="3"/>
        <v>118</v>
      </c>
      <c r="N4" s="32"/>
      <c r="O4" s="32">
        <v>16.904</v>
      </c>
      <c r="P4" s="32">
        <v>12.699</v>
      </c>
      <c r="Q4" s="32">
        <f t="shared" si="4"/>
        <v>207.221</v>
      </c>
      <c r="R4" s="96">
        <v>512622.0</v>
      </c>
      <c r="S4" s="97"/>
      <c r="T4" s="97"/>
      <c r="U4" s="98"/>
      <c r="V4" s="95">
        <f t="shared" si="5"/>
        <v>-512622</v>
      </c>
      <c r="W4" s="9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3">
        <v>6.0</v>
      </c>
      <c r="E5" s="33">
        <v>6.0</v>
      </c>
      <c r="F5" s="88"/>
      <c r="G5" s="89">
        <v>65.0</v>
      </c>
      <c r="H5" s="88"/>
      <c r="I5" s="90">
        <f t="shared" si="1"/>
        <v>65</v>
      </c>
      <c r="J5" s="91"/>
      <c r="K5" s="92">
        <v>130.0</v>
      </c>
      <c r="L5" s="90">
        <f t="shared" si="2"/>
        <v>0</v>
      </c>
      <c r="M5" s="90">
        <f t="shared" si="3"/>
        <v>130</v>
      </c>
      <c r="N5" s="32"/>
      <c r="O5" s="32">
        <v>16.904</v>
      </c>
      <c r="P5" s="32">
        <v>12.699</v>
      </c>
      <c r="Q5" s="32">
        <f t="shared" si="4"/>
        <v>177.618</v>
      </c>
      <c r="R5" s="96">
        <v>202048.0</v>
      </c>
      <c r="S5" s="97"/>
      <c r="T5" s="97"/>
      <c r="U5" s="98"/>
      <c r="V5" s="95">
        <f t="shared" si="5"/>
        <v>-202048</v>
      </c>
      <c r="W5" s="9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3">
        <v>6.0</v>
      </c>
      <c r="E6" s="33">
        <v>6.0</v>
      </c>
      <c r="F6" s="88"/>
      <c r="G6" s="89">
        <v>61.0</v>
      </c>
      <c r="H6" s="88"/>
      <c r="I6" s="90">
        <f t="shared" si="1"/>
        <v>113</v>
      </c>
      <c r="J6" s="91"/>
      <c r="K6" s="92">
        <v>174.0</v>
      </c>
      <c r="L6" s="90">
        <f t="shared" si="2"/>
        <v>0</v>
      </c>
      <c r="M6" s="90">
        <f t="shared" si="3"/>
        <v>174</v>
      </c>
      <c r="N6" s="32"/>
      <c r="O6" s="32">
        <v>16.904</v>
      </c>
      <c r="P6" s="32">
        <v>12.699</v>
      </c>
      <c r="Q6" s="32">
        <f t="shared" si="4"/>
        <v>177.618</v>
      </c>
      <c r="R6" s="96">
        <v>484565.0</v>
      </c>
      <c r="S6" s="97"/>
      <c r="T6" s="97"/>
      <c r="U6" s="98"/>
      <c r="V6" s="95">
        <f t="shared" si="5"/>
        <v>-484565</v>
      </c>
      <c r="W6" s="9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3">
        <v>7.0</v>
      </c>
      <c r="E7" s="33">
        <v>7.0</v>
      </c>
      <c r="F7" s="88"/>
      <c r="G7" s="89">
        <v>63.0</v>
      </c>
      <c r="H7" s="88"/>
      <c r="I7" s="90">
        <f t="shared" si="1"/>
        <v>93</v>
      </c>
      <c r="J7" s="91"/>
      <c r="K7" s="92">
        <v>156.0</v>
      </c>
      <c r="L7" s="90">
        <f t="shared" si="2"/>
        <v>0</v>
      </c>
      <c r="M7" s="90">
        <f t="shared" si="3"/>
        <v>156</v>
      </c>
      <c r="N7" s="32"/>
      <c r="O7" s="32">
        <v>16.904</v>
      </c>
      <c r="P7" s="32">
        <v>12.699</v>
      </c>
      <c r="Q7" s="32">
        <f t="shared" si="4"/>
        <v>207.221</v>
      </c>
      <c r="R7" s="96">
        <v>181319.0</v>
      </c>
      <c r="S7" s="97"/>
      <c r="T7" s="97"/>
      <c r="U7" s="98"/>
      <c r="V7" s="95">
        <f t="shared" si="5"/>
        <v>-181319</v>
      </c>
      <c r="W7" s="95">
        <f t="shared" si="6"/>
        <v>0</v>
      </c>
    </row>
    <row r="8" ht="14.25" customHeight="1">
      <c r="A8" s="8">
        <v>7.0</v>
      </c>
      <c r="B8" s="8" t="s">
        <v>25</v>
      </c>
      <c r="C8" s="44" t="s">
        <v>32</v>
      </c>
      <c r="D8" s="45">
        <v>3.0</v>
      </c>
      <c r="E8" s="45">
        <v>3.0</v>
      </c>
      <c r="F8" s="81"/>
      <c r="G8" s="99">
        <v>87.0</v>
      </c>
      <c r="H8" s="81"/>
      <c r="I8" s="82">
        <f t="shared" si="1"/>
        <v>0</v>
      </c>
      <c r="J8" s="83"/>
      <c r="K8" s="83"/>
      <c r="L8" s="82">
        <f t="shared" si="2"/>
        <v>0</v>
      </c>
      <c r="M8" s="82">
        <f t="shared" si="3"/>
        <v>87</v>
      </c>
      <c r="N8" s="45" t="s">
        <v>99</v>
      </c>
      <c r="O8" s="44">
        <v>16.904</v>
      </c>
      <c r="P8" s="44">
        <v>12.699</v>
      </c>
      <c r="Q8" s="44">
        <f t="shared" si="4"/>
        <v>88.809</v>
      </c>
      <c r="R8" s="100">
        <v>199457.0</v>
      </c>
      <c r="S8" s="101"/>
      <c r="T8" s="101"/>
      <c r="U8" s="86"/>
      <c r="V8" s="87">
        <f t="shared" si="5"/>
        <v>-199457</v>
      </c>
      <c r="W8" s="87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3">
        <v>7.0</v>
      </c>
      <c r="E9" s="33">
        <v>7.0</v>
      </c>
      <c r="F9" s="88"/>
      <c r="G9" s="89">
        <v>60.0</v>
      </c>
      <c r="H9" s="88"/>
      <c r="I9" s="90">
        <f t="shared" si="1"/>
        <v>92</v>
      </c>
      <c r="J9" s="91"/>
      <c r="K9" s="92">
        <v>152.0</v>
      </c>
      <c r="L9" s="90">
        <f t="shared" si="2"/>
        <v>0</v>
      </c>
      <c r="M9" s="90">
        <f t="shared" si="3"/>
        <v>152</v>
      </c>
      <c r="N9" s="32"/>
      <c r="O9" s="32">
        <v>16.904</v>
      </c>
      <c r="P9" s="32">
        <v>12.699</v>
      </c>
      <c r="Q9" s="32">
        <f t="shared" si="4"/>
        <v>207.221</v>
      </c>
      <c r="R9" s="96">
        <v>195392.0</v>
      </c>
      <c r="S9" s="97"/>
      <c r="T9" s="97"/>
      <c r="U9" s="98"/>
      <c r="V9" s="95">
        <f t="shared" si="5"/>
        <v>-195392</v>
      </c>
      <c r="W9" s="9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3">
        <v>7.0</v>
      </c>
      <c r="E10" s="33">
        <v>7.0</v>
      </c>
      <c r="F10" s="88"/>
      <c r="G10" s="89">
        <v>70.0</v>
      </c>
      <c r="H10" s="88"/>
      <c r="I10" s="90">
        <f t="shared" si="1"/>
        <v>73</v>
      </c>
      <c r="J10" s="91"/>
      <c r="K10" s="92">
        <v>143.0</v>
      </c>
      <c r="L10" s="90">
        <f t="shared" si="2"/>
        <v>0</v>
      </c>
      <c r="M10" s="90">
        <f t="shared" si="3"/>
        <v>143</v>
      </c>
      <c r="N10" s="32"/>
      <c r="O10" s="32">
        <v>16.904</v>
      </c>
      <c r="P10" s="32">
        <v>12.699</v>
      </c>
      <c r="Q10" s="32">
        <f t="shared" si="4"/>
        <v>207.221</v>
      </c>
      <c r="R10" s="96">
        <v>537728.0</v>
      </c>
      <c r="S10" s="97"/>
      <c r="T10" s="97"/>
      <c r="U10" s="98"/>
      <c r="V10" s="95">
        <f t="shared" si="5"/>
        <v>-537728</v>
      </c>
      <c r="W10" s="9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3">
        <v>7.0</v>
      </c>
      <c r="E11" s="33">
        <v>7.0</v>
      </c>
      <c r="F11" s="88"/>
      <c r="G11" s="89">
        <v>66.0</v>
      </c>
      <c r="H11" s="88"/>
      <c r="I11" s="90">
        <f t="shared" si="1"/>
        <v>116</v>
      </c>
      <c r="J11" s="91"/>
      <c r="K11" s="92">
        <v>182.0</v>
      </c>
      <c r="L11" s="90">
        <f t="shared" si="2"/>
        <v>0</v>
      </c>
      <c r="M11" s="90">
        <f t="shared" si="3"/>
        <v>182</v>
      </c>
      <c r="N11" s="32"/>
      <c r="O11" s="32">
        <v>16.904</v>
      </c>
      <c r="P11" s="32">
        <v>12.699</v>
      </c>
      <c r="Q11" s="32">
        <f t="shared" si="4"/>
        <v>207.221</v>
      </c>
      <c r="R11" s="96">
        <v>195778.0</v>
      </c>
      <c r="S11" s="97"/>
      <c r="T11" s="97"/>
      <c r="U11" s="98"/>
      <c r="V11" s="95">
        <f t="shared" si="5"/>
        <v>-195778</v>
      </c>
      <c r="W11" s="9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3">
        <v>7.0</v>
      </c>
      <c r="E12" s="33">
        <v>7.0</v>
      </c>
      <c r="F12" s="88"/>
      <c r="G12" s="89">
        <v>51.0</v>
      </c>
      <c r="H12" s="88"/>
      <c r="I12" s="90">
        <f t="shared" si="1"/>
        <v>54</v>
      </c>
      <c r="J12" s="91"/>
      <c r="K12" s="92">
        <v>105.0</v>
      </c>
      <c r="L12" s="90">
        <f t="shared" si="2"/>
        <v>0</v>
      </c>
      <c r="M12" s="90">
        <f t="shared" si="3"/>
        <v>105</v>
      </c>
      <c r="N12" s="32"/>
      <c r="O12" s="32">
        <v>16.904</v>
      </c>
      <c r="P12" s="32">
        <v>12.699</v>
      </c>
      <c r="Q12" s="32">
        <f t="shared" si="4"/>
        <v>207.221</v>
      </c>
      <c r="R12" s="96">
        <v>586607.0</v>
      </c>
      <c r="S12" s="97"/>
      <c r="T12" s="97"/>
      <c r="U12" s="98"/>
      <c r="V12" s="95">
        <f t="shared" si="5"/>
        <v>-586607</v>
      </c>
      <c r="W12" s="9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3">
        <v>7.0</v>
      </c>
      <c r="E13" s="33">
        <v>7.0</v>
      </c>
      <c r="F13" s="88"/>
      <c r="G13" s="89">
        <v>75.0</v>
      </c>
      <c r="H13" s="88"/>
      <c r="I13" s="90">
        <f t="shared" si="1"/>
        <v>75</v>
      </c>
      <c r="J13" s="91"/>
      <c r="K13" s="92">
        <v>150.0</v>
      </c>
      <c r="L13" s="90">
        <f t="shared" si="2"/>
        <v>0</v>
      </c>
      <c r="M13" s="90">
        <f t="shared" si="3"/>
        <v>150</v>
      </c>
      <c r="N13" s="32"/>
      <c r="O13" s="32">
        <v>16.904</v>
      </c>
      <c r="P13" s="32">
        <v>12.699</v>
      </c>
      <c r="Q13" s="32">
        <f t="shared" si="4"/>
        <v>207.221</v>
      </c>
      <c r="R13" s="96">
        <v>583463.0</v>
      </c>
      <c r="S13" s="97"/>
      <c r="T13" s="97"/>
      <c r="U13" s="98"/>
      <c r="V13" s="95">
        <f t="shared" si="5"/>
        <v>-583463</v>
      </c>
      <c r="W13" s="9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3">
        <v>7.0</v>
      </c>
      <c r="E14" s="33">
        <v>7.0</v>
      </c>
      <c r="F14" s="88"/>
      <c r="G14" s="89">
        <v>55.0</v>
      </c>
      <c r="H14" s="88"/>
      <c r="I14" s="90">
        <f t="shared" si="1"/>
        <v>61</v>
      </c>
      <c r="J14" s="91"/>
      <c r="K14" s="92">
        <v>116.0</v>
      </c>
      <c r="L14" s="90">
        <f t="shared" si="2"/>
        <v>0</v>
      </c>
      <c r="M14" s="90">
        <f t="shared" si="3"/>
        <v>116</v>
      </c>
      <c r="N14" s="32"/>
      <c r="O14" s="32">
        <v>16.904</v>
      </c>
      <c r="P14" s="32">
        <v>12.699</v>
      </c>
      <c r="Q14" s="32">
        <f t="shared" si="4"/>
        <v>207.221</v>
      </c>
      <c r="R14" s="96">
        <v>199107.0</v>
      </c>
      <c r="S14" s="97"/>
      <c r="T14" s="97"/>
      <c r="U14" s="98"/>
      <c r="V14" s="95">
        <f t="shared" si="5"/>
        <v>-199107</v>
      </c>
      <c r="W14" s="9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3">
        <v>7.0</v>
      </c>
      <c r="E15" s="33">
        <v>7.0</v>
      </c>
      <c r="F15" s="88"/>
      <c r="G15" s="89">
        <v>35.0</v>
      </c>
      <c r="H15" s="88"/>
      <c r="I15" s="90">
        <f t="shared" si="1"/>
        <v>90</v>
      </c>
      <c r="J15" s="91"/>
      <c r="K15" s="92">
        <v>125.0</v>
      </c>
      <c r="L15" s="90">
        <f t="shared" si="2"/>
        <v>0</v>
      </c>
      <c r="M15" s="90">
        <f t="shared" si="3"/>
        <v>125</v>
      </c>
      <c r="N15" s="32"/>
      <c r="O15" s="32">
        <v>16.904</v>
      </c>
      <c r="P15" s="32">
        <v>12.699</v>
      </c>
      <c r="Q15" s="32">
        <f t="shared" si="4"/>
        <v>207.221</v>
      </c>
      <c r="R15" s="96">
        <v>240334.0</v>
      </c>
      <c r="S15" s="97"/>
      <c r="T15" s="97"/>
      <c r="U15" s="98"/>
      <c r="V15" s="95">
        <f t="shared" si="5"/>
        <v>-240334</v>
      </c>
      <c r="W15" s="9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3">
        <v>7.0</v>
      </c>
      <c r="E16" s="33">
        <v>7.0</v>
      </c>
      <c r="F16" s="88"/>
      <c r="G16" s="89">
        <v>47.0</v>
      </c>
      <c r="H16" s="88"/>
      <c r="I16" s="90">
        <f t="shared" si="1"/>
        <v>76</v>
      </c>
      <c r="J16" s="91"/>
      <c r="K16" s="92">
        <v>123.0</v>
      </c>
      <c r="L16" s="90">
        <f t="shared" si="2"/>
        <v>0</v>
      </c>
      <c r="M16" s="90">
        <f t="shared" si="3"/>
        <v>123</v>
      </c>
      <c r="N16" s="32"/>
      <c r="O16" s="32">
        <v>16.904</v>
      </c>
      <c r="P16" s="32">
        <v>12.699</v>
      </c>
      <c r="Q16" s="32">
        <f t="shared" si="4"/>
        <v>207.221</v>
      </c>
      <c r="R16" s="96">
        <v>552530.0</v>
      </c>
      <c r="S16" s="97"/>
      <c r="T16" s="97"/>
      <c r="U16" s="98"/>
      <c r="V16" s="95">
        <f t="shared" si="5"/>
        <v>-552530</v>
      </c>
      <c r="W16" s="9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3">
        <v>7.0</v>
      </c>
      <c r="E17" s="33">
        <v>7.0</v>
      </c>
      <c r="F17" s="88"/>
      <c r="G17" s="89">
        <v>58.0</v>
      </c>
      <c r="H17" s="88"/>
      <c r="I17" s="90">
        <f t="shared" si="1"/>
        <v>89</v>
      </c>
      <c r="J17" s="91"/>
      <c r="K17" s="92">
        <v>147.0</v>
      </c>
      <c r="L17" s="90">
        <f t="shared" si="2"/>
        <v>0</v>
      </c>
      <c r="M17" s="90">
        <f t="shared" si="3"/>
        <v>147</v>
      </c>
      <c r="N17" s="32"/>
      <c r="O17" s="32">
        <v>16.904</v>
      </c>
      <c r="P17" s="32">
        <v>12.699</v>
      </c>
      <c r="Q17" s="32">
        <f t="shared" si="4"/>
        <v>207.221</v>
      </c>
      <c r="R17" s="96">
        <v>176593.0</v>
      </c>
      <c r="S17" s="97"/>
      <c r="T17" s="97"/>
      <c r="U17" s="98"/>
      <c r="V17" s="95">
        <f t="shared" si="5"/>
        <v>-176593</v>
      </c>
      <c r="W17" s="9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3">
        <v>7.0</v>
      </c>
      <c r="E18" s="33">
        <v>7.0</v>
      </c>
      <c r="F18" s="88"/>
      <c r="G18" s="89">
        <v>45.0</v>
      </c>
      <c r="H18" s="88"/>
      <c r="I18" s="90">
        <f t="shared" si="1"/>
        <v>153</v>
      </c>
      <c r="J18" s="91"/>
      <c r="K18" s="92">
        <v>198.0</v>
      </c>
      <c r="L18" s="90">
        <f t="shared" si="2"/>
        <v>0</v>
      </c>
      <c r="M18" s="90">
        <f t="shared" si="3"/>
        <v>198</v>
      </c>
      <c r="N18" s="32"/>
      <c r="O18" s="32">
        <v>16.904</v>
      </c>
      <c r="P18" s="32">
        <v>12.699</v>
      </c>
      <c r="Q18" s="32">
        <f t="shared" si="4"/>
        <v>207.221</v>
      </c>
      <c r="R18" s="96">
        <v>172503.0</v>
      </c>
      <c r="S18" s="97"/>
      <c r="T18" s="97"/>
      <c r="U18" s="98"/>
      <c r="V18" s="95">
        <f t="shared" si="5"/>
        <v>-172503</v>
      </c>
      <c r="W18" s="9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3">
        <v>7.0</v>
      </c>
      <c r="E19" s="33">
        <v>7.0</v>
      </c>
      <c r="F19" s="88"/>
      <c r="G19" s="89">
        <v>70.0</v>
      </c>
      <c r="H19" s="88"/>
      <c r="I19" s="90">
        <f t="shared" si="1"/>
        <v>93</v>
      </c>
      <c r="J19" s="91"/>
      <c r="K19" s="92">
        <v>163.0</v>
      </c>
      <c r="L19" s="90">
        <f t="shared" si="2"/>
        <v>0</v>
      </c>
      <c r="M19" s="90">
        <f t="shared" si="3"/>
        <v>163</v>
      </c>
      <c r="N19" s="32"/>
      <c r="O19" s="32">
        <v>16.904</v>
      </c>
      <c r="P19" s="32">
        <v>12.699</v>
      </c>
      <c r="Q19" s="32">
        <f t="shared" si="4"/>
        <v>207.221</v>
      </c>
      <c r="R19" s="96">
        <v>200344.0</v>
      </c>
      <c r="S19" s="97"/>
      <c r="T19" s="97"/>
      <c r="U19" s="98"/>
      <c r="V19" s="95">
        <f t="shared" si="5"/>
        <v>-200344</v>
      </c>
      <c r="W19" s="9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3">
        <v>7.0</v>
      </c>
      <c r="E20" s="33">
        <v>7.0</v>
      </c>
      <c r="F20" s="88"/>
      <c r="G20" s="89">
        <v>62.0</v>
      </c>
      <c r="H20" s="88"/>
      <c r="I20" s="90">
        <f t="shared" si="1"/>
        <v>88</v>
      </c>
      <c r="J20" s="91"/>
      <c r="K20" s="92">
        <v>150.0</v>
      </c>
      <c r="L20" s="90">
        <f t="shared" si="2"/>
        <v>0</v>
      </c>
      <c r="M20" s="90">
        <f t="shared" si="3"/>
        <v>150</v>
      </c>
      <c r="N20" s="32"/>
      <c r="O20" s="32">
        <v>16.904</v>
      </c>
      <c r="P20" s="32">
        <v>12.699</v>
      </c>
      <c r="Q20" s="32">
        <f t="shared" si="4"/>
        <v>207.221</v>
      </c>
      <c r="R20" s="96">
        <v>199430.0</v>
      </c>
      <c r="S20" s="97"/>
      <c r="T20" s="97"/>
      <c r="U20" s="98"/>
      <c r="V20" s="95">
        <f t="shared" si="5"/>
        <v>-199430</v>
      </c>
      <c r="W20" s="9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3">
        <v>7.0</v>
      </c>
      <c r="E21" s="33">
        <v>7.0</v>
      </c>
      <c r="F21" s="88"/>
      <c r="G21" s="89">
        <v>47.0</v>
      </c>
      <c r="H21" s="88"/>
      <c r="I21" s="90">
        <f t="shared" si="1"/>
        <v>110</v>
      </c>
      <c r="J21" s="91"/>
      <c r="K21" s="92">
        <v>157.0</v>
      </c>
      <c r="L21" s="90">
        <f t="shared" si="2"/>
        <v>0</v>
      </c>
      <c r="M21" s="90">
        <f t="shared" si="3"/>
        <v>157</v>
      </c>
      <c r="N21" s="32"/>
      <c r="O21" s="32">
        <v>16.904</v>
      </c>
      <c r="P21" s="32">
        <v>12.699</v>
      </c>
      <c r="Q21" s="32">
        <f t="shared" si="4"/>
        <v>207.221</v>
      </c>
      <c r="R21" s="96">
        <v>175581.0</v>
      </c>
      <c r="S21" s="97"/>
      <c r="T21" s="97"/>
      <c r="U21" s="98"/>
      <c r="V21" s="95">
        <f t="shared" si="5"/>
        <v>-175581</v>
      </c>
      <c r="W21" s="9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3">
        <v>7.0</v>
      </c>
      <c r="E22" s="33">
        <v>7.0</v>
      </c>
      <c r="F22" s="88"/>
      <c r="G22" s="89">
        <v>63.0</v>
      </c>
      <c r="H22" s="88"/>
      <c r="I22" s="90">
        <f t="shared" si="1"/>
        <v>71</v>
      </c>
      <c r="J22" s="91"/>
      <c r="K22" s="92">
        <v>134.0</v>
      </c>
      <c r="L22" s="90">
        <f t="shared" si="2"/>
        <v>0</v>
      </c>
      <c r="M22" s="90">
        <f t="shared" si="3"/>
        <v>134</v>
      </c>
      <c r="N22" s="32"/>
      <c r="O22" s="32">
        <v>16.904</v>
      </c>
      <c r="P22" s="32">
        <v>12.699</v>
      </c>
      <c r="Q22" s="32">
        <f t="shared" si="4"/>
        <v>207.221</v>
      </c>
      <c r="R22" s="96">
        <v>199971.0</v>
      </c>
      <c r="S22" s="97"/>
      <c r="T22" s="97"/>
      <c r="U22" s="98"/>
      <c r="V22" s="95">
        <f t="shared" si="5"/>
        <v>-199971</v>
      </c>
      <c r="W22" s="9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3">
        <v>7.0</v>
      </c>
      <c r="E23" s="33">
        <v>7.0</v>
      </c>
      <c r="F23" s="88"/>
      <c r="G23" s="89">
        <v>67.0</v>
      </c>
      <c r="H23" s="88"/>
      <c r="I23" s="90">
        <f t="shared" si="1"/>
        <v>67</v>
      </c>
      <c r="J23" s="91"/>
      <c r="K23" s="92">
        <v>134.0</v>
      </c>
      <c r="L23" s="90">
        <f t="shared" si="2"/>
        <v>0</v>
      </c>
      <c r="M23" s="90">
        <f t="shared" si="3"/>
        <v>134</v>
      </c>
      <c r="N23" s="32"/>
      <c r="O23" s="32">
        <v>16.904</v>
      </c>
      <c r="P23" s="32">
        <v>12.699</v>
      </c>
      <c r="Q23" s="32">
        <f t="shared" si="4"/>
        <v>207.221</v>
      </c>
      <c r="R23" s="96">
        <v>454630.0</v>
      </c>
      <c r="S23" s="97"/>
      <c r="T23" s="97"/>
      <c r="U23" s="98"/>
      <c r="V23" s="95">
        <f t="shared" si="5"/>
        <v>-454630</v>
      </c>
      <c r="W23" s="95">
        <f t="shared" si="6"/>
        <v>0</v>
      </c>
    </row>
    <row r="24" ht="14.25" customHeight="1">
      <c r="A24" s="102">
        <v>23.0</v>
      </c>
      <c r="B24" s="102" t="s">
        <v>25</v>
      </c>
      <c r="C24" s="103" t="s">
        <v>48</v>
      </c>
      <c r="D24" s="104">
        <v>3.0</v>
      </c>
      <c r="E24" s="104">
        <v>3.0</v>
      </c>
      <c r="F24" s="105"/>
      <c r="G24" s="106">
        <v>42.0</v>
      </c>
      <c r="H24" s="105"/>
      <c r="I24" s="107">
        <f t="shared" si="1"/>
        <v>0</v>
      </c>
      <c r="J24" s="108"/>
      <c r="K24" s="108"/>
      <c r="L24" s="107">
        <f t="shared" si="2"/>
        <v>0</v>
      </c>
      <c r="M24" s="107">
        <f t="shared" si="3"/>
        <v>42</v>
      </c>
      <c r="N24" s="104" t="s">
        <v>104</v>
      </c>
      <c r="O24" s="103">
        <v>16.904</v>
      </c>
      <c r="P24" s="103">
        <v>12.699</v>
      </c>
      <c r="Q24" s="103">
        <f t="shared" si="4"/>
        <v>88.809</v>
      </c>
      <c r="R24" s="109">
        <v>550692.0</v>
      </c>
      <c r="S24" s="110"/>
      <c r="T24" s="110"/>
      <c r="U24" s="111"/>
      <c r="V24" s="112">
        <f t="shared" si="5"/>
        <v>-550692</v>
      </c>
      <c r="W24" s="112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3">
        <v>7.0</v>
      </c>
      <c r="E25" s="33">
        <v>7.0</v>
      </c>
      <c r="F25" s="88"/>
      <c r="G25" s="89">
        <v>43.0</v>
      </c>
      <c r="H25" s="88"/>
      <c r="I25" s="90">
        <f t="shared" si="1"/>
        <v>77</v>
      </c>
      <c r="J25" s="91"/>
      <c r="K25" s="92">
        <v>120.0</v>
      </c>
      <c r="L25" s="90">
        <f t="shared" si="2"/>
        <v>0</v>
      </c>
      <c r="M25" s="90">
        <f t="shared" si="3"/>
        <v>120</v>
      </c>
      <c r="N25" s="32"/>
      <c r="O25" s="32">
        <v>16.904</v>
      </c>
      <c r="P25" s="32">
        <v>12.699</v>
      </c>
      <c r="Q25" s="32">
        <f t="shared" si="4"/>
        <v>207.221</v>
      </c>
      <c r="R25" s="96">
        <v>375482.0</v>
      </c>
      <c r="S25" s="97"/>
      <c r="T25" s="97"/>
      <c r="U25" s="98"/>
      <c r="V25" s="95">
        <f t="shared" si="5"/>
        <v>-375482</v>
      </c>
      <c r="W25" s="9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3">
        <v>7.0</v>
      </c>
      <c r="E26" s="33">
        <v>7.0</v>
      </c>
      <c r="F26" s="88"/>
      <c r="G26" s="89">
        <v>49.0</v>
      </c>
      <c r="H26" s="88"/>
      <c r="I26" s="90">
        <f t="shared" si="1"/>
        <v>89</v>
      </c>
      <c r="J26" s="91"/>
      <c r="K26" s="92">
        <v>138.0</v>
      </c>
      <c r="L26" s="90">
        <f t="shared" si="2"/>
        <v>0</v>
      </c>
      <c r="M26" s="90">
        <f t="shared" si="3"/>
        <v>138</v>
      </c>
      <c r="N26" s="32"/>
      <c r="O26" s="32">
        <v>16.904</v>
      </c>
      <c r="P26" s="32">
        <v>12.699</v>
      </c>
      <c r="Q26" s="32">
        <f t="shared" si="4"/>
        <v>207.221</v>
      </c>
      <c r="R26" s="96">
        <v>193752.0</v>
      </c>
      <c r="S26" s="97"/>
      <c r="T26" s="97"/>
      <c r="U26" s="98"/>
      <c r="V26" s="95">
        <f t="shared" si="5"/>
        <v>-193752</v>
      </c>
      <c r="W26" s="9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3">
        <v>7.0</v>
      </c>
      <c r="E27" s="33">
        <v>7.0</v>
      </c>
      <c r="F27" s="88"/>
      <c r="G27" s="89">
        <v>42.0</v>
      </c>
      <c r="H27" s="88"/>
      <c r="I27" s="90">
        <f t="shared" si="1"/>
        <v>64</v>
      </c>
      <c r="J27" s="91"/>
      <c r="K27" s="92">
        <v>106.0</v>
      </c>
      <c r="L27" s="90">
        <f t="shared" si="2"/>
        <v>0</v>
      </c>
      <c r="M27" s="90">
        <f t="shared" si="3"/>
        <v>106</v>
      </c>
      <c r="N27" s="32"/>
      <c r="O27" s="32">
        <v>16.904</v>
      </c>
      <c r="P27" s="32">
        <v>12.699</v>
      </c>
      <c r="Q27" s="32">
        <f t="shared" si="4"/>
        <v>207.221</v>
      </c>
      <c r="R27" s="96">
        <v>190089.0</v>
      </c>
      <c r="S27" s="97"/>
      <c r="T27" s="97"/>
      <c r="U27" s="98"/>
      <c r="V27" s="95">
        <f t="shared" si="5"/>
        <v>-190089</v>
      </c>
      <c r="W27" s="9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3">
        <v>7.0</v>
      </c>
      <c r="E28" s="33">
        <v>7.0</v>
      </c>
      <c r="F28" s="88"/>
      <c r="G28" s="89">
        <v>35.0</v>
      </c>
      <c r="H28" s="88"/>
      <c r="I28" s="90">
        <f t="shared" si="1"/>
        <v>68</v>
      </c>
      <c r="J28" s="91"/>
      <c r="K28" s="92">
        <v>103.0</v>
      </c>
      <c r="L28" s="90">
        <f t="shared" si="2"/>
        <v>0</v>
      </c>
      <c r="M28" s="90">
        <f t="shared" si="3"/>
        <v>103</v>
      </c>
      <c r="N28" s="32"/>
      <c r="O28" s="32">
        <v>16.904</v>
      </c>
      <c r="P28" s="32">
        <v>12.699</v>
      </c>
      <c r="Q28" s="32">
        <f t="shared" si="4"/>
        <v>207.221</v>
      </c>
      <c r="R28" s="96">
        <v>183611.0</v>
      </c>
      <c r="S28" s="97"/>
      <c r="T28" s="97"/>
      <c r="U28" s="98"/>
      <c r="V28" s="95">
        <f t="shared" si="5"/>
        <v>-183611</v>
      </c>
      <c r="W28" s="9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3">
        <v>7.0</v>
      </c>
      <c r="E29" s="33">
        <v>7.0</v>
      </c>
      <c r="F29" s="88"/>
      <c r="G29" s="89">
        <v>46.0</v>
      </c>
      <c r="H29" s="88"/>
      <c r="I29" s="90">
        <f t="shared" si="1"/>
        <v>84</v>
      </c>
      <c r="J29" s="91"/>
      <c r="K29" s="92">
        <v>130.0</v>
      </c>
      <c r="L29" s="90">
        <f t="shared" si="2"/>
        <v>0</v>
      </c>
      <c r="M29" s="90">
        <f t="shared" si="3"/>
        <v>130</v>
      </c>
      <c r="N29" s="32"/>
      <c r="O29" s="32">
        <v>16.904</v>
      </c>
      <c r="P29" s="32">
        <v>12.699</v>
      </c>
      <c r="Q29" s="32">
        <f t="shared" si="4"/>
        <v>207.221</v>
      </c>
      <c r="R29" s="93">
        <v>181135.0</v>
      </c>
      <c r="S29" s="113"/>
      <c r="T29" s="113"/>
      <c r="U29" s="94"/>
      <c r="V29" s="95">
        <f t="shared" si="5"/>
        <v>-181135</v>
      </c>
      <c r="W29" s="95">
        <f t="shared" si="6"/>
        <v>0</v>
      </c>
    </row>
    <row r="30" ht="14.25" customHeight="1">
      <c r="A30" s="8">
        <v>29.0</v>
      </c>
      <c r="B30" s="8" t="s">
        <v>25</v>
      </c>
      <c r="C30" s="44" t="s">
        <v>54</v>
      </c>
      <c r="D30" s="44"/>
      <c r="E30" s="44"/>
      <c r="F30" s="81"/>
      <c r="G30" s="81"/>
      <c r="H30" s="81"/>
      <c r="I30" s="82">
        <f t="shared" si="1"/>
        <v>0</v>
      </c>
      <c r="J30" s="83"/>
      <c r="K30" s="83"/>
      <c r="L30" s="82">
        <f t="shared" si="2"/>
        <v>0</v>
      </c>
      <c r="M30" s="82">
        <f t="shared" si="3"/>
        <v>0</v>
      </c>
      <c r="N30" s="45" t="s">
        <v>103</v>
      </c>
      <c r="O30" s="44">
        <v>16.904</v>
      </c>
      <c r="P30" s="44">
        <v>12.699</v>
      </c>
      <c r="Q30" s="44">
        <f t="shared" si="4"/>
        <v>0</v>
      </c>
      <c r="R30" s="84"/>
      <c r="S30" s="84"/>
      <c r="T30" s="101"/>
      <c r="U30" s="86"/>
      <c r="V30" s="87">
        <f t="shared" si="5"/>
        <v>0</v>
      </c>
      <c r="W30" s="87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3">
        <v>7.0</v>
      </c>
      <c r="E31" s="33">
        <v>7.0</v>
      </c>
      <c r="F31" s="88"/>
      <c r="G31" s="89">
        <v>52.0</v>
      </c>
      <c r="H31" s="88"/>
      <c r="I31" s="90">
        <f t="shared" si="1"/>
        <v>56</v>
      </c>
      <c r="J31" s="91"/>
      <c r="K31" s="92">
        <v>108.0</v>
      </c>
      <c r="L31" s="90">
        <f t="shared" si="2"/>
        <v>0</v>
      </c>
      <c r="M31" s="90">
        <f t="shared" si="3"/>
        <v>108</v>
      </c>
      <c r="N31" s="32"/>
      <c r="O31" s="32">
        <v>16.904</v>
      </c>
      <c r="P31" s="32">
        <v>12.699</v>
      </c>
      <c r="Q31" s="32">
        <f t="shared" si="4"/>
        <v>207.221</v>
      </c>
      <c r="R31" s="96">
        <v>203755.0</v>
      </c>
      <c r="S31" s="97"/>
      <c r="T31" s="97"/>
      <c r="U31" s="98"/>
      <c r="V31" s="95">
        <f t="shared" si="5"/>
        <v>-203755</v>
      </c>
      <c r="W31" s="9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3">
        <v>7.0</v>
      </c>
      <c r="E32" s="33">
        <v>7.0</v>
      </c>
      <c r="F32" s="88"/>
      <c r="G32" s="89">
        <v>59.0</v>
      </c>
      <c r="H32" s="88"/>
      <c r="I32" s="90">
        <f t="shared" si="1"/>
        <v>78</v>
      </c>
      <c r="J32" s="91"/>
      <c r="K32" s="92">
        <v>137.0</v>
      </c>
      <c r="L32" s="90">
        <f t="shared" si="2"/>
        <v>0</v>
      </c>
      <c r="M32" s="90">
        <f t="shared" si="3"/>
        <v>137</v>
      </c>
      <c r="N32" s="32"/>
      <c r="O32" s="32">
        <v>16.904</v>
      </c>
      <c r="P32" s="32">
        <v>12.699</v>
      </c>
      <c r="Q32" s="32">
        <f t="shared" si="4"/>
        <v>207.221</v>
      </c>
      <c r="R32" s="96">
        <v>183840.0</v>
      </c>
      <c r="S32" s="97"/>
      <c r="T32" s="97"/>
      <c r="U32" s="98"/>
      <c r="V32" s="95">
        <f t="shared" si="5"/>
        <v>-183840</v>
      </c>
      <c r="W32" s="9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3">
        <v>7.0</v>
      </c>
      <c r="E33" s="33">
        <v>7.0</v>
      </c>
      <c r="F33" s="88"/>
      <c r="G33" s="89">
        <v>35.0</v>
      </c>
      <c r="H33" s="88"/>
      <c r="I33" s="90">
        <f t="shared" si="1"/>
        <v>71</v>
      </c>
      <c r="J33" s="91"/>
      <c r="K33" s="92">
        <v>106.0</v>
      </c>
      <c r="L33" s="90">
        <f t="shared" si="2"/>
        <v>0</v>
      </c>
      <c r="M33" s="90">
        <f t="shared" si="3"/>
        <v>106</v>
      </c>
      <c r="N33" s="32"/>
      <c r="O33" s="32">
        <v>16.904</v>
      </c>
      <c r="P33" s="32">
        <v>12.699</v>
      </c>
      <c r="Q33" s="32">
        <f t="shared" si="4"/>
        <v>207.221</v>
      </c>
      <c r="R33" s="96">
        <v>183760.0</v>
      </c>
      <c r="S33" s="97"/>
      <c r="T33" s="97"/>
      <c r="U33" s="98"/>
      <c r="V33" s="95">
        <f t="shared" si="5"/>
        <v>-183760</v>
      </c>
      <c r="W33" s="9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3">
        <v>7.0</v>
      </c>
      <c r="E34" s="33">
        <v>7.0</v>
      </c>
      <c r="F34" s="88"/>
      <c r="G34" s="89">
        <v>59.0</v>
      </c>
      <c r="H34" s="88"/>
      <c r="I34" s="90">
        <f t="shared" si="1"/>
        <v>40</v>
      </c>
      <c r="J34" s="91"/>
      <c r="K34" s="92">
        <v>99.0</v>
      </c>
      <c r="L34" s="90">
        <f t="shared" si="2"/>
        <v>0</v>
      </c>
      <c r="M34" s="90">
        <f t="shared" si="3"/>
        <v>99</v>
      </c>
      <c r="N34" s="32"/>
      <c r="O34" s="32">
        <v>16.904</v>
      </c>
      <c r="P34" s="32">
        <v>12.699</v>
      </c>
      <c r="Q34" s="32">
        <f t="shared" si="4"/>
        <v>207.221</v>
      </c>
      <c r="R34" s="96">
        <v>573067.0</v>
      </c>
      <c r="S34" s="97"/>
      <c r="T34" s="97"/>
      <c r="U34" s="98"/>
      <c r="V34" s="95">
        <f t="shared" si="5"/>
        <v>-573067</v>
      </c>
      <c r="W34" s="9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3">
        <v>7.0</v>
      </c>
      <c r="E35" s="33">
        <v>7.0</v>
      </c>
      <c r="F35" s="88"/>
      <c r="G35" s="89">
        <v>83.0</v>
      </c>
      <c r="H35" s="88"/>
      <c r="I35" s="90">
        <f t="shared" si="1"/>
        <v>60</v>
      </c>
      <c r="J35" s="91"/>
      <c r="K35" s="92">
        <v>143.0</v>
      </c>
      <c r="L35" s="90">
        <f t="shared" si="2"/>
        <v>0</v>
      </c>
      <c r="M35" s="90">
        <f t="shared" si="3"/>
        <v>143</v>
      </c>
      <c r="N35" s="32"/>
      <c r="O35" s="32">
        <v>16.904</v>
      </c>
      <c r="P35" s="32">
        <v>12.699</v>
      </c>
      <c r="Q35" s="32">
        <f t="shared" si="4"/>
        <v>207.221</v>
      </c>
      <c r="R35" s="96">
        <v>189125.0</v>
      </c>
      <c r="S35" s="97"/>
      <c r="T35" s="97"/>
      <c r="U35" s="98"/>
      <c r="V35" s="95">
        <f t="shared" si="5"/>
        <v>-189125</v>
      </c>
      <c r="W35" s="9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3">
        <v>7.0</v>
      </c>
      <c r="E36" s="33">
        <v>7.0</v>
      </c>
      <c r="F36" s="88"/>
      <c r="G36" s="89">
        <v>38.0</v>
      </c>
      <c r="H36" s="88"/>
      <c r="I36" s="90">
        <f t="shared" si="1"/>
        <v>93</v>
      </c>
      <c r="J36" s="91"/>
      <c r="K36" s="92">
        <v>131.0</v>
      </c>
      <c r="L36" s="90">
        <f t="shared" si="2"/>
        <v>0</v>
      </c>
      <c r="M36" s="90">
        <f t="shared" si="3"/>
        <v>131</v>
      </c>
      <c r="N36" s="32"/>
      <c r="O36" s="32">
        <v>16.904</v>
      </c>
      <c r="P36" s="32">
        <v>12.699</v>
      </c>
      <c r="Q36" s="32">
        <f t="shared" si="4"/>
        <v>207.221</v>
      </c>
      <c r="R36" s="96">
        <v>473997.0</v>
      </c>
      <c r="S36" s="97"/>
      <c r="T36" s="97"/>
      <c r="U36" s="98"/>
      <c r="V36" s="95">
        <f t="shared" si="5"/>
        <v>-473997</v>
      </c>
      <c r="W36" s="9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3">
        <v>6.0</v>
      </c>
      <c r="E37" s="33">
        <v>6.0</v>
      </c>
      <c r="F37" s="88"/>
      <c r="G37" s="89">
        <v>43.0</v>
      </c>
      <c r="H37" s="88"/>
      <c r="I37" s="90">
        <f t="shared" si="1"/>
        <v>76</v>
      </c>
      <c r="J37" s="91"/>
      <c r="K37" s="92">
        <v>119.0</v>
      </c>
      <c r="L37" s="90">
        <f t="shared" si="2"/>
        <v>0</v>
      </c>
      <c r="M37" s="90">
        <f t="shared" si="3"/>
        <v>119</v>
      </c>
      <c r="N37" s="32"/>
      <c r="O37" s="32">
        <v>16.904</v>
      </c>
      <c r="P37" s="32">
        <v>12.699</v>
      </c>
      <c r="Q37" s="32">
        <f t="shared" si="4"/>
        <v>177.618</v>
      </c>
      <c r="R37" s="96">
        <v>466990.0</v>
      </c>
      <c r="S37" s="97"/>
      <c r="T37" s="97"/>
      <c r="U37" s="98"/>
      <c r="V37" s="95">
        <f t="shared" si="5"/>
        <v>-466990</v>
      </c>
      <c r="W37" s="9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3">
        <v>7.0</v>
      </c>
      <c r="E38" s="33">
        <v>7.0</v>
      </c>
      <c r="F38" s="88"/>
      <c r="G38" s="89">
        <v>48.0</v>
      </c>
      <c r="H38" s="88"/>
      <c r="I38" s="90">
        <f t="shared" si="1"/>
        <v>143</v>
      </c>
      <c r="J38" s="91"/>
      <c r="K38" s="92">
        <v>191.0</v>
      </c>
      <c r="L38" s="90">
        <f t="shared" si="2"/>
        <v>0</v>
      </c>
      <c r="M38" s="90">
        <f t="shared" si="3"/>
        <v>191</v>
      </c>
      <c r="N38" s="32"/>
      <c r="O38" s="32">
        <v>16.904</v>
      </c>
      <c r="P38" s="32">
        <v>12.699</v>
      </c>
      <c r="Q38" s="32">
        <f t="shared" si="4"/>
        <v>207.221</v>
      </c>
      <c r="R38" s="96">
        <v>199511.0</v>
      </c>
      <c r="S38" s="97"/>
      <c r="T38" s="97"/>
      <c r="U38" s="98"/>
      <c r="V38" s="95">
        <f t="shared" si="5"/>
        <v>-199511</v>
      </c>
      <c r="W38" s="9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3">
        <v>7.0</v>
      </c>
      <c r="E39" s="33">
        <v>7.0</v>
      </c>
      <c r="F39" s="88"/>
      <c r="G39" s="89">
        <v>67.0</v>
      </c>
      <c r="H39" s="88"/>
      <c r="I39" s="90">
        <f t="shared" si="1"/>
        <v>78</v>
      </c>
      <c r="J39" s="91"/>
      <c r="K39" s="92">
        <v>145.0</v>
      </c>
      <c r="L39" s="90">
        <f t="shared" si="2"/>
        <v>0</v>
      </c>
      <c r="M39" s="90">
        <f t="shared" si="3"/>
        <v>145</v>
      </c>
      <c r="N39" s="32"/>
      <c r="O39" s="32">
        <v>16.904</v>
      </c>
      <c r="P39" s="32">
        <v>12.699</v>
      </c>
      <c r="Q39" s="32">
        <f t="shared" si="4"/>
        <v>207.221</v>
      </c>
      <c r="R39" s="96">
        <v>379021.0</v>
      </c>
      <c r="S39" s="97"/>
      <c r="T39" s="97"/>
      <c r="U39" s="98"/>
      <c r="V39" s="95">
        <f t="shared" si="5"/>
        <v>-379021</v>
      </c>
      <c r="W39" s="9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3">
        <v>7.0</v>
      </c>
      <c r="E40" s="33">
        <v>7.0</v>
      </c>
      <c r="F40" s="88"/>
      <c r="G40" s="89">
        <v>40.0</v>
      </c>
      <c r="H40" s="88"/>
      <c r="I40" s="90">
        <f t="shared" si="1"/>
        <v>85</v>
      </c>
      <c r="J40" s="91"/>
      <c r="K40" s="92">
        <v>125.0</v>
      </c>
      <c r="L40" s="90">
        <f t="shared" si="2"/>
        <v>0</v>
      </c>
      <c r="M40" s="90">
        <f t="shared" si="3"/>
        <v>125</v>
      </c>
      <c r="N40" s="32"/>
      <c r="O40" s="32">
        <v>16.904</v>
      </c>
      <c r="P40" s="32">
        <v>12.699</v>
      </c>
      <c r="Q40" s="32">
        <f t="shared" si="4"/>
        <v>207.221</v>
      </c>
      <c r="R40" s="96">
        <v>173036.0</v>
      </c>
      <c r="S40" s="97"/>
      <c r="T40" s="97"/>
      <c r="U40" s="98"/>
      <c r="V40" s="95">
        <f t="shared" si="5"/>
        <v>-173036</v>
      </c>
      <c r="W40" s="9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3">
        <v>7.0</v>
      </c>
      <c r="E41" s="33">
        <v>7.0</v>
      </c>
      <c r="F41" s="88"/>
      <c r="G41" s="89">
        <v>65.0</v>
      </c>
      <c r="H41" s="88"/>
      <c r="I41" s="90">
        <f t="shared" si="1"/>
        <v>72</v>
      </c>
      <c r="J41" s="91"/>
      <c r="K41" s="92">
        <v>137.0</v>
      </c>
      <c r="L41" s="90">
        <f t="shared" si="2"/>
        <v>0</v>
      </c>
      <c r="M41" s="90">
        <f t="shared" si="3"/>
        <v>137</v>
      </c>
      <c r="N41" s="32"/>
      <c r="O41" s="32">
        <v>16.904</v>
      </c>
      <c r="P41" s="32">
        <v>12.699</v>
      </c>
      <c r="Q41" s="32">
        <f t="shared" si="4"/>
        <v>207.221</v>
      </c>
      <c r="R41" s="96">
        <v>416816.0</v>
      </c>
      <c r="S41" s="97"/>
      <c r="T41" s="97"/>
      <c r="U41" s="98"/>
      <c r="V41" s="95">
        <f t="shared" si="5"/>
        <v>-416816</v>
      </c>
      <c r="W41" s="9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3">
        <v>7.0</v>
      </c>
      <c r="E42" s="33">
        <v>7.0</v>
      </c>
      <c r="F42" s="88"/>
      <c r="G42" s="89">
        <v>49.0</v>
      </c>
      <c r="H42" s="88"/>
      <c r="I42" s="90">
        <f t="shared" si="1"/>
        <v>135</v>
      </c>
      <c r="J42" s="91"/>
      <c r="K42" s="92">
        <v>184.0</v>
      </c>
      <c r="L42" s="90">
        <f t="shared" si="2"/>
        <v>0</v>
      </c>
      <c r="M42" s="90">
        <f t="shared" si="3"/>
        <v>184</v>
      </c>
      <c r="N42" s="32"/>
      <c r="O42" s="32">
        <v>16.904</v>
      </c>
      <c r="P42" s="32">
        <v>12.699</v>
      </c>
      <c r="Q42" s="32">
        <f t="shared" si="4"/>
        <v>207.221</v>
      </c>
      <c r="R42" s="96">
        <v>203013.0</v>
      </c>
      <c r="S42" s="97"/>
      <c r="T42" s="97"/>
      <c r="U42" s="98"/>
      <c r="V42" s="95">
        <f t="shared" si="5"/>
        <v>-203013</v>
      </c>
      <c r="W42" s="9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3">
        <v>7.0</v>
      </c>
      <c r="E43" s="33">
        <v>7.0</v>
      </c>
      <c r="F43" s="88"/>
      <c r="G43" s="89">
        <v>55.0</v>
      </c>
      <c r="H43" s="88"/>
      <c r="I43" s="90">
        <f t="shared" si="1"/>
        <v>108</v>
      </c>
      <c r="J43" s="91"/>
      <c r="K43" s="92">
        <v>163.0</v>
      </c>
      <c r="L43" s="90">
        <f t="shared" si="2"/>
        <v>0</v>
      </c>
      <c r="M43" s="90">
        <f t="shared" si="3"/>
        <v>163</v>
      </c>
      <c r="N43" s="32"/>
      <c r="O43" s="32">
        <v>16.904</v>
      </c>
      <c r="P43" s="32">
        <v>12.699</v>
      </c>
      <c r="Q43" s="32">
        <f t="shared" si="4"/>
        <v>207.221</v>
      </c>
      <c r="R43" s="96">
        <v>180553.0</v>
      </c>
      <c r="S43" s="97"/>
      <c r="T43" s="97"/>
      <c r="U43" s="98"/>
      <c r="V43" s="95">
        <f t="shared" si="5"/>
        <v>-180553</v>
      </c>
      <c r="W43" s="9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3">
        <v>7.0</v>
      </c>
      <c r="E44" s="33">
        <v>7.0</v>
      </c>
      <c r="F44" s="88"/>
      <c r="G44" s="89">
        <v>47.0</v>
      </c>
      <c r="H44" s="88"/>
      <c r="I44" s="90">
        <f t="shared" si="1"/>
        <v>107</v>
      </c>
      <c r="J44" s="91"/>
      <c r="K44" s="92">
        <v>154.0</v>
      </c>
      <c r="L44" s="90">
        <f t="shared" si="2"/>
        <v>0</v>
      </c>
      <c r="M44" s="90">
        <f t="shared" si="3"/>
        <v>154</v>
      </c>
      <c r="N44" s="32"/>
      <c r="O44" s="32">
        <v>16.904</v>
      </c>
      <c r="P44" s="32">
        <v>12.699</v>
      </c>
      <c r="Q44" s="32">
        <f t="shared" si="4"/>
        <v>207.221</v>
      </c>
      <c r="R44" s="96">
        <v>205399.0</v>
      </c>
      <c r="S44" s="97"/>
      <c r="T44" s="97"/>
      <c r="U44" s="98"/>
      <c r="V44" s="95">
        <f t="shared" si="5"/>
        <v>-205399</v>
      </c>
      <c r="W44" s="9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3">
        <v>7.0</v>
      </c>
      <c r="E45" s="33">
        <v>7.0</v>
      </c>
      <c r="F45" s="88"/>
      <c r="G45" s="89">
        <v>40.0</v>
      </c>
      <c r="H45" s="88"/>
      <c r="I45" s="90">
        <f t="shared" si="1"/>
        <v>63</v>
      </c>
      <c r="J45" s="91"/>
      <c r="K45" s="92">
        <v>103.0</v>
      </c>
      <c r="L45" s="90">
        <f t="shared" si="2"/>
        <v>0</v>
      </c>
      <c r="M45" s="90">
        <f t="shared" si="3"/>
        <v>103</v>
      </c>
      <c r="N45" s="32"/>
      <c r="O45" s="32">
        <v>16.904</v>
      </c>
      <c r="P45" s="32">
        <v>12.699</v>
      </c>
      <c r="Q45" s="32">
        <f t="shared" si="4"/>
        <v>207.221</v>
      </c>
      <c r="R45" s="96">
        <v>560210.0</v>
      </c>
      <c r="S45" s="97"/>
      <c r="T45" s="97"/>
      <c r="U45" s="98"/>
      <c r="V45" s="95">
        <f t="shared" si="5"/>
        <v>-560210</v>
      </c>
      <c r="W45" s="9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3">
        <v>6.0</v>
      </c>
      <c r="E46" s="33">
        <v>6.0</v>
      </c>
      <c r="F46" s="88"/>
      <c r="G46" s="89">
        <v>47.0</v>
      </c>
      <c r="H46" s="88"/>
      <c r="I46" s="90">
        <f t="shared" si="1"/>
        <v>70</v>
      </c>
      <c r="J46" s="91"/>
      <c r="K46" s="92">
        <v>117.0</v>
      </c>
      <c r="L46" s="90">
        <f t="shared" si="2"/>
        <v>0</v>
      </c>
      <c r="M46" s="90">
        <f t="shared" si="3"/>
        <v>117</v>
      </c>
      <c r="N46" s="32"/>
      <c r="O46" s="32">
        <v>16.904</v>
      </c>
      <c r="P46" s="32">
        <v>12.699</v>
      </c>
      <c r="Q46" s="32">
        <f t="shared" si="4"/>
        <v>177.618</v>
      </c>
      <c r="R46" s="96">
        <v>549498.0</v>
      </c>
      <c r="S46" s="97"/>
      <c r="T46" s="97"/>
      <c r="U46" s="98"/>
      <c r="V46" s="95">
        <f t="shared" si="5"/>
        <v>-549498</v>
      </c>
      <c r="W46" s="9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3">
        <v>7.0</v>
      </c>
      <c r="E47" s="33">
        <v>7.0</v>
      </c>
      <c r="F47" s="88"/>
      <c r="G47" s="89">
        <v>49.0</v>
      </c>
      <c r="H47" s="88"/>
      <c r="I47" s="90">
        <f t="shared" si="1"/>
        <v>36</v>
      </c>
      <c r="J47" s="91"/>
      <c r="K47" s="92">
        <v>85.0</v>
      </c>
      <c r="L47" s="90">
        <f t="shared" si="2"/>
        <v>0</v>
      </c>
      <c r="M47" s="90">
        <f t="shared" si="3"/>
        <v>85</v>
      </c>
      <c r="N47" s="32"/>
      <c r="O47" s="32">
        <v>16.904</v>
      </c>
      <c r="P47" s="32">
        <v>12.699</v>
      </c>
      <c r="Q47" s="32">
        <f t="shared" si="4"/>
        <v>207.221</v>
      </c>
      <c r="R47" s="96">
        <v>182720.0</v>
      </c>
      <c r="S47" s="97"/>
      <c r="T47" s="97"/>
      <c r="U47" s="98"/>
      <c r="V47" s="95">
        <f t="shared" si="5"/>
        <v>-182720</v>
      </c>
      <c r="W47" s="9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3">
        <v>7.0</v>
      </c>
      <c r="E48" s="33">
        <v>7.0</v>
      </c>
      <c r="F48" s="88"/>
      <c r="G48" s="89">
        <v>47.0</v>
      </c>
      <c r="H48" s="88"/>
      <c r="I48" s="90">
        <f t="shared" si="1"/>
        <v>91</v>
      </c>
      <c r="J48" s="91"/>
      <c r="K48" s="92">
        <v>138.0</v>
      </c>
      <c r="L48" s="90">
        <f t="shared" si="2"/>
        <v>0</v>
      </c>
      <c r="M48" s="90">
        <f t="shared" si="3"/>
        <v>138</v>
      </c>
      <c r="N48" s="32"/>
      <c r="O48" s="32">
        <v>16.904</v>
      </c>
      <c r="P48" s="32">
        <v>12.699</v>
      </c>
      <c r="Q48" s="32">
        <f t="shared" si="4"/>
        <v>207.221</v>
      </c>
      <c r="R48" s="96">
        <v>386045.0</v>
      </c>
      <c r="S48" s="97"/>
      <c r="T48" s="97"/>
      <c r="U48" s="98"/>
      <c r="V48" s="95">
        <f t="shared" si="5"/>
        <v>-386045</v>
      </c>
      <c r="W48" s="9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3">
        <v>7.0</v>
      </c>
      <c r="E49" s="33">
        <v>7.0</v>
      </c>
      <c r="F49" s="88"/>
      <c r="G49" s="89">
        <v>67.0</v>
      </c>
      <c r="H49" s="88"/>
      <c r="I49" s="90">
        <f t="shared" si="1"/>
        <v>67</v>
      </c>
      <c r="J49" s="91"/>
      <c r="K49" s="92">
        <v>134.0</v>
      </c>
      <c r="L49" s="90">
        <f t="shared" si="2"/>
        <v>0</v>
      </c>
      <c r="M49" s="90">
        <f t="shared" si="3"/>
        <v>134</v>
      </c>
      <c r="N49" s="32"/>
      <c r="O49" s="32">
        <v>16.904</v>
      </c>
      <c r="P49" s="32">
        <v>12.699</v>
      </c>
      <c r="Q49" s="32">
        <f t="shared" si="4"/>
        <v>207.221</v>
      </c>
      <c r="R49" s="96">
        <v>182787.0</v>
      </c>
      <c r="S49" s="97"/>
      <c r="T49" s="97"/>
      <c r="U49" s="98"/>
      <c r="V49" s="95">
        <f t="shared" si="5"/>
        <v>-182787</v>
      </c>
      <c r="W49" s="9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3">
        <v>7.0</v>
      </c>
      <c r="E50" s="33">
        <v>7.0</v>
      </c>
      <c r="F50" s="88"/>
      <c r="G50" s="89">
        <v>54.0</v>
      </c>
      <c r="H50" s="88"/>
      <c r="I50" s="90">
        <f t="shared" si="1"/>
        <v>90</v>
      </c>
      <c r="J50" s="91"/>
      <c r="K50" s="92">
        <v>144.0</v>
      </c>
      <c r="L50" s="90">
        <f t="shared" si="2"/>
        <v>0</v>
      </c>
      <c r="M50" s="90">
        <f t="shared" si="3"/>
        <v>144</v>
      </c>
      <c r="N50" s="32"/>
      <c r="O50" s="32">
        <v>16.904</v>
      </c>
      <c r="P50" s="32">
        <v>12.699</v>
      </c>
      <c r="Q50" s="32">
        <f t="shared" si="4"/>
        <v>207.221</v>
      </c>
      <c r="R50" s="96">
        <v>177099.0</v>
      </c>
      <c r="S50" s="97"/>
      <c r="T50" s="97"/>
      <c r="U50" s="98"/>
      <c r="V50" s="95">
        <f t="shared" si="5"/>
        <v>-177099</v>
      </c>
      <c r="W50" s="9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3">
        <v>7.0</v>
      </c>
      <c r="E51" s="33">
        <v>7.0</v>
      </c>
      <c r="F51" s="88"/>
      <c r="G51" s="89">
        <v>45.0</v>
      </c>
      <c r="H51" s="88"/>
      <c r="I51" s="90">
        <f t="shared" si="1"/>
        <v>67</v>
      </c>
      <c r="J51" s="91"/>
      <c r="K51" s="92">
        <v>112.0</v>
      </c>
      <c r="L51" s="90">
        <f t="shared" si="2"/>
        <v>0</v>
      </c>
      <c r="M51" s="90">
        <f t="shared" si="3"/>
        <v>112</v>
      </c>
      <c r="N51" s="32"/>
      <c r="O51" s="32">
        <v>16.904</v>
      </c>
      <c r="P51" s="32">
        <v>12.699</v>
      </c>
      <c r="Q51" s="32">
        <f t="shared" si="4"/>
        <v>207.221</v>
      </c>
      <c r="R51" s="96">
        <v>197600.0</v>
      </c>
      <c r="S51" s="97"/>
      <c r="T51" s="97"/>
      <c r="U51" s="98"/>
      <c r="V51" s="95">
        <f t="shared" si="5"/>
        <v>-197600</v>
      </c>
      <c r="W51" s="9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3">
        <v>6.0</v>
      </c>
      <c r="E52" s="33">
        <v>6.0</v>
      </c>
      <c r="F52" s="88"/>
      <c r="G52" s="89">
        <v>71.0</v>
      </c>
      <c r="H52" s="88"/>
      <c r="I52" s="90">
        <f t="shared" si="1"/>
        <v>95</v>
      </c>
      <c r="J52" s="91"/>
      <c r="K52" s="92">
        <v>166.0</v>
      </c>
      <c r="L52" s="90">
        <f t="shared" si="2"/>
        <v>0</v>
      </c>
      <c r="M52" s="90">
        <f t="shared" si="3"/>
        <v>166</v>
      </c>
      <c r="N52" s="32"/>
      <c r="O52" s="32">
        <v>16.904</v>
      </c>
      <c r="P52" s="32">
        <v>12.699</v>
      </c>
      <c r="Q52" s="32">
        <f t="shared" si="4"/>
        <v>177.618</v>
      </c>
      <c r="R52" s="96">
        <v>529177.0</v>
      </c>
      <c r="S52" s="97"/>
      <c r="T52" s="97"/>
      <c r="U52" s="98"/>
      <c r="V52" s="95">
        <f t="shared" si="5"/>
        <v>-529177</v>
      </c>
      <c r="W52" s="9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3">
        <v>7.0</v>
      </c>
      <c r="E53" s="33">
        <v>7.0</v>
      </c>
      <c r="F53" s="88"/>
      <c r="G53" s="89">
        <v>57.0</v>
      </c>
      <c r="H53" s="88"/>
      <c r="I53" s="90">
        <f t="shared" si="1"/>
        <v>56</v>
      </c>
      <c r="J53" s="91"/>
      <c r="K53" s="92">
        <v>113.0</v>
      </c>
      <c r="L53" s="90">
        <f t="shared" si="2"/>
        <v>0</v>
      </c>
      <c r="M53" s="90">
        <f t="shared" si="3"/>
        <v>113</v>
      </c>
      <c r="N53" s="32"/>
      <c r="O53" s="32">
        <v>16.904</v>
      </c>
      <c r="P53" s="32">
        <v>12.699</v>
      </c>
      <c r="Q53" s="32">
        <f t="shared" si="4"/>
        <v>207.221</v>
      </c>
      <c r="R53" s="96">
        <v>479111.0</v>
      </c>
      <c r="S53" s="97"/>
      <c r="T53" s="97"/>
      <c r="U53" s="98"/>
      <c r="V53" s="95">
        <f t="shared" si="5"/>
        <v>-479111</v>
      </c>
      <c r="W53" s="9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3">
        <v>7.0</v>
      </c>
      <c r="E54" s="33">
        <v>7.0</v>
      </c>
      <c r="F54" s="88"/>
      <c r="G54" s="89">
        <v>78.0</v>
      </c>
      <c r="H54" s="88"/>
      <c r="I54" s="90">
        <f t="shared" si="1"/>
        <v>71</v>
      </c>
      <c r="J54" s="91"/>
      <c r="K54" s="92">
        <v>149.0</v>
      </c>
      <c r="L54" s="90">
        <f t="shared" si="2"/>
        <v>0</v>
      </c>
      <c r="M54" s="90">
        <f t="shared" si="3"/>
        <v>149</v>
      </c>
      <c r="N54" s="32"/>
      <c r="O54" s="32">
        <v>16.904</v>
      </c>
      <c r="P54" s="32">
        <v>12.699</v>
      </c>
      <c r="Q54" s="32">
        <f t="shared" si="4"/>
        <v>207.221</v>
      </c>
      <c r="R54" s="96">
        <v>492393.0</v>
      </c>
      <c r="S54" s="97"/>
      <c r="T54" s="97"/>
      <c r="U54" s="98"/>
      <c r="V54" s="95">
        <f t="shared" si="5"/>
        <v>-492393</v>
      </c>
      <c r="W54" s="9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3">
        <v>6.0</v>
      </c>
      <c r="E55" s="33">
        <v>6.0</v>
      </c>
      <c r="F55" s="88"/>
      <c r="G55" s="89">
        <v>59.0</v>
      </c>
      <c r="H55" s="88"/>
      <c r="I55" s="90">
        <f t="shared" si="1"/>
        <v>87</v>
      </c>
      <c r="J55" s="91"/>
      <c r="K55" s="92">
        <v>146.0</v>
      </c>
      <c r="L55" s="90">
        <f t="shared" si="2"/>
        <v>0</v>
      </c>
      <c r="M55" s="90">
        <f t="shared" si="3"/>
        <v>146</v>
      </c>
      <c r="N55" s="32"/>
      <c r="O55" s="32">
        <v>16.904</v>
      </c>
      <c r="P55" s="32">
        <v>12.699</v>
      </c>
      <c r="Q55" s="32">
        <f t="shared" si="4"/>
        <v>177.618</v>
      </c>
      <c r="R55" s="96">
        <v>520973.0</v>
      </c>
      <c r="S55" s="97"/>
      <c r="T55" s="97"/>
      <c r="U55" s="98"/>
      <c r="V55" s="95">
        <f t="shared" si="5"/>
        <v>-520973</v>
      </c>
      <c r="W55" s="95">
        <f t="shared" si="6"/>
        <v>0</v>
      </c>
    </row>
    <row r="56" ht="14.25" customHeight="1">
      <c r="A56" s="8">
        <v>55.0</v>
      </c>
      <c r="B56" s="8" t="s">
        <v>25</v>
      </c>
      <c r="C56" s="103" t="s">
        <v>80</v>
      </c>
      <c r="D56" s="104">
        <v>4.0</v>
      </c>
      <c r="E56" s="104">
        <v>4.0</v>
      </c>
      <c r="F56" s="105"/>
      <c r="G56" s="105"/>
      <c r="H56" s="105"/>
      <c r="I56" s="107">
        <f t="shared" si="1"/>
        <v>92</v>
      </c>
      <c r="J56" s="108"/>
      <c r="K56" s="114">
        <v>92.0</v>
      </c>
      <c r="L56" s="107">
        <f t="shared" si="2"/>
        <v>0</v>
      </c>
      <c r="M56" s="107">
        <f t="shared" si="3"/>
        <v>92</v>
      </c>
      <c r="N56" s="104" t="s">
        <v>105</v>
      </c>
      <c r="O56" s="103">
        <v>16.904</v>
      </c>
      <c r="P56" s="103">
        <v>12.699</v>
      </c>
      <c r="Q56" s="103">
        <f t="shared" si="4"/>
        <v>118.412</v>
      </c>
      <c r="R56" s="110"/>
      <c r="S56" s="110"/>
      <c r="T56" s="115"/>
      <c r="U56" s="116"/>
      <c r="V56" s="112">
        <f t="shared" si="5"/>
        <v>0</v>
      </c>
      <c r="W56" s="112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3">
        <v>7.0</v>
      </c>
      <c r="E57" s="33">
        <v>7.0</v>
      </c>
      <c r="F57" s="88"/>
      <c r="G57" s="89">
        <v>41.0</v>
      </c>
      <c r="H57" s="88"/>
      <c r="I57" s="90">
        <f t="shared" si="1"/>
        <v>57</v>
      </c>
      <c r="J57" s="91"/>
      <c r="K57" s="92">
        <v>98.0</v>
      </c>
      <c r="L57" s="90">
        <f t="shared" si="2"/>
        <v>0</v>
      </c>
      <c r="M57" s="90">
        <f t="shared" si="3"/>
        <v>98</v>
      </c>
      <c r="N57" s="32"/>
      <c r="O57" s="32">
        <v>16.904</v>
      </c>
      <c r="P57" s="32">
        <v>12.699</v>
      </c>
      <c r="Q57" s="32">
        <f t="shared" si="4"/>
        <v>207.221</v>
      </c>
      <c r="R57" s="96">
        <v>481646.0</v>
      </c>
      <c r="S57" s="97"/>
      <c r="T57" s="97"/>
      <c r="U57" s="98"/>
      <c r="V57" s="95">
        <f t="shared" si="5"/>
        <v>-481646</v>
      </c>
      <c r="W57" s="9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3">
        <v>7.0</v>
      </c>
      <c r="E58" s="33">
        <v>7.0</v>
      </c>
      <c r="F58" s="88"/>
      <c r="G58" s="89">
        <v>67.0</v>
      </c>
      <c r="H58" s="88"/>
      <c r="I58" s="90">
        <f t="shared" si="1"/>
        <v>81</v>
      </c>
      <c r="J58" s="91"/>
      <c r="K58" s="92">
        <v>148.0</v>
      </c>
      <c r="L58" s="90">
        <f t="shared" si="2"/>
        <v>0</v>
      </c>
      <c r="M58" s="90">
        <f t="shared" si="3"/>
        <v>148</v>
      </c>
      <c r="N58" s="32"/>
      <c r="O58" s="32">
        <v>16.904</v>
      </c>
      <c r="P58" s="32">
        <v>12.699</v>
      </c>
      <c r="Q58" s="32">
        <f t="shared" si="4"/>
        <v>207.221</v>
      </c>
      <c r="R58" s="96">
        <v>459310.0</v>
      </c>
      <c r="S58" s="97"/>
      <c r="T58" s="97"/>
      <c r="U58" s="98"/>
      <c r="V58" s="95">
        <f t="shared" si="5"/>
        <v>-459310</v>
      </c>
      <c r="W58" s="9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3">
        <v>7.0</v>
      </c>
      <c r="E59" s="33">
        <v>7.0</v>
      </c>
      <c r="F59" s="88"/>
      <c r="G59" s="89">
        <v>50.0</v>
      </c>
      <c r="H59" s="88"/>
      <c r="I59" s="90">
        <f t="shared" si="1"/>
        <v>54</v>
      </c>
      <c r="J59" s="91"/>
      <c r="K59" s="92">
        <v>104.0</v>
      </c>
      <c r="L59" s="90">
        <f t="shared" si="2"/>
        <v>0</v>
      </c>
      <c r="M59" s="90">
        <f t="shared" si="3"/>
        <v>104</v>
      </c>
      <c r="N59" s="32"/>
      <c r="O59" s="32">
        <v>16.904</v>
      </c>
      <c r="P59" s="32">
        <v>12.699</v>
      </c>
      <c r="Q59" s="32">
        <f t="shared" si="4"/>
        <v>207.221</v>
      </c>
      <c r="R59" s="96">
        <v>446243.0</v>
      </c>
      <c r="S59" s="97"/>
      <c r="T59" s="113"/>
      <c r="U59" s="94"/>
      <c r="V59" s="95">
        <f t="shared" si="5"/>
        <v>-446243</v>
      </c>
      <c r="W59" s="9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3">
        <v>6.0</v>
      </c>
      <c r="E60" s="33">
        <v>6.0</v>
      </c>
      <c r="F60" s="88"/>
      <c r="G60" s="89">
        <v>45.0</v>
      </c>
      <c r="H60" s="88"/>
      <c r="I60" s="90">
        <f t="shared" si="1"/>
        <v>86</v>
      </c>
      <c r="J60" s="91"/>
      <c r="K60" s="92">
        <v>131.0</v>
      </c>
      <c r="L60" s="90">
        <f t="shared" si="2"/>
        <v>0</v>
      </c>
      <c r="M60" s="90">
        <f t="shared" si="3"/>
        <v>131</v>
      </c>
      <c r="N60" s="32"/>
      <c r="O60" s="32">
        <v>16.904</v>
      </c>
      <c r="P60" s="32">
        <v>12.699</v>
      </c>
      <c r="Q60" s="32">
        <f t="shared" si="4"/>
        <v>177.618</v>
      </c>
      <c r="R60" s="117">
        <v>502030.0</v>
      </c>
      <c r="S60" s="118"/>
      <c r="T60" s="118"/>
      <c r="U60" s="119"/>
      <c r="V60" s="120">
        <f t="shared" si="5"/>
        <v>-502030</v>
      </c>
      <c r="W60" s="120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3">
        <v>7.0</v>
      </c>
      <c r="E61" s="33">
        <v>7.0</v>
      </c>
      <c r="F61" s="88"/>
      <c r="G61" s="89">
        <v>75.0</v>
      </c>
      <c r="H61" s="88"/>
      <c r="I61" s="90">
        <f t="shared" si="1"/>
        <v>114</v>
      </c>
      <c r="J61" s="91"/>
      <c r="K61" s="92">
        <v>189.0</v>
      </c>
      <c r="L61" s="90">
        <f t="shared" si="2"/>
        <v>0</v>
      </c>
      <c r="M61" s="90">
        <f t="shared" si="3"/>
        <v>189</v>
      </c>
      <c r="N61" s="32"/>
      <c r="O61" s="32">
        <v>16.904</v>
      </c>
      <c r="P61" s="32">
        <v>12.699</v>
      </c>
      <c r="Q61" s="32">
        <f t="shared" si="4"/>
        <v>207.221</v>
      </c>
      <c r="R61" s="121">
        <v>450648.0</v>
      </c>
      <c r="S61" s="122"/>
      <c r="T61" s="122"/>
      <c r="U61" s="122"/>
      <c r="V61" s="123">
        <f t="shared" si="5"/>
        <v>-450648</v>
      </c>
      <c r="W61" s="123">
        <f t="shared" si="6"/>
        <v>0</v>
      </c>
    </row>
    <row r="62" ht="14.25" customHeight="1">
      <c r="A62" s="124"/>
      <c r="D62" s="125" t="s">
        <v>86</v>
      </c>
      <c r="E62" s="125">
        <f>SUM(M:M)</f>
        <v>7715</v>
      </c>
    </row>
    <row r="63" ht="14.25" customHeight="1">
      <c r="A63" s="124"/>
      <c r="D63" s="125" t="s">
        <v>87</v>
      </c>
      <c r="E63" s="125">
        <f>SUM(Q:Q)</f>
        <v>11485.964</v>
      </c>
    </row>
    <row r="64" ht="14.25" customHeight="1">
      <c r="A64" s="124"/>
      <c r="D64" s="125" t="s">
        <v>88</v>
      </c>
      <c r="E64" s="125">
        <f>E62/E63</f>
        <v>0.6716893767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>
        <f>AVERAGEIF(Q:Q,"&gt;0",Q:Q)</f>
        <v>198.0338621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3147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3147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4568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4568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7715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4" t="s">
        <v>19</v>
      </c>
      <c r="S1" s="5" t="s">
        <v>20</v>
      </c>
      <c r="T1" s="5" t="s">
        <v>21</v>
      </c>
      <c r="U1" s="5" t="s">
        <v>22</v>
      </c>
      <c r="V1" s="6" t="s">
        <v>23</v>
      </c>
      <c r="W1" s="6" t="s">
        <v>24</v>
      </c>
      <c r="X1" s="7"/>
      <c r="Y1" s="7"/>
      <c r="Z1" s="7"/>
      <c r="AA1" s="7"/>
      <c r="AB1" s="7"/>
    </row>
    <row r="2" ht="14.25" customHeight="1">
      <c r="A2" s="8">
        <v>1.0</v>
      </c>
      <c r="B2" s="8" t="s">
        <v>25</v>
      </c>
      <c r="C2" s="32" t="s">
        <v>26</v>
      </c>
      <c r="D2" s="33">
        <v>7.0</v>
      </c>
      <c r="E2" s="33">
        <v>7.0</v>
      </c>
      <c r="F2" s="8"/>
      <c r="G2" s="34">
        <v>73.0</v>
      </c>
      <c r="H2" s="8"/>
      <c r="I2" s="8">
        <f t="shared" ref="I2:I61" si="1">max(0,K2-G2)</f>
        <v>120</v>
      </c>
      <c r="J2" s="35"/>
      <c r="K2" s="36">
        <v>193.0</v>
      </c>
      <c r="L2" s="8">
        <f t="shared" ref="L2:L61" si="2">J2+H2</f>
        <v>0</v>
      </c>
      <c r="M2" s="8">
        <f t="shared" ref="M2:M61" si="3">G2+H2+I2+J2</f>
        <v>193</v>
      </c>
      <c r="N2" s="32"/>
      <c r="O2" s="32">
        <v>16.904</v>
      </c>
      <c r="P2" s="32">
        <v>12.699</v>
      </c>
      <c r="Q2" s="32">
        <f t="shared" ref="Q2:Q61" si="4">(D2*O2)+(E2*P2)</f>
        <v>207.221</v>
      </c>
      <c r="R2" s="135"/>
      <c r="S2" s="136"/>
      <c r="T2" s="136"/>
      <c r="U2" s="136"/>
      <c r="V2" s="12">
        <f t="shared" ref="V2:V61" si="5">S2-R2</f>
        <v>0</v>
      </c>
      <c r="W2" s="12">
        <f t="shared" ref="W2:W61" si="6">U2-T2</f>
        <v>0</v>
      </c>
      <c r="X2" s="42"/>
      <c r="Y2" s="42"/>
      <c r="Z2" s="42"/>
      <c r="AA2" s="42"/>
      <c r="AB2" s="42"/>
    </row>
    <row r="3" ht="14.25" customHeight="1">
      <c r="A3" s="8">
        <v>2.0</v>
      </c>
      <c r="B3" s="8" t="s">
        <v>25</v>
      </c>
      <c r="C3" s="32" t="s">
        <v>27</v>
      </c>
      <c r="D3" s="33">
        <v>7.0</v>
      </c>
      <c r="E3" s="33">
        <v>7.0</v>
      </c>
      <c r="F3" s="8"/>
      <c r="G3" s="34">
        <v>54.0</v>
      </c>
      <c r="H3" s="8"/>
      <c r="I3" s="8">
        <f t="shared" si="1"/>
        <v>42</v>
      </c>
      <c r="J3" s="35"/>
      <c r="K3" s="36">
        <v>96.0</v>
      </c>
      <c r="L3" s="8">
        <f t="shared" si="2"/>
        <v>0</v>
      </c>
      <c r="M3" s="8">
        <f t="shared" si="3"/>
        <v>96</v>
      </c>
      <c r="N3" s="32"/>
      <c r="O3" s="32">
        <v>16.904</v>
      </c>
      <c r="P3" s="32">
        <v>12.699</v>
      </c>
      <c r="Q3" s="32">
        <f t="shared" si="4"/>
        <v>207.221</v>
      </c>
      <c r="R3" s="135"/>
      <c r="S3" s="136"/>
      <c r="T3" s="136"/>
      <c r="U3" s="136"/>
      <c r="V3" s="12">
        <f t="shared" si="5"/>
        <v>0</v>
      </c>
      <c r="W3" s="12">
        <f t="shared" si="6"/>
        <v>0</v>
      </c>
      <c r="X3" s="42"/>
      <c r="Y3" s="42"/>
      <c r="Z3" s="42"/>
      <c r="AA3" s="42"/>
      <c r="AB3" s="42"/>
    </row>
    <row r="4" ht="14.25" customHeight="1">
      <c r="A4" s="8">
        <v>3.0</v>
      </c>
      <c r="B4" s="8" t="s">
        <v>25</v>
      </c>
      <c r="C4" s="32" t="s">
        <v>28</v>
      </c>
      <c r="D4" s="33">
        <v>7.0</v>
      </c>
      <c r="E4" s="33">
        <v>7.0</v>
      </c>
      <c r="F4" s="8"/>
      <c r="G4" s="34">
        <v>63.0</v>
      </c>
      <c r="H4" s="8"/>
      <c r="I4" s="8">
        <f t="shared" si="1"/>
        <v>74</v>
      </c>
      <c r="J4" s="35"/>
      <c r="K4" s="36">
        <v>137.0</v>
      </c>
      <c r="L4" s="8">
        <f t="shared" si="2"/>
        <v>0</v>
      </c>
      <c r="M4" s="8">
        <f t="shared" si="3"/>
        <v>137</v>
      </c>
      <c r="N4" s="32"/>
      <c r="O4" s="32">
        <v>16.904</v>
      </c>
      <c r="P4" s="32">
        <v>12.699</v>
      </c>
      <c r="Q4" s="32">
        <f t="shared" si="4"/>
        <v>207.221</v>
      </c>
      <c r="R4" s="135"/>
      <c r="S4" s="135"/>
      <c r="T4" s="135"/>
      <c r="U4" s="136"/>
      <c r="V4" s="12">
        <f t="shared" si="5"/>
        <v>0</v>
      </c>
      <c r="W4" s="12">
        <f t="shared" si="6"/>
        <v>0</v>
      </c>
      <c r="X4" s="42"/>
      <c r="Y4" s="42"/>
      <c r="Z4" s="42"/>
      <c r="AA4" s="42"/>
      <c r="AB4" s="42"/>
    </row>
    <row r="5" ht="14.25" customHeight="1">
      <c r="A5" s="8">
        <v>4.0</v>
      </c>
      <c r="B5" s="8" t="s">
        <v>25</v>
      </c>
      <c r="C5" s="32" t="s">
        <v>29</v>
      </c>
      <c r="D5" s="33">
        <v>7.0</v>
      </c>
      <c r="E5" s="33">
        <v>7.0</v>
      </c>
      <c r="F5" s="8"/>
      <c r="G5" s="34">
        <v>55.0</v>
      </c>
      <c r="H5" s="8"/>
      <c r="I5" s="8">
        <f t="shared" si="1"/>
        <v>71</v>
      </c>
      <c r="J5" s="35"/>
      <c r="K5" s="36">
        <v>126.0</v>
      </c>
      <c r="L5" s="8">
        <f t="shared" si="2"/>
        <v>0</v>
      </c>
      <c r="M5" s="8">
        <f t="shared" si="3"/>
        <v>126</v>
      </c>
      <c r="N5" s="32"/>
      <c r="O5" s="32">
        <v>16.904</v>
      </c>
      <c r="P5" s="32">
        <v>12.699</v>
      </c>
      <c r="Q5" s="32">
        <f t="shared" si="4"/>
        <v>207.221</v>
      </c>
      <c r="R5" s="135"/>
      <c r="S5" s="135"/>
      <c r="T5" s="135"/>
      <c r="U5" s="136"/>
      <c r="V5" s="12">
        <f t="shared" si="5"/>
        <v>0</v>
      </c>
      <c r="W5" s="12">
        <f t="shared" si="6"/>
        <v>0</v>
      </c>
      <c r="X5" s="42"/>
      <c r="Y5" s="42"/>
      <c r="Z5" s="42"/>
      <c r="AA5" s="42"/>
      <c r="AB5" s="42"/>
    </row>
    <row r="6" ht="14.25" customHeight="1">
      <c r="A6" s="8">
        <v>5.0</v>
      </c>
      <c r="B6" s="8" t="s">
        <v>25</v>
      </c>
      <c r="C6" s="32" t="s">
        <v>30</v>
      </c>
      <c r="D6" s="33">
        <v>7.0</v>
      </c>
      <c r="E6" s="33">
        <v>7.0</v>
      </c>
      <c r="F6" s="8"/>
      <c r="G6" s="34">
        <v>37.0</v>
      </c>
      <c r="H6" s="8"/>
      <c r="I6" s="8">
        <f t="shared" si="1"/>
        <v>111</v>
      </c>
      <c r="J6" s="35"/>
      <c r="K6" s="36">
        <v>148.0</v>
      </c>
      <c r="L6" s="8">
        <f t="shared" si="2"/>
        <v>0</v>
      </c>
      <c r="M6" s="8">
        <f t="shared" si="3"/>
        <v>148</v>
      </c>
      <c r="N6" s="32"/>
      <c r="O6" s="32">
        <v>16.904</v>
      </c>
      <c r="P6" s="32">
        <v>12.699</v>
      </c>
      <c r="Q6" s="32">
        <f t="shared" si="4"/>
        <v>207.221</v>
      </c>
      <c r="R6" s="135"/>
      <c r="S6" s="135"/>
      <c r="T6" s="135"/>
      <c r="U6" s="136"/>
      <c r="V6" s="12">
        <f t="shared" si="5"/>
        <v>0</v>
      </c>
      <c r="W6" s="12">
        <f t="shared" si="6"/>
        <v>0</v>
      </c>
      <c r="X6" s="42"/>
      <c r="Y6" s="42"/>
      <c r="Z6" s="42"/>
      <c r="AA6" s="42"/>
      <c r="AB6" s="42"/>
    </row>
    <row r="7" ht="14.25" customHeight="1">
      <c r="A7" s="8">
        <v>6.0</v>
      </c>
      <c r="B7" s="8" t="s">
        <v>25</v>
      </c>
      <c r="C7" s="32" t="s">
        <v>31</v>
      </c>
      <c r="D7" s="33">
        <v>6.0</v>
      </c>
      <c r="E7" s="33">
        <v>6.0</v>
      </c>
      <c r="F7" s="8"/>
      <c r="G7" s="34">
        <v>59.0</v>
      </c>
      <c r="H7" s="8"/>
      <c r="I7" s="8">
        <f t="shared" si="1"/>
        <v>99</v>
      </c>
      <c r="J7" s="35"/>
      <c r="K7" s="36">
        <v>158.0</v>
      </c>
      <c r="L7" s="8">
        <f t="shared" si="2"/>
        <v>0</v>
      </c>
      <c r="M7" s="8">
        <f t="shared" si="3"/>
        <v>158</v>
      </c>
      <c r="N7" s="32"/>
      <c r="O7" s="32">
        <v>16.904</v>
      </c>
      <c r="P7" s="32">
        <v>12.699</v>
      </c>
      <c r="Q7" s="32">
        <f t="shared" si="4"/>
        <v>177.618</v>
      </c>
      <c r="R7" s="135"/>
      <c r="S7" s="135"/>
      <c r="T7" s="135"/>
      <c r="U7" s="136"/>
      <c r="V7" s="12">
        <f t="shared" si="5"/>
        <v>0</v>
      </c>
      <c r="W7" s="12">
        <f t="shared" si="6"/>
        <v>0</v>
      </c>
      <c r="X7" s="42"/>
      <c r="Y7" s="42"/>
      <c r="Z7" s="42"/>
      <c r="AA7" s="42"/>
      <c r="AB7" s="42"/>
    </row>
    <row r="8" ht="14.25" customHeight="1">
      <c r="A8" s="8">
        <v>7.0</v>
      </c>
      <c r="B8" s="8" t="s">
        <v>25</v>
      </c>
      <c r="C8" s="44" t="s">
        <v>32</v>
      </c>
      <c r="D8" s="45">
        <v>3.0</v>
      </c>
      <c r="E8" s="45">
        <v>3.0</v>
      </c>
      <c r="F8" s="43"/>
      <c r="G8" s="137">
        <v>55.0</v>
      </c>
      <c r="H8" s="43"/>
      <c r="I8" s="43">
        <f t="shared" si="1"/>
        <v>0</v>
      </c>
      <c r="J8" s="46"/>
      <c r="K8" s="46"/>
      <c r="L8" s="43">
        <f t="shared" si="2"/>
        <v>0</v>
      </c>
      <c r="M8" s="43">
        <f t="shared" si="3"/>
        <v>55</v>
      </c>
      <c r="N8" s="45" t="s">
        <v>104</v>
      </c>
      <c r="O8" s="44">
        <v>16.904</v>
      </c>
      <c r="P8" s="44">
        <v>12.699</v>
      </c>
      <c r="Q8" s="44">
        <f t="shared" si="4"/>
        <v>88.809</v>
      </c>
      <c r="R8" s="138"/>
      <c r="S8" s="138"/>
      <c r="T8" s="138"/>
      <c r="U8" s="139"/>
      <c r="V8" s="51">
        <f t="shared" si="5"/>
        <v>0</v>
      </c>
      <c r="W8" s="51">
        <f t="shared" si="6"/>
        <v>0</v>
      </c>
      <c r="X8" s="42"/>
      <c r="Y8" s="42"/>
      <c r="Z8" s="42"/>
      <c r="AA8" s="42"/>
      <c r="AB8" s="42"/>
    </row>
    <row r="9" ht="14.25" customHeight="1">
      <c r="A9" s="8">
        <v>8.0</v>
      </c>
      <c r="B9" s="8" t="s">
        <v>25</v>
      </c>
      <c r="C9" s="32" t="s">
        <v>33</v>
      </c>
      <c r="D9" s="33">
        <v>7.0</v>
      </c>
      <c r="E9" s="33">
        <v>7.0</v>
      </c>
      <c r="F9" s="8"/>
      <c r="G9" s="34">
        <v>42.0</v>
      </c>
      <c r="H9" s="8"/>
      <c r="I9" s="8">
        <f t="shared" si="1"/>
        <v>105</v>
      </c>
      <c r="J9" s="35"/>
      <c r="K9" s="36">
        <v>147.0</v>
      </c>
      <c r="L9" s="8">
        <f t="shared" si="2"/>
        <v>0</v>
      </c>
      <c r="M9" s="8">
        <f t="shared" si="3"/>
        <v>147</v>
      </c>
      <c r="N9" s="32"/>
      <c r="O9" s="32">
        <v>16.904</v>
      </c>
      <c r="P9" s="32">
        <v>12.699</v>
      </c>
      <c r="Q9" s="32">
        <f t="shared" si="4"/>
        <v>207.221</v>
      </c>
      <c r="R9" s="135"/>
      <c r="S9" s="135"/>
      <c r="T9" s="135"/>
      <c r="U9" s="136"/>
      <c r="V9" s="12">
        <f t="shared" si="5"/>
        <v>0</v>
      </c>
      <c r="W9" s="12">
        <f t="shared" si="6"/>
        <v>0</v>
      </c>
      <c r="X9" s="42"/>
      <c r="Y9" s="42"/>
      <c r="Z9" s="42"/>
      <c r="AA9" s="42"/>
      <c r="AB9" s="42"/>
    </row>
    <row r="10" ht="14.25" customHeight="1">
      <c r="A10" s="8">
        <v>9.0</v>
      </c>
      <c r="B10" s="8" t="s">
        <v>25</v>
      </c>
      <c r="C10" s="32" t="s">
        <v>34</v>
      </c>
      <c r="D10" s="33">
        <v>7.0</v>
      </c>
      <c r="E10" s="33">
        <v>7.0</v>
      </c>
      <c r="F10" s="8"/>
      <c r="G10" s="34">
        <v>68.0</v>
      </c>
      <c r="H10" s="8"/>
      <c r="I10" s="8">
        <f t="shared" si="1"/>
        <v>121</v>
      </c>
      <c r="J10" s="35"/>
      <c r="K10" s="36">
        <v>189.0</v>
      </c>
      <c r="L10" s="8">
        <f t="shared" si="2"/>
        <v>0</v>
      </c>
      <c r="M10" s="8">
        <f t="shared" si="3"/>
        <v>189</v>
      </c>
      <c r="N10" s="32"/>
      <c r="O10" s="32">
        <v>16.904</v>
      </c>
      <c r="P10" s="32">
        <v>12.699</v>
      </c>
      <c r="Q10" s="32">
        <f t="shared" si="4"/>
        <v>207.221</v>
      </c>
      <c r="R10" s="135"/>
      <c r="S10" s="135"/>
      <c r="T10" s="135"/>
      <c r="U10" s="136"/>
      <c r="V10" s="12">
        <f t="shared" si="5"/>
        <v>0</v>
      </c>
      <c r="W10" s="12">
        <f t="shared" si="6"/>
        <v>0</v>
      </c>
      <c r="X10" s="42"/>
      <c r="Y10" s="42"/>
      <c r="Z10" s="42"/>
      <c r="AA10" s="42"/>
      <c r="AB10" s="42"/>
    </row>
    <row r="11" ht="14.25" customHeight="1">
      <c r="A11" s="8">
        <v>10.0</v>
      </c>
      <c r="B11" s="8" t="s">
        <v>25</v>
      </c>
      <c r="C11" s="32" t="s">
        <v>35</v>
      </c>
      <c r="D11" s="33">
        <v>7.0</v>
      </c>
      <c r="E11" s="33">
        <v>7.0</v>
      </c>
      <c r="F11" s="8"/>
      <c r="G11" s="34">
        <v>49.0</v>
      </c>
      <c r="H11" s="8"/>
      <c r="I11" s="8">
        <f t="shared" si="1"/>
        <v>111</v>
      </c>
      <c r="J11" s="35"/>
      <c r="K11" s="36">
        <v>160.0</v>
      </c>
      <c r="L11" s="8">
        <f t="shared" si="2"/>
        <v>0</v>
      </c>
      <c r="M11" s="8">
        <f t="shared" si="3"/>
        <v>160</v>
      </c>
      <c r="N11" s="32"/>
      <c r="O11" s="32">
        <v>16.904</v>
      </c>
      <c r="P11" s="32">
        <v>12.699</v>
      </c>
      <c r="Q11" s="32">
        <f t="shared" si="4"/>
        <v>207.221</v>
      </c>
      <c r="R11" s="135"/>
      <c r="S11" s="135"/>
      <c r="T11" s="135"/>
      <c r="U11" s="136"/>
      <c r="V11" s="12">
        <f t="shared" si="5"/>
        <v>0</v>
      </c>
      <c r="W11" s="12">
        <f t="shared" si="6"/>
        <v>0</v>
      </c>
      <c r="X11" s="42"/>
      <c r="Y11" s="42"/>
      <c r="Z11" s="42"/>
      <c r="AA11" s="42"/>
      <c r="AB11" s="42"/>
    </row>
    <row r="12" ht="14.25" customHeight="1">
      <c r="A12" s="8">
        <v>11.0</v>
      </c>
      <c r="B12" s="8" t="s">
        <v>25</v>
      </c>
      <c r="C12" s="32" t="s">
        <v>36</v>
      </c>
      <c r="D12" s="33">
        <v>7.0</v>
      </c>
      <c r="E12" s="33">
        <v>7.0</v>
      </c>
      <c r="F12" s="8"/>
      <c r="G12" s="34">
        <v>61.0</v>
      </c>
      <c r="H12" s="8"/>
      <c r="I12" s="8">
        <f t="shared" si="1"/>
        <v>62</v>
      </c>
      <c r="J12" s="35"/>
      <c r="K12" s="36">
        <v>123.0</v>
      </c>
      <c r="L12" s="8">
        <f t="shared" si="2"/>
        <v>0</v>
      </c>
      <c r="M12" s="8">
        <f t="shared" si="3"/>
        <v>123</v>
      </c>
      <c r="N12" s="32"/>
      <c r="O12" s="32">
        <v>16.904</v>
      </c>
      <c r="P12" s="32">
        <v>12.699</v>
      </c>
      <c r="Q12" s="32">
        <f t="shared" si="4"/>
        <v>207.221</v>
      </c>
      <c r="R12" s="135"/>
      <c r="S12" s="135"/>
      <c r="T12" s="135"/>
      <c r="U12" s="136"/>
      <c r="V12" s="12">
        <f t="shared" si="5"/>
        <v>0</v>
      </c>
      <c r="W12" s="12">
        <f t="shared" si="6"/>
        <v>0</v>
      </c>
      <c r="X12" s="42"/>
      <c r="Y12" s="42"/>
      <c r="Z12" s="42"/>
      <c r="AA12" s="42"/>
      <c r="AB12" s="42"/>
    </row>
    <row r="13" ht="14.25" customHeight="1">
      <c r="A13" s="8">
        <v>12.0</v>
      </c>
      <c r="B13" s="8" t="s">
        <v>25</v>
      </c>
      <c r="C13" s="32" t="s">
        <v>37</v>
      </c>
      <c r="D13" s="33">
        <v>7.0</v>
      </c>
      <c r="E13" s="33">
        <v>7.0</v>
      </c>
      <c r="F13" s="8"/>
      <c r="G13" s="34">
        <v>59.0</v>
      </c>
      <c r="H13" s="8"/>
      <c r="I13" s="8">
        <f t="shared" si="1"/>
        <v>70</v>
      </c>
      <c r="J13" s="35"/>
      <c r="K13" s="36">
        <v>129.0</v>
      </c>
      <c r="L13" s="8">
        <f t="shared" si="2"/>
        <v>0</v>
      </c>
      <c r="M13" s="8">
        <f t="shared" si="3"/>
        <v>129</v>
      </c>
      <c r="N13" s="32"/>
      <c r="O13" s="32">
        <v>16.904</v>
      </c>
      <c r="P13" s="32">
        <v>12.699</v>
      </c>
      <c r="Q13" s="32">
        <f t="shared" si="4"/>
        <v>207.221</v>
      </c>
      <c r="R13" s="135"/>
      <c r="S13" s="135"/>
      <c r="T13" s="135"/>
      <c r="U13" s="136"/>
      <c r="V13" s="12">
        <f t="shared" si="5"/>
        <v>0</v>
      </c>
      <c r="W13" s="12">
        <f t="shared" si="6"/>
        <v>0</v>
      </c>
      <c r="X13" s="42"/>
      <c r="Y13" s="42"/>
      <c r="Z13" s="42"/>
      <c r="AA13" s="42"/>
      <c r="AB13" s="42"/>
    </row>
    <row r="14" ht="14.25" customHeight="1">
      <c r="A14" s="8">
        <v>13.0</v>
      </c>
      <c r="B14" s="8" t="s">
        <v>25</v>
      </c>
      <c r="C14" s="32" t="s">
        <v>38</v>
      </c>
      <c r="D14" s="33">
        <v>7.0</v>
      </c>
      <c r="E14" s="33">
        <v>7.0</v>
      </c>
      <c r="F14" s="8"/>
      <c r="G14" s="34">
        <v>7.0</v>
      </c>
      <c r="H14" s="8"/>
      <c r="I14" s="8">
        <f t="shared" si="1"/>
        <v>32</v>
      </c>
      <c r="J14" s="35"/>
      <c r="K14" s="36">
        <v>39.0</v>
      </c>
      <c r="L14" s="8">
        <f t="shared" si="2"/>
        <v>0</v>
      </c>
      <c r="M14" s="8">
        <f t="shared" si="3"/>
        <v>39</v>
      </c>
      <c r="N14" s="32"/>
      <c r="O14" s="32">
        <v>16.904</v>
      </c>
      <c r="P14" s="32">
        <v>12.699</v>
      </c>
      <c r="Q14" s="32">
        <f t="shared" si="4"/>
        <v>207.221</v>
      </c>
      <c r="R14" s="135"/>
      <c r="S14" s="135"/>
      <c r="T14" s="135"/>
      <c r="U14" s="136"/>
      <c r="V14" s="12">
        <f t="shared" si="5"/>
        <v>0</v>
      </c>
      <c r="W14" s="12">
        <f t="shared" si="6"/>
        <v>0</v>
      </c>
      <c r="X14" s="42"/>
      <c r="Y14" s="42"/>
      <c r="Z14" s="42"/>
      <c r="AA14" s="42"/>
      <c r="AB14" s="42"/>
    </row>
    <row r="15" ht="14.25" customHeight="1">
      <c r="A15" s="8">
        <v>14.0</v>
      </c>
      <c r="B15" s="8" t="s">
        <v>25</v>
      </c>
      <c r="C15" s="32" t="s">
        <v>39</v>
      </c>
      <c r="D15" s="33">
        <v>7.0</v>
      </c>
      <c r="E15" s="33">
        <v>7.0</v>
      </c>
      <c r="F15" s="8"/>
      <c r="G15" s="34">
        <v>47.0</v>
      </c>
      <c r="H15" s="8"/>
      <c r="I15" s="8">
        <f t="shared" si="1"/>
        <v>98</v>
      </c>
      <c r="J15" s="35"/>
      <c r="K15" s="36">
        <v>145.0</v>
      </c>
      <c r="L15" s="8">
        <f t="shared" si="2"/>
        <v>0</v>
      </c>
      <c r="M15" s="8">
        <f t="shared" si="3"/>
        <v>145</v>
      </c>
      <c r="N15" s="32"/>
      <c r="O15" s="32">
        <v>16.904</v>
      </c>
      <c r="P15" s="32">
        <v>12.699</v>
      </c>
      <c r="Q15" s="32">
        <f t="shared" si="4"/>
        <v>207.221</v>
      </c>
      <c r="R15" s="135"/>
      <c r="S15" s="135"/>
      <c r="T15" s="135"/>
      <c r="U15" s="136"/>
      <c r="V15" s="12">
        <f t="shared" si="5"/>
        <v>0</v>
      </c>
      <c r="W15" s="12">
        <f t="shared" si="6"/>
        <v>0</v>
      </c>
      <c r="X15" s="42"/>
      <c r="Y15" s="42"/>
      <c r="Z15" s="42"/>
      <c r="AA15" s="42"/>
      <c r="AB15" s="42"/>
    </row>
    <row r="16" ht="14.25" customHeight="1">
      <c r="A16" s="8">
        <v>15.0</v>
      </c>
      <c r="B16" s="8" t="s">
        <v>25</v>
      </c>
      <c r="C16" s="140" t="s">
        <v>40</v>
      </c>
      <c r="D16" s="141"/>
      <c r="E16" s="141"/>
      <c r="F16" s="142"/>
      <c r="G16" s="142"/>
      <c r="H16" s="142"/>
      <c r="I16" s="142">
        <f t="shared" si="1"/>
        <v>0</v>
      </c>
      <c r="J16" s="143"/>
      <c r="K16" s="143"/>
      <c r="L16" s="142">
        <f t="shared" si="2"/>
        <v>0</v>
      </c>
      <c r="M16" s="142">
        <f t="shared" si="3"/>
        <v>0</v>
      </c>
      <c r="N16" s="141" t="s">
        <v>106</v>
      </c>
      <c r="O16" s="140">
        <v>16.904</v>
      </c>
      <c r="P16" s="140">
        <v>12.699</v>
      </c>
      <c r="Q16" s="140">
        <f t="shared" si="4"/>
        <v>0</v>
      </c>
      <c r="R16" s="144"/>
      <c r="S16" s="144"/>
      <c r="T16" s="144"/>
      <c r="U16" s="145"/>
      <c r="V16" s="146">
        <f t="shared" si="5"/>
        <v>0</v>
      </c>
      <c r="W16" s="146">
        <f t="shared" si="6"/>
        <v>0</v>
      </c>
      <c r="X16" s="42"/>
      <c r="Y16" s="42"/>
      <c r="Z16" s="42"/>
      <c r="AA16" s="42"/>
      <c r="AB16" s="42"/>
    </row>
    <row r="17" ht="14.25" customHeight="1">
      <c r="A17" s="8">
        <v>16.0</v>
      </c>
      <c r="B17" s="8" t="s">
        <v>25</v>
      </c>
      <c r="C17" s="32" t="s">
        <v>41</v>
      </c>
      <c r="D17" s="33">
        <v>6.0</v>
      </c>
      <c r="E17" s="33">
        <v>6.0</v>
      </c>
      <c r="F17" s="8"/>
      <c r="G17" s="34">
        <v>48.0</v>
      </c>
      <c r="H17" s="8"/>
      <c r="I17" s="8">
        <f t="shared" si="1"/>
        <v>99</v>
      </c>
      <c r="J17" s="35"/>
      <c r="K17" s="36">
        <v>147.0</v>
      </c>
      <c r="L17" s="8">
        <f t="shared" si="2"/>
        <v>0</v>
      </c>
      <c r="M17" s="8">
        <f t="shared" si="3"/>
        <v>147</v>
      </c>
      <c r="N17" s="32"/>
      <c r="O17" s="32">
        <v>16.904</v>
      </c>
      <c r="P17" s="32">
        <v>12.699</v>
      </c>
      <c r="Q17" s="32">
        <f t="shared" si="4"/>
        <v>177.618</v>
      </c>
      <c r="R17" s="135"/>
      <c r="S17" s="135"/>
      <c r="T17" s="135"/>
      <c r="U17" s="136"/>
      <c r="V17" s="12">
        <f t="shared" si="5"/>
        <v>0</v>
      </c>
      <c r="W17" s="12">
        <f t="shared" si="6"/>
        <v>0</v>
      </c>
      <c r="X17" s="42"/>
      <c r="Y17" s="42"/>
      <c r="Z17" s="42"/>
      <c r="AA17" s="42"/>
      <c r="AB17" s="42"/>
    </row>
    <row r="18" ht="14.25" customHeight="1">
      <c r="A18" s="8">
        <v>17.0</v>
      </c>
      <c r="B18" s="8" t="s">
        <v>25</v>
      </c>
      <c r="C18" s="65" t="s">
        <v>42</v>
      </c>
      <c r="D18" s="66">
        <v>4.0</v>
      </c>
      <c r="E18" s="66">
        <v>4.0</v>
      </c>
      <c r="F18" s="64"/>
      <c r="G18" s="64"/>
      <c r="H18" s="64"/>
      <c r="I18" s="64">
        <f t="shared" si="1"/>
        <v>118</v>
      </c>
      <c r="J18" s="67"/>
      <c r="K18" s="68">
        <v>118.0</v>
      </c>
      <c r="L18" s="64">
        <f t="shared" si="2"/>
        <v>0</v>
      </c>
      <c r="M18" s="64">
        <f t="shared" si="3"/>
        <v>118</v>
      </c>
      <c r="N18" s="66" t="s">
        <v>107</v>
      </c>
      <c r="O18" s="65">
        <v>16.904</v>
      </c>
      <c r="P18" s="65">
        <v>12.699</v>
      </c>
      <c r="Q18" s="65">
        <f t="shared" si="4"/>
        <v>118.412</v>
      </c>
      <c r="R18" s="147"/>
      <c r="S18" s="147"/>
      <c r="T18" s="147"/>
      <c r="U18" s="148"/>
      <c r="V18" s="73">
        <f t="shared" si="5"/>
        <v>0</v>
      </c>
      <c r="W18" s="73">
        <f t="shared" si="6"/>
        <v>0</v>
      </c>
      <c r="X18" s="42"/>
      <c r="Y18" s="42"/>
      <c r="Z18" s="42"/>
      <c r="AA18" s="42"/>
      <c r="AB18" s="42"/>
    </row>
    <row r="19" ht="14.25" customHeight="1">
      <c r="A19" s="8">
        <v>18.0</v>
      </c>
      <c r="B19" s="8" t="s">
        <v>25</v>
      </c>
      <c r="C19" s="32" t="s">
        <v>43</v>
      </c>
      <c r="D19" s="33">
        <v>7.0</v>
      </c>
      <c r="E19" s="33">
        <v>7.0</v>
      </c>
      <c r="F19" s="8"/>
      <c r="G19" s="34">
        <v>81.0</v>
      </c>
      <c r="H19" s="8"/>
      <c r="I19" s="8">
        <f t="shared" si="1"/>
        <v>93</v>
      </c>
      <c r="J19" s="35"/>
      <c r="K19" s="36">
        <v>174.0</v>
      </c>
      <c r="L19" s="8">
        <f t="shared" si="2"/>
        <v>0</v>
      </c>
      <c r="M19" s="8">
        <f t="shared" si="3"/>
        <v>174</v>
      </c>
      <c r="N19" s="32"/>
      <c r="O19" s="32">
        <v>16.904</v>
      </c>
      <c r="P19" s="32">
        <v>12.699</v>
      </c>
      <c r="Q19" s="32">
        <f t="shared" si="4"/>
        <v>207.221</v>
      </c>
      <c r="R19" s="135"/>
      <c r="S19" s="135"/>
      <c r="T19" s="135"/>
      <c r="U19" s="136"/>
      <c r="V19" s="12">
        <f t="shared" si="5"/>
        <v>0</v>
      </c>
      <c r="W19" s="12">
        <f t="shared" si="6"/>
        <v>0</v>
      </c>
      <c r="X19" s="42"/>
      <c r="Y19" s="42"/>
      <c r="Z19" s="42"/>
      <c r="AA19" s="42"/>
      <c r="AB19" s="42"/>
    </row>
    <row r="20" ht="14.25" customHeight="1">
      <c r="A20" s="8">
        <v>19.0</v>
      </c>
      <c r="B20" s="8" t="s">
        <v>25</v>
      </c>
      <c r="C20" s="32" t="s">
        <v>44</v>
      </c>
      <c r="D20" s="33">
        <v>7.0</v>
      </c>
      <c r="E20" s="33">
        <v>7.0</v>
      </c>
      <c r="F20" s="8"/>
      <c r="G20" s="34">
        <v>69.0</v>
      </c>
      <c r="H20" s="8"/>
      <c r="I20" s="8">
        <f t="shared" si="1"/>
        <v>59</v>
      </c>
      <c r="J20" s="35"/>
      <c r="K20" s="36">
        <v>128.0</v>
      </c>
      <c r="L20" s="8">
        <f t="shared" si="2"/>
        <v>0</v>
      </c>
      <c r="M20" s="8">
        <f t="shared" si="3"/>
        <v>128</v>
      </c>
      <c r="N20" s="32"/>
      <c r="O20" s="32">
        <v>16.904</v>
      </c>
      <c r="P20" s="32">
        <v>12.699</v>
      </c>
      <c r="Q20" s="32">
        <f t="shared" si="4"/>
        <v>207.221</v>
      </c>
      <c r="R20" s="135"/>
      <c r="S20" s="135"/>
      <c r="T20" s="135"/>
      <c r="U20" s="136"/>
      <c r="V20" s="12">
        <f t="shared" si="5"/>
        <v>0</v>
      </c>
      <c r="W20" s="12">
        <f t="shared" si="6"/>
        <v>0</v>
      </c>
      <c r="X20" s="42"/>
      <c r="Y20" s="42"/>
      <c r="Z20" s="42"/>
      <c r="AA20" s="42"/>
      <c r="AB20" s="42"/>
    </row>
    <row r="21" ht="14.25" customHeight="1">
      <c r="A21" s="8">
        <v>20.0</v>
      </c>
      <c r="B21" s="8" t="s">
        <v>25</v>
      </c>
      <c r="C21" s="32" t="s">
        <v>45</v>
      </c>
      <c r="D21" s="33">
        <v>7.0</v>
      </c>
      <c r="E21" s="33">
        <v>7.0</v>
      </c>
      <c r="F21" s="8"/>
      <c r="G21" s="34">
        <v>41.0</v>
      </c>
      <c r="H21" s="8"/>
      <c r="I21" s="8">
        <f t="shared" si="1"/>
        <v>86</v>
      </c>
      <c r="J21" s="35"/>
      <c r="K21" s="36">
        <v>127.0</v>
      </c>
      <c r="L21" s="8">
        <f t="shared" si="2"/>
        <v>0</v>
      </c>
      <c r="M21" s="8">
        <f t="shared" si="3"/>
        <v>127</v>
      </c>
      <c r="N21" s="32"/>
      <c r="O21" s="32">
        <v>16.904</v>
      </c>
      <c r="P21" s="32">
        <v>12.699</v>
      </c>
      <c r="Q21" s="32">
        <f t="shared" si="4"/>
        <v>207.221</v>
      </c>
      <c r="R21" s="135"/>
      <c r="S21" s="135"/>
      <c r="T21" s="135"/>
      <c r="U21" s="136"/>
      <c r="V21" s="12">
        <f t="shared" si="5"/>
        <v>0</v>
      </c>
      <c r="W21" s="12">
        <f t="shared" si="6"/>
        <v>0</v>
      </c>
      <c r="X21" s="42"/>
      <c r="Y21" s="42"/>
      <c r="Z21" s="42"/>
      <c r="AA21" s="42"/>
      <c r="AB21" s="42"/>
    </row>
    <row r="22" ht="14.25" customHeight="1">
      <c r="A22" s="8">
        <v>21.0</v>
      </c>
      <c r="B22" s="8" t="s">
        <v>25</v>
      </c>
      <c r="C22" s="32" t="s">
        <v>46</v>
      </c>
      <c r="D22" s="33">
        <v>7.0</v>
      </c>
      <c r="E22" s="33">
        <v>7.0</v>
      </c>
      <c r="F22" s="8"/>
      <c r="G22" s="34">
        <v>45.0</v>
      </c>
      <c r="H22" s="8"/>
      <c r="I22" s="8">
        <f t="shared" si="1"/>
        <v>82</v>
      </c>
      <c r="J22" s="35"/>
      <c r="K22" s="36">
        <v>127.0</v>
      </c>
      <c r="L22" s="8">
        <f t="shared" si="2"/>
        <v>0</v>
      </c>
      <c r="M22" s="8">
        <f t="shared" si="3"/>
        <v>127</v>
      </c>
      <c r="N22" s="32"/>
      <c r="O22" s="32">
        <v>16.904</v>
      </c>
      <c r="P22" s="32">
        <v>12.699</v>
      </c>
      <c r="Q22" s="32">
        <f t="shared" si="4"/>
        <v>207.221</v>
      </c>
      <c r="R22" s="135"/>
      <c r="S22" s="135"/>
      <c r="T22" s="135"/>
      <c r="U22" s="136"/>
      <c r="V22" s="12">
        <f t="shared" si="5"/>
        <v>0</v>
      </c>
      <c r="W22" s="12">
        <f t="shared" si="6"/>
        <v>0</v>
      </c>
      <c r="X22" s="42"/>
      <c r="Y22" s="42"/>
      <c r="Z22" s="42"/>
      <c r="AA22" s="42"/>
      <c r="AB22" s="42"/>
    </row>
    <row r="23" ht="14.25" customHeight="1">
      <c r="A23" s="8">
        <v>22.0</v>
      </c>
      <c r="B23" s="8" t="s">
        <v>25</v>
      </c>
      <c r="C23" s="32" t="s">
        <v>47</v>
      </c>
      <c r="D23" s="33">
        <v>7.0</v>
      </c>
      <c r="E23" s="33">
        <v>7.0</v>
      </c>
      <c r="F23" s="8"/>
      <c r="G23" s="34">
        <v>24.0</v>
      </c>
      <c r="H23" s="8"/>
      <c r="I23" s="8">
        <f t="shared" si="1"/>
        <v>61</v>
      </c>
      <c r="J23" s="35"/>
      <c r="K23" s="36">
        <v>85.0</v>
      </c>
      <c r="L23" s="8">
        <f t="shared" si="2"/>
        <v>0</v>
      </c>
      <c r="M23" s="8">
        <f t="shared" si="3"/>
        <v>85</v>
      </c>
      <c r="N23" s="32"/>
      <c r="O23" s="32">
        <v>16.904</v>
      </c>
      <c r="P23" s="32">
        <v>12.699</v>
      </c>
      <c r="Q23" s="32">
        <f t="shared" si="4"/>
        <v>207.221</v>
      </c>
      <c r="R23" s="135"/>
      <c r="S23" s="135"/>
      <c r="T23" s="135"/>
      <c r="U23" s="136"/>
      <c r="V23" s="12">
        <f t="shared" si="5"/>
        <v>0</v>
      </c>
      <c r="W23" s="12">
        <f t="shared" si="6"/>
        <v>0</v>
      </c>
      <c r="X23" s="42"/>
      <c r="Y23" s="42"/>
      <c r="Z23" s="42"/>
      <c r="AA23" s="42"/>
      <c r="AB23" s="42"/>
    </row>
    <row r="24" ht="14.25" customHeight="1">
      <c r="A24" s="8">
        <v>23.0</v>
      </c>
      <c r="B24" s="8" t="s">
        <v>25</v>
      </c>
      <c r="C24" s="140" t="s">
        <v>48</v>
      </c>
      <c r="D24" s="141"/>
      <c r="E24" s="141"/>
      <c r="F24" s="142"/>
      <c r="G24" s="142"/>
      <c r="H24" s="142"/>
      <c r="I24" s="142">
        <f t="shared" si="1"/>
        <v>0</v>
      </c>
      <c r="J24" s="143"/>
      <c r="K24" s="143"/>
      <c r="L24" s="142">
        <f t="shared" si="2"/>
        <v>0</v>
      </c>
      <c r="M24" s="142">
        <f t="shared" si="3"/>
        <v>0</v>
      </c>
      <c r="N24" s="141" t="s">
        <v>106</v>
      </c>
      <c r="O24" s="140">
        <v>16.904</v>
      </c>
      <c r="P24" s="140">
        <v>12.699</v>
      </c>
      <c r="Q24" s="140">
        <f t="shared" si="4"/>
        <v>0</v>
      </c>
      <c r="R24" s="144"/>
      <c r="S24" s="144"/>
      <c r="T24" s="144"/>
      <c r="U24" s="145"/>
      <c r="V24" s="146">
        <f t="shared" si="5"/>
        <v>0</v>
      </c>
      <c r="W24" s="146">
        <f t="shared" si="6"/>
        <v>0</v>
      </c>
      <c r="X24" s="42"/>
      <c r="Y24" s="42"/>
      <c r="Z24" s="42"/>
      <c r="AA24" s="42"/>
      <c r="AB24" s="42"/>
    </row>
    <row r="25" ht="14.25" customHeight="1">
      <c r="A25" s="8">
        <v>24.0</v>
      </c>
      <c r="B25" s="8" t="s">
        <v>25</v>
      </c>
      <c r="C25" s="32" t="s">
        <v>49</v>
      </c>
      <c r="D25" s="33">
        <v>6.0</v>
      </c>
      <c r="E25" s="33">
        <v>6.0</v>
      </c>
      <c r="F25" s="8"/>
      <c r="G25" s="34">
        <v>54.0</v>
      </c>
      <c r="H25" s="8"/>
      <c r="I25" s="8">
        <f t="shared" si="1"/>
        <v>95</v>
      </c>
      <c r="J25" s="35"/>
      <c r="K25" s="36">
        <v>149.0</v>
      </c>
      <c r="L25" s="8">
        <f t="shared" si="2"/>
        <v>0</v>
      </c>
      <c r="M25" s="8">
        <f t="shared" si="3"/>
        <v>149</v>
      </c>
      <c r="N25" s="32"/>
      <c r="O25" s="32">
        <v>16.904</v>
      </c>
      <c r="P25" s="32">
        <v>12.699</v>
      </c>
      <c r="Q25" s="32">
        <f t="shared" si="4"/>
        <v>177.618</v>
      </c>
      <c r="R25" s="135"/>
      <c r="S25" s="135"/>
      <c r="T25" s="135"/>
      <c r="U25" s="136"/>
      <c r="V25" s="12">
        <f t="shared" si="5"/>
        <v>0</v>
      </c>
      <c r="W25" s="12">
        <f t="shared" si="6"/>
        <v>0</v>
      </c>
      <c r="X25" s="42"/>
      <c r="Y25" s="42"/>
      <c r="Z25" s="42"/>
      <c r="AA25" s="42"/>
      <c r="AB25" s="42"/>
    </row>
    <row r="26" ht="14.25" customHeight="1">
      <c r="A26" s="8">
        <v>25.0</v>
      </c>
      <c r="B26" s="8" t="s">
        <v>25</v>
      </c>
      <c r="C26" s="32" t="s">
        <v>50</v>
      </c>
      <c r="D26" s="33">
        <v>7.0</v>
      </c>
      <c r="E26" s="33">
        <v>7.0</v>
      </c>
      <c r="F26" s="8"/>
      <c r="G26" s="34">
        <v>43.0</v>
      </c>
      <c r="H26" s="8"/>
      <c r="I26" s="8">
        <f t="shared" si="1"/>
        <v>115</v>
      </c>
      <c r="J26" s="35"/>
      <c r="K26" s="36">
        <v>158.0</v>
      </c>
      <c r="L26" s="8">
        <f t="shared" si="2"/>
        <v>0</v>
      </c>
      <c r="M26" s="8">
        <f t="shared" si="3"/>
        <v>158</v>
      </c>
      <c r="N26" s="32"/>
      <c r="O26" s="32">
        <v>16.904</v>
      </c>
      <c r="P26" s="32">
        <v>12.699</v>
      </c>
      <c r="Q26" s="32">
        <f t="shared" si="4"/>
        <v>207.221</v>
      </c>
      <c r="R26" s="135"/>
      <c r="S26" s="135"/>
      <c r="T26" s="135"/>
      <c r="U26" s="136"/>
      <c r="V26" s="12">
        <f t="shared" si="5"/>
        <v>0</v>
      </c>
      <c r="W26" s="12">
        <f t="shared" si="6"/>
        <v>0</v>
      </c>
      <c r="X26" s="42"/>
      <c r="Y26" s="42"/>
      <c r="Z26" s="42"/>
      <c r="AA26" s="42"/>
      <c r="AB26" s="42"/>
    </row>
    <row r="27" ht="14.25" customHeight="1">
      <c r="A27" s="8">
        <v>26.0</v>
      </c>
      <c r="B27" s="8" t="s">
        <v>25</v>
      </c>
      <c r="C27" s="32" t="s">
        <v>51</v>
      </c>
      <c r="D27" s="33">
        <v>7.0</v>
      </c>
      <c r="E27" s="33">
        <v>7.0</v>
      </c>
      <c r="F27" s="8"/>
      <c r="G27" s="34">
        <v>34.0</v>
      </c>
      <c r="H27" s="8"/>
      <c r="I27" s="8">
        <f t="shared" si="1"/>
        <v>81</v>
      </c>
      <c r="J27" s="35"/>
      <c r="K27" s="36">
        <v>115.0</v>
      </c>
      <c r="L27" s="8">
        <f t="shared" si="2"/>
        <v>0</v>
      </c>
      <c r="M27" s="8">
        <f t="shared" si="3"/>
        <v>115</v>
      </c>
      <c r="N27" s="32"/>
      <c r="O27" s="32">
        <v>16.904</v>
      </c>
      <c r="P27" s="32">
        <v>12.699</v>
      </c>
      <c r="Q27" s="32">
        <f t="shared" si="4"/>
        <v>207.221</v>
      </c>
      <c r="R27" s="135"/>
      <c r="S27" s="135"/>
      <c r="T27" s="135"/>
      <c r="U27" s="136"/>
      <c r="V27" s="12">
        <f t="shared" si="5"/>
        <v>0</v>
      </c>
      <c r="W27" s="12">
        <f t="shared" si="6"/>
        <v>0</v>
      </c>
      <c r="X27" s="42"/>
      <c r="Y27" s="42"/>
      <c r="Z27" s="42"/>
      <c r="AA27" s="42"/>
      <c r="AB27" s="42"/>
    </row>
    <row r="28" ht="14.25" customHeight="1">
      <c r="A28" s="8">
        <v>27.0</v>
      </c>
      <c r="B28" s="8" t="s">
        <v>25</v>
      </c>
      <c r="C28" s="32" t="s">
        <v>52</v>
      </c>
      <c r="D28" s="33">
        <v>7.0</v>
      </c>
      <c r="E28" s="33">
        <v>7.0</v>
      </c>
      <c r="F28" s="8"/>
      <c r="G28" s="34">
        <v>32.0</v>
      </c>
      <c r="H28" s="8"/>
      <c r="I28" s="8">
        <f t="shared" si="1"/>
        <v>57</v>
      </c>
      <c r="J28" s="35"/>
      <c r="K28" s="36">
        <v>89.0</v>
      </c>
      <c r="L28" s="8">
        <f t="shared" si="2"/>
        <v>0</v>
      </c>
      <c r="M28" s="8">
        <f t="shared" si="3"/>
        <v>89</v>
      </c>
      <c r="N28" s="32"/>
      <c r="O28" s="32">
        <v>16.904</v>
      </c>
      <c r="P28" s="32">
        <v>12.699</v>
      </c>
      <c r="Q28" s="32">
        <f t="shared" si="4"/>
        <v>207.221</v>
      </c>
      <c r="R28" s="135"/>
      <c r="S28" s="135"/>
      <c r="T28" s="135"/>
      <c r="U28" s="136"/>
      <c r="V28" s="12">
        <f t="shared" si="5"/>
        <v>0</v>
      </c>
      <c r="W28" s="12">
        <f t="shared" si="6"/>
        <v>0</v>
      </c>
      <c r="X28" s="42"/>
      <c r="Y28" s="42"/>
      <c r="Z28" s="42"/>
      <c r="AA28" s="42"/>
      <c r="AB28" s="42"/>
    </row>
    <row r="29" ht="14.25" customHeight="1">
      <c r="A29" s="8">
        <v>28.0</v>
      </c>
      <c r="B29" s="8" t="s">
        <v>25</v>
      </c>
      <c r="C29" s="140" t="s">
        <v>53</v>
      </c>
      <c r="D29" s="141"/>
      <c r="E29" s="141"/>
      <c r="F29" s="142"/>
      <c r="G29" s="142"/>
      <c r="H29" s="142"/>
      <c r="I29" s="142">
        <f t="shared" si="1"/>
        <v>0</v>
      </c>
      <c r="J29" s="143"/>
      <c r="K29" s="143"/>
      <c r="L29" s="142">
        <f t="shared" si="2"/>
        <v>0</v>
      </c>
      <c r="M29" s="142">
        <f t="shared" si="3"/>
        <v>0</v>
      </c>
      <c r="N29" s="141" t="s">
        <v>106</v>
      </c>
      <c r="O29" s="140">
        <v>16.904</v>
      </c>
      <c r="P29" s="140">
        <v>12.699</v>
      </c>
      <c r="Q29" s="140">
        <f t="shared" si="4"/>
        <v>0</v>
      </c>
      <c r="R29" s="144"/>
      <c r="S29" s="144"/>
      <c r="T29" s="144"/>
      <c r="U29" s="145"/>
      <c r="V29" s="146">
        <f t="shared" si="5"/>
        <v>0</v>
      </c>
      <c r="W29" s="146">
        <f t="shared" si="6"/>
        <v>0</v>
      </c>
      <c r="X29" s="42"/>
      <c r="Y29" s="42"/>
      <c r="Z29" s="42"/>
      <c r="AA29" s="42"/>
      <c r="AB29" s="42"/>
    </row>
    <row r="30" ht="14.25" customHeight="1">
      <c r="A30" s="8">
        <v>29.0</v>
      </c>
      <c r="B30" s="8" t="s">
        <v>25</v>
      </c>
      <c r="C30" s="32" t="s">
        <v>54</v>
      </c>
      <c r="D30" s="33">
        <v>7.0</v>
      </c>
      <c r="E30" s="33">
        <v>7.0</v>
      </c>
      <c r="F30" s="8"/>
      <c r="G30" s="34">
        <v>41.0</v>
      </c>
      <c r="H30" s="8"/>
      <c r="I30" s="8">
        <f t="shared" si="1"/>
        <v>62</v>
      </c>
      <c r="J30" s="35"/>
      <c r="K30" s="36">
        <v>103.0</v>
      </c>
      <c r="L30" s="8">
        <f t="shared" si="2"/>
        <v>0</v>
      </c>
      <c r="M30" s="8">
        <f t="shared" si="3"/>
        <v>103</v>
      </c>
      <c r="N30" s="32"/>
      <c r="O30" s="32">
        <v>16.904</v>
      </c>
      <c r="P30" s="32">
        <v>12.699</v>
      </c>
      <c r="Q30" s="32">
        <f t="shared" si="4"/>
        <v>207.221</v>
      </c>
      <c r="R30" s="135"/>
      <c r="S30" s="135"/>
      <c r="T30" s="135"/>
      <c r="U30" s="136"/>
      <c r="V30" s="12">
        <f t="shared" si="5"/>
        <v>0</v>
      </c>
      <c r="W30" s="12">
        <f t="shared" si="6"/>
        <v>0</v>
      </c>
      <c r="X30" s="42"/>
      <c r="Y30" s="42"/>
      <c r="Z30" s="42"/>
      <c r="AA30" s="42"/>
      <c r="AB30" s="42"/>
    </row>
    <row r="31" ht="14.25" customHeight="1">
      <c r="A31" s="8">
        <v>30.0</v>
      </c>
      <c r="B31" s="8" t="s">
        <v>25</v>
      </c>
      <c r="C31" s="32" t="s">
        <v>55</v>
      </c>
      <c r="D31" s="33">
        <v>6.0</v>
      </c>
      <c r="E31" s="33">
        <v>6.0</v>
      </c>
      <c r="F31" s="8"/>
      <c r="G31" s="34">
        <v>43.0</v>
      </c>
      <c r="H31" s="8"/>
      <c r="I31" s="8">
        <f t="shared" si="1"/>
        <v>76</v>
      </c>
      <c r="J31" s="35"/>
      <c r="K31" s="36">
        <v>119.0</v>
      </c>
      <c r="L31" s="8">
        <f t="shared" si="2"/>
        <v>0</v>
      </c>
      <c r="M31" s="8">
        <f t="shared" si="3"/>
        <v>119</v>
      </c>
      <c r="N31" s="32"/>
      <c r="O31" s="32">
        <v>16.904</v>
      </c>
      <c r="P31" s="32">
        <v>12.699</v>
      </c>
      <c r="Q31" s="32">
        <f t="shared" si="4"/>
        <v>177.618</v>
      </c>
      <c r="R31" s="135"/>
      <c r="S31" s="135"/>
      <c r="T31" s="135"/>
      <c r="U31" s="136"/>
      <c r="V31" s="12">
        <f t="shared" si="5"/>
        <v>0</v>
      </c>
      <c r="W31" s="12">
        <f t="shared" si="6"/>
        <v>0</v>
      </c>
      <c r="X31" s="42"/>
      <c r="Y31" s="42"/>
      <c r="Z31" s="42"/>
      <c r="AA31" s="42"/>
      <c r="AB31" s="42"/>
    </row>
    <row r="32" ht="14.25" customHeight="1">
      <c r="A32" s="8">
        <v>31.0</v>
      </c>
      <c r="B32" s="8" t="s">
        <v>25</v>
      </c>
      <c r="C32" s="32" t="s">
        <v>56</v>
      </c>
      <c r="D32" s="33">
        <v>7.0</v>
      </c>
      <c r="E32" s="33">
        <v>7.0</v>
      </c>
      <c r="F32" s="8"/>
      <c r="G32" s="34">
        <v>49.0</v>
      </c>
      <c r="H32" s="8"/>
      <c r="I32" s="8">
        <f t="shared" si="1"/>
        <v>85</v>
      </c>
      <c r="J32" s="35"/>
      <c r="K32" s="36">
        <v>134.0</v>
      </c>
      <c r="L32" s="8">
        <f t="shared" si="2"/>
        <v>0</v>
      </c>
      <c r="M32" s="8">
        <f t="shared" si="3"/>
        <v>134</v>
      </c>
      <c r="N32" s="32"/>
      <c r="O32" s="32">
        <v>16.904</v>
      </c>
      <c r="P32" s="32">
        <v>12.699</v>
      </c>
      <c r="Q32" s="32">
        <f t="shared" si="4"/>
        <v>207.221</v>
      </c>
      <c r="R32" s="135"/>
      <c r="S32" s="135"/>
      <c r="T32" s="135"/>
      <c r="U32" s="136"/>
      <c r="V32" s="12">
        <f t="shared" si="5"/>
        <v>0</v>
      </c>
      <c r="W32" s="12">
        <f t="shared" si="6"/>
        <v>0</v>
      </c>
      <c r="X32" s="42"/>
      <c r="Y32" s="42"/>
      <c r="Z32" s="42"/>
      <c r="AA32" s="42"/>
      <c r="AB32" s="42"/>
    </row>
    <row r="33" ht="14.25" customHeight="1">
      <c r="A33" s="8">
        <v>32.0</v>
      </c>
      <c r="B33" s="8" t="s">
        <v>25</v>
      </c>
      <c r="C33" s="32" t="s">
        <v>57</v>
      </c>
      <c r="D33" s="33">
        <v>7.0</v>
      </c>
      <c r="E33" s="33">
        <v>7.0</v>
      </c>
      <c r="F33" s="8"/>
      <c r="G33" s="34">
        <v>42.0</v>
      </c>
      <c r="H33" s="8"/>
      <c r="I33" s="8">
        <f t="shared" si="1"/>
        <v>66</v>
      </c>
      <c r="J33" s="35"/>
      <c r="K33" s="36">
        <v>108.0</v>
      </c>
      <c r="L33" s="8">
        <f t="shared" si="2"/>
        <v>0</v>
      </c>
      <c r="M33" s="8">
        <f t="shared" si="3"/>
        <v>108</v>
      </c>
      <c r="N33" s="32"/>
      <c r="O33" s="32">
        <v>16.904</v>
      </c>
      <c r="P33" s="32">
        <v>12.699</v>
      </c>
      <c r="Q33" s="32">
        <f t="shared" si="4"/>
        <v>207.221</v>
      </c>
      <c r="R33" s="135"/>
      <c r="S33" s="135"/>
      <c r="T33" s="135"/>
      <c r="U33" s="136"/>
      <c r="V33" s="12">
        <f t="shared" si="5"/>
        <v>0</v>
      </c>
      <c r="W33" s="12">
        <f t="shared" si="6"/>
        <v>0</v>
      </c>
      <c r="X33" s="42"/>
      <c r="Y33" s="42"/>
      <c r="Z33" s="42"/>
      <c r="AA33" s="42"/>
      <c r="AB33" s="42"/>
    </row>
    <row r="34" ht="14.25" customHeight="1">
      <c r="A34" s="8">
        <v>33.0</v>
      </c>
      <c r="B34" s="8" t="s">
        <v>25</v>
      </c>
      <c r="C34" s="32" t="s">
        <v>58</v>
      </c>
      <c r="D34" s="33">
        <v>7.0</v>
      </c>
      <c r="E34" s="33">
        <v>7.0</v>
      </c>
      <c r="F34" s="8"/>
      <c r="G34" s="34">
        <v>42.0</v>
      </c>
      <c r="H34" s="8"/>
      <c r="I34" s="8">
        <f t="shared" si="1"/>
        <v>87</v>
      </c>
      <c r="J34" s="35"/>
      <c r="K34" s="36">
        <v>129.0</v>
      </c>
      <c r="L34" s="8">
        <f t="shared" si="2"/>
        <v>0</v>
      </c>
      <c r="M34" s="8">
        <f t="shared" si="3"/>
        <v>129</v>
      </c>
      <c r="N34" s="32"/>
      <c r="O34" s="32">
        <v>16.904</v>
      </c>
      <c r="P34" s="32">
        <v>12.699</v>
      </c>
      <c r="Q34" s="32">
        <f t="shared" si="4"/>
        <v>207.221</v>
      </c>
      <c r="R34" s="135"/>
      <c r="S34" s="135"/>
      <c r="T34" s="135"/>
      <c r="U34" s="136"/>
      <c r="V34" s="12">
        <f t="shared" si="5"/>
        <v>0</v>
      </c>
      <c r="W34" s="12">
        <f t="shared" si="6"/>
        <v>0</v>
      </c>
      <c r="X34" s="42"/>
      <c r="Y34" s="42"/>
      <c r="Z34" s="42"/>
      <c r="AA34" s="42"/>
      <c r="AB34" s="42"/>
    </row>
    <row r="35" ht="14.25" customHeight="1">
      <c r="A35" s="8">
        <v>34.0</v>
      </c>
      <c r="B35" s="8" t="s">
        <v>25</v>
      </c>
      <c r="C35" s="32" t="s">
        <v>59</v>
      </c>
      <c r="D35" s="33">
        <v>7.0</v>
      </c>
      <c r="E35" s="33">
        <v>7.0</v>
      </c>
      <c r="F35" s="8"/>
      <c r="G35" s="34">
        <v>72.0</v>
      </c>
      <c r="H35" s="8"/>
      <c r="I35" s="8">
        <f t="shared" si="1"/>
        <v>67</v>
      </c>
      <c r="J35" s="35"/>
      <c r="K35" s="36">
        <v>139.0</v>
      </c>
      <c r="L35" s="8">
        <f t="shared" si="2"/>
        <v>0</v>
      </c>
      <c r="M35" s="8">
        <f t="shared" si="3"/>
        <v>139</v>
      </c>
      <c r="N35" s="32"/>
      <c r="O35" s="32">
        <v>16.904</v>
      </c>
      <c r="P35" s="32">
        <v>12.699</v>
      </c>
      <c r="Q35" s="32">
        <f t="shared" si="4"/>
        <v>207.221</v>
      </c>
      <c r="R35" s="135"/>
      <c r="S35" s="135"/>
      <c r="T35" s="135"/>
      <c r="U35" s="136"/>
      <c r="V35" s="12">
        <f t="shared" si="5"/>
        <v>0</v>
      </c>
      <c r="W35" s="12">
        <f t="shared" si="6"/>
        <v>0</v>
      </c>
      <c r="X35" s="42"/>
      <c r="Y35" s="42"/>
      <c r="Z35" s="42"/>
      <c r="AA35" s="42"/>
      <c r="AB35" s="42"/>
    </row>
    <row r="36" ht="14.25" customHeight="1">
      <c r="A36" s="8">
        <v>35.0</v>
      </c>
      <c r="B36" s="8" t="s">
        <v>25</v>
      </c>
      <c r="C36" s="32" t="s">
        <v>60</v>
      </c>
      <c r="D36" s="33">
        <v>7.0</v>
      </c>
      <c r="E36" s="33">
        <v>7.0</v>
      </c>
      <c r="F36" s="8"/>
      <c r="G36" s="34">
        <v>48.0</v>
      </c>
      <c r="H36" s="8"/>
      <c r="I36" s="8">
        <f t="shared" si="1"/>
        <v>68</v>
      </c>
      <c r="J36" s="35"/>
      <c r="K36" s="36">
        <v>116.0</v>
      </c>
      <c r="L36" s="8">
        <f t="shared" si="2"/>
        <v>0</v>
      </c>
      <c r="M36" s="8">
        <f t="shared" si="3"/>
        <v>116</v>
      </c>
      <c r="N36" s="32"/>
      <c r="O36" s="32">
        <v>16.904</v>
      </c>
      <c r="P36" s="32">
        <v>12.699</v>
      </c>
      <c r="Q36" s="32">
        <f t="shared" si="4"/>
        <v>207.221</v>
      </c>
      <c r="R36" s="135"/>
      <c r="S36" s="135"/>
      <c r="T36" s="135"/>
      <c r="U36" s="136"/>
      <c r="V36" s="12">
        <f t="shared" si="5"/>
        <v>0</v>
      </c>
      <c r="W36" s="12">
        <f t="shared" si="6"/>
        <v>0</v>
      </c>
      <c r="X36" s="42"/>
      <c r="Y36" s="42"/>
      <c r="Z36" s="42"/>
      <c r="AA36" s="42"/>
      <c r="AB36" s="42"/>
    </row>
    <row r="37" ht="14.25" customHeight="1">
      <c r="A37" s="8">
        <v>36.0</v>
      </c>
      <c r="B37" s="8" t="s">
        <v>25</v>
      </c>
      <c r="C37" s="32" t="s">
        <v>61</v>
      </c>
      <c r="D37" s="33">
        <v>7.0</v>
      </c>
      <c r="E37" s="33">
        <v>7.0</v>
      </c>
      <c r="F37" s="8"/>
      <c r="G37" s="34">
        <v>29.0</v>
      </c>
      <c r="H37" s="8"/>
      <c r="I37" s="8">
        <f t="shared" si="1"/>
        <v>84</v>
      </c>
      <c r="J37" s="35"/>
      <c r="K37" s="36">
        <v>113.0</v>
      </c>
      <c r="L37" s="8">
        <f t="shared" si="2"/>
        <v>0</v>
      </c>
      <c r="M37" s="8">
        <f t="shared" si="3"/>
        <v>113</v>
      </c>
      <c r="N37" s="32"/>
      <c r="O37" s="32">
        <v>16.904</v>
      </c>
      <c r="P37" s="32">
        <v>12.699</v>
      </c>
      <c r="Q37" s="32">
        <f t="shared" si="4"/>
        <v>207.221</v>
      </c>
      <c r="R37" s="135"/>
      <c r="S37" s="135"/>
      <c r="T37" s="135"/>
      <c r="U37" s="136"/>
      <c r="V37" s="12">
        <f t="shared" si="5"/>
        <v>0</v>
      </c>
      <c r="W37" s="12">
        <f t="shared" si="6"/>
        <v>0</v>
      </c>
      <c r="X37" s="42"/>
      <c r="Y37" s="42"/>
      <c r="Z37" s="42"/>
      <c r="AA37" s="42"/>
      <c r="AB37" s="42"/>
    </row>
    <row r="38" ht="14.25" customHeight="1">
      <c r="A38" s="8">
        <v>37.0</v>
      </c>
      <c r="B38" s="8" t="s">
        <v>25</v>
      </c>
      <c r="C38" s="32" t="s">
        <v>62</v>
      </c>
      <c r="D38" s="33">
        <v>6.0</v>
      </c>
      <c r="E38" s="33">
        <v>6.0</v>
      </c>
      <c r="F38" s="8"/>
      <c r="G38" s="34">
        <v>57.0</v>
      </c>
      <c r="H38" s="8"/>
      <c r="I38" s="8">
        <f t="shared" si="1"/>
        <v>93</v>
      </c>
      <c r="J38" s="35"/>
      <c r="K38" s="36">
        <v>150.0</v>
      </c>
      <c r="L38" s="8">
        <f t="shared" si="2"/>
        <v>0</v>
      </c>
      <c r="M38" s="8">
        <f t="shared" si="3"/>
        <v>150</v>
      </c>
      <c r="N38" s="32"/>
      <c r="O38" s="32">
        <v>16.904</v>
      </c>
      <c r="P38" s="32">
        <v>12.699</v>
      </c>
      <c r="Q38" s="32">
        <f t="shared" si="4"/>
        <v>177.618</v>
      </c>
      <c r="R38" s="135"/>
      <c r="S38" s="135"/>
      <c r="T38" s="135"/>
      <c r="U38" s="136"/>
      <c r="V38" s="12">
        <f t="shared" si="5"/>
        <v>0</v>
      </c>
      <c r="W38" s="12">
        <f t="shared" si="6"/>
        <v>0</v>
      </c>
      <c r="X38" s="42"/>
      <c r="Y38" s="42"/>
      <c r="Z38" s="42"/>
      <c r="AA38" s="42"/>
      <c r="AB38" s="42"/>
    </row>
    <row r="39" ht="14.25" customHeight="1">
      <c r="A39" s="8">
        <v>38.0</v>
      </c>
      <c r="B39" s="8" t="s">
        <v>25</v>
      </c>
      <c r="C39" s="32" t="s">
        <v>63</v>
      </c>
      <c r="D39" s="33">
        <v>7.0</v>
      </c>
      <c r="E39" s="33">
        <v>7.0</v>
      </c>
      <c r="F39" s="8"/>
      <c r="G39" s="34">
        <v>43.0</v>
      </c>
      <c r="H39" s="8"/>
      <c r="I39" s="8">
        <f t="shared" si="1"/>
        <v>88</v>
      </c>
      <c r="J39" s="35"/>
      <c r="K39" s="36">
        <v>131.0</v>
      </c>
      <c r="L39" s="8">
        <f t="shared" si="2"/>
        <v>0</v>
      </c>
      <c r="M39" s="8">
        <f t="shared" si="3"/>
        <v>131</v>
      </c>
      <c r="N39" s="32"/>
      <c r="O39" s="32">
        <v>16.904</v>
      </c>
      <c r="P39" s="32">
        <v>12.699</v>
      </c>
      <c r="Q39" s="32">
        <f t="shared" si="4"/>
        <v>207.221</v>
      </c>
      <c r="R39" s="135"/>
      <c r="S39" s="135"/>
      <c r="T39" s="135"/>
      <c r="U39" s="136"/>
      <c r="V39" s="12">
        <f t="shared" si="5"/>
        <v>0</v>
      </c>
      <c r="W39" s="12">
        <f t="shared" si="6"/>
        <v>0</v>
      </c>
      <c r="X39" s="42"/>
      <c r="Y39" s="42"/>
      <c r="Z39" s="42"/>
      <c r="AA39" s="42"/>
      <c r="AB39" s="42"/>
    </row>
    <row r="40" ht="14.25" customHeight="1">
      <c r="A40" s="8">
        <v>39.0</v>
      </c>
      <c r="B40" s="8" t="s">
        <v>25</v>
      </c>
      <c r="C40" s="140" t="s">
        <v>64</v>
      </c>
      <c r="D40" s="141"/>
      <c r="E40" s="141"/>
      <c r="F40" s="142"/>
      <c r="G40" s="142"/>
      <c r="H40" s="142"/>
      <c r="I40" s="142">
        <f t="shared" si="1"/>
        <v>0</v>
      </c>
      <c r="J40" s="143"/>
      <c r="K40" s="143"/>
      <c r="L40" s="142">
        <f t="shared" si="2"/>
        <v>0</v>
      </c>
      <c r="M40" s="142">
        <f t="shared" si="3"/>
        <v>0</v>
      </c>
      <c r="N40" s="140"/>
      <c r="O40" s="140">
        <v>16.904</v>
      </c>
      <c r="P40" s="140">
        <v>12.699</v>
      </c>
      <c r="Q40" s="140">
        <f t="shared" si="4"/>
        <v>0</v>
      </c>
      <c r="R40" s="144"/>
      <c r="S40" s="144"/>
      <c r="T40" s="144"/>
      <c r="U40" s="145"/>
      <c r="V40" s="146">
        <f t="shared" si="5"/>
        <v>0</v>
      </c>
      <c r="W40" s="146">
        <f t="shared" si="6"/>
        <v>0</v>
      </c>
      <c r="X40" s="42"/>
      <c r="Y40" s="42"/>
      <c r="Z40" s="42"/>
      <c r="AA40" s="42"/>
      <c r="AB40" s="42"/>
    </row>
    <row r="41" ht="14.25" customHeight="1">
      <c r="A41" s="8">
        <v>40.0</v>
      </c>
      <c r="B41" s="8" t="s">
        <v>25</v>
      </c>
      <c r="C41" s="32" t="s">
        <v>65</v>
      </c>
      <c r="D41" s="33">
        <v>6.0</v>
      </c>
      <c r="E41" s="33">
        <v>6.0</v>
      </c>
      <c r="F41" s="8"/>
      <c r="G41" s="34">
        <v>43.0</v>
      </c>
      <c r="H41" s="8"/>
      <c r="I41" s="8">
        <f t="shared" si="1"/>
        <v>98</v>
      </c>
      <c r="J41" s="35"/>
      <c r="K41" s="36">
        <v>141.0</v>
      </c>
      <c r="L41" s="8">
        <f t="shared" si="2"/>
        <v>0</v>
      </c>
      <c r="M41" s="8">
        <f t="shared" si="3"/>
        <v>141</v>
      </c>
      <c r="N41" s="32"/>
      <c r="O41" s="32">
        <v>16.904</v>
      </c>
      <c r="P41" s="32">
        <v>12.699</v>
      </c>
      <c r="Q41" s="32">
        <f t="shared" si="4"/>
        <v>177.618</v>
      </c>
      <c r="R41" s="135"/>
      <c r="S41" s="135"/>
      <c r="T41" s="135"/>
      <c r="U41" s="136"/>
      <c r="V41" s="12">
        <f t="shared" si="5"/>
        <v>0</v>
      </c>
      <c r="W41" s="12">
        <f t="shared" si="6"/>
        <v>0</v>
      </c>
      <c r="X41" s="42"/>
      <c r="Y41" s="42"/>
      <c r="Z41" s="42"/>
      <c r="AA41" s="42"/>
      <c r="AB41" s="42"/>
    </row>
    <row r="42" ht="14.25" customHeight="1">
      <c r="A42" s="8">
        <v>41.0</v>
      </c>
      <c r="B42" s="8" t="s">
        <v>25</v>
      </c>
      <c r="C42" s="32" t="s">
        <v>66</v>
      </c>
      <c r="D42" s="33">
        <v>7.0</v>
      </c>
      <c r="E42" s="33">
        <v>7.0</v>
      </c>
      <c r="F42" s="8"/>
      <c r="G42" s="34">
        <v>44.0</v>
      </c>
      <c r="H42" s="8"/>
      <c r="I42" s="8">
        <f t="shared" si="1"/>
        <v>120</v>
      </c>
      <c r="J42" s="35"/>
      <c r="K42" s="36">
        <v>164.0</v>
      </c>
      <c r="L42" s="8">
        <f t="shared" si="2"/>
        <v>0</v>
      </c>
      <c r="M42" s="8">
        <f t="shared" si="3"/>
        <v>164</v>
      </c>
      <c r="N42" s="32"/>
      <c r="O42" s="32">
        <v>16.904</v>
      </c>
      <c r="P42" s="32">
        <v>12.699</v>
      </c>
      <c r="Q42" s="32">
        <f t="shared" si="4"/>
        <v>207.221</v>
      </c>
      <c r="R42" s="135"/>
      <c r="S42" s="135"/>
      <c r="T42" s="135"/>
      <c r="U42" s="136"/>
      <c r="V42" s="12">
        <f t="shared" si="5"/>
        <v>0</v>
      </c>
      <c r="W42" s="12">
        <f t="shared" si="6"/>
        <v>0</v>
      </c>
      <c r="X42" s="42"/>
      <c r="Y42" s="42"/>
      <c r="Z42" s="42"/>
      <c r="AA42" s="42"/>
      <c r="AB42" s="42"/>
    </row>
    <row r="43" ht="14.25" customHeight="1">
      <c r="A43" s="8">
        <v>42.0</v>
      </c>
      <c r="B43" s="8" t="s">
        <v>25</v>
      </c>
      <c r="C43" s="32" t="s">
        <v>67</v>
      </c>
      <c r="D43" s="33">
        <v>7.0</v>
      </c>
      <c r="E43" s="33">
        <v>7.0</v>
      </c>
      <c r="F43" s="8"/>
      <c r="G43" s="34">
        <v>52.0</v>
      </c>
      <c r="H43" s="8"/>
      <c r="I43" s="8">
        <f t="shared" si="1"/>
        <v>102</v>
      </c>
      <c r="J43" s="35"/>
      <c r="K43" s="36">
        <v>154.0</v>
      </c>
      <c r="L43" s="8">
        <f t="shared" si="2"/>
        <v>0</v>
      </c>
      <c r="M43" s="8">
        <f t="shared" si="3"/>
        <v>154</v>
      </c>
      <c r="N43" s="32"/>
      <c r="O43" s="32">
        <v>16.904</v>
      </c>
      <c r="P43" s="32">
        <v>12.699</v>
      </c>
      <c r="Q43" s="32">
        <f t="shared" si="4"/>
        <v>207.221</v>
      </c>
      <c r="R43" s="135"/>
      <c r="S43" s="135"/>
      <c r="T43" s="135"/>
      <c r="U43" s="136"/>
      <c r="V43" s="12">
        <f t="shared" si="5"/>
        <v>0</v>
      </c>
      <c r="W43" s="12">
        <f t="shared" si="6"/>
        <v>0</v>
      </c>
      <c r="X43" s="42"/>
      <c r="Y43" s="42"/>
      <c r="Z43" s="42"/>
      <c r="AA43" s="42"/>
      <c r="AB43" s="42"/>
    </row>
    <row r="44" ht="14.25" customHeight="1">
      <c r="A44" s="8">
        <v>43.0</v>
      </c>
      <c r="B44" s="8" t="s">
        <v>25</v>
      </c>
      <c r="C44" s="32" t="s">
        <v>68</v>
      </c>
      <c r="D44" s="33">
        <v>7.0</v>
      </c>
      <c r="E44" s="33">
        <v>7.0</v>
      </c>
      <c r="F44" s="8"/>
      <c r="G44" s="34">
        <v>50.0</v>
      </c>
      <c r="H44" s="8"/>
      <c r="I44" s="8">
        <f t="shared" si="1"/>
        <v>142</v>
      </c>
      <c r="J44" s="35"/>
      <c r="K44" s="36">
        <v>192.0</v>
      </c>
      <c r="L44" s="8">
        <f t="shared" si="2"/>
        <v>0</v>
      </c>
      <c r="M44" s="8">
        <f t="shared" si="3"/>
        <v>192</v>
      </c>
      <c r="N44" s="32"/>
      <c r="O44" s="32">
        <v>16.904</v>
      </c>
      <c r="P44" s="32">
        <v>12.699</v>
      </c>
      <c r="Q44" s="32">
        <f t="shared" si="4"/>
        <v>207.221</v>
      </c>
      <c r="R44" s="135"/>
      <c r="S44" s="135"/>
      <c r="T44" s="135"/>
      <c r="U44" s="136"/>
      <c r="V44" s="12">
        <f t="shared" si="5"/>
        <v>0</v>
      </c>
      <c r="W44" s="12">
        <f t="shared" si="6"/>
        <v>0</v>
      </c>
      <c r="X44" s="42"/>
      <c r="Y44" s="42"/>
      <c r="Z44" s="42"/>
      <c r="AA44" s="42"/>
      <c r="AB44" s="42"/>
    </row>
    <row r="45" ht="14.25" customHeight="1">
      <c r="A45" s="8">
        <v>44.0</v>
      </c>
      <c r="B45" s="8" t="s">
        <v>25</v>
      </c>
      <c r="C45" s="32" t="s">
        <v>69</v>
      </c>
      <c r="D45" s="33">
        <v>7.0</v>
      </c>
      <c r="E45" s="33">
        <v>7.0</v>
      </c>
      <c r="F45" s="8"/>
      <c r="G45" s="34">
        <v>35.0</v>
      </c>
      <c r="H45" s="8"/>
      <c r="I45" s="8">
        <f t="shared" si="1"/>
        <v>74</v>
      </c>
      <c r="J45" s="35"/>
      <c r="K45" s="36">
        <v>109.0</v>
      </c>
      <c r="L45" s="8">
        <f t="shared" si="2"/>
        <v>0</v>
      </c>
      <c r="M45" s="8">
        <f t="shared" si="3"/>
        <v>109</v>
      </c>
      <c r="N45" s="32"/>
      <c r="O45" s="32">
        <v>16.904</v>
      </c>
      <c r="P45" s="32">
        <v>12.699</v>
      </c>
      <c r="Q45" s="32">
        <f t="shared" si="4"/>
        <v>207.221</v>
      </c>
      <c r="R45" s="135"/>
      <c r="S45" s="135"/>
      <c r="T45" s="135"/>
      <c r="U45" s="136"/>
      <c r="V45" s="12">
        <f t="shared" si="5"/>
        <v>0</v>
      </c>
      <c r="W45" s="12">
        <f t="shared" si="6"/>
        <v>0</v>
      </c>
      <c r="X45" s="42"/>
      <c r="Y45" s="42"/>
      <c r="Z45" s="42"/>
      <c r="AA45" s="42"/>
      <c r="AB45" s="42"/>
    </row>
    <row r="46" ht="14.25" customHeight="1">
      <c r="A46" s="8">
        <v>45.0</v>
      </c>
      <c r="B46" s="8" t="s">
        <v>25</v>
      </c>
      <c r="C46" s="32" t="s">
        <v>70</v>
      </c>
      <c r="D46" s="33">
        <v>7.0</v>
      </c>
      <c r="E46" s="33">
        <v>7.0</v>
      </c>
      <c r="F46" s="8"/>
      <c r="G46" s="34">
        <v>56.0</v>
      </c>
      <c r="H46" s="8"/>
      <c r="I46" s="8">
        <f t="shared" si="1"/>
        <v>77</v>
      </c>
      <c r="J46" s="35"/>
      <c r="K46" s="36">
        <v>133.0</v>
      </c>
      <c r="L46" s="8">
        <f t="shared" si="2"/>
        <v>0</v>
      </c>
      <c r="M46" s="8">
        <f t="shared" si="3"/>
        <v>133</v>
      </c>
      <c r="N46" s="32"/>
      <c r="O46" s="32">
        <v>16.904</v>
      </c>
      <c r="P46" s="32">
        <v>12.699</v>
      </c>
      <c r="Q46" s="32">
        <f t="shared" si="4"/>
        <v>207.221</v>
      </c>
      <c r="R46" s="135"/>
      <c r="S46" s="135"/>
      <c r="T46" s="135"/>
      <c r="U46" s="136"/>
      <c r="V46" s="12">
        <f t="shared" si="5"/>
        <v>0</v>
      </c>
      <c r="W46" s="12">
        <f t="shared" si="6"/>
        <v>0</v>
      </c>
      <c r="X46" s="42"/>
      <c r="Y46" s="42"/>
      <c r="Z46" s="42"/>
      <c r="AA46" s="42"/>
      <c r="AB46" s="42"/>
    </row>
    <row r="47" ht="14.25" customHeight="1">
      <c r="A47" s="8">
        <v>46.0</v>
      </c>
      <c r="B47" s="8" t="s">
        <v>25</v>
      </c>
      <c r="C47" s="32" t="s">
        <v>71</v>
      </c>
      <c r="D47" s="33">
        <v>6.0</v>
      </c>
      <c r="E47" s="33">
        <v>6.0</v>
      </c>
      <c r="F47" s="8"/>
      <c r="G47" s="34">
        <v>62.0</v>
      </c>
      <c r="H47" s="8"/>
      <c r="I47" s="8">
        <f t="shared" si="1"/>
        <v>64</v>
      </c>
      <c r="J47" s="35"/>
      <c r="K47" s="36">
        <v>126.0</v>
      </c>
      <c r="L47" s="8">
        <f t="shared" si="2"/>
        <v>0</v>
      </c>
      <c r="M47" s="8">
        <f t="shared" si="3"/>
        <v>126</v>
      </c>
      <c r="N47" s="32"/>
      <c r="O47" s="32">
        <v>16.904</v>
      </c>
      <c r="P47" s="32">
        <v>12.699</v>
      </c>
      <c r="Q47" s="32">
        <f t="shared" si="4"/>
        <v>177.618</v>
      </c>
      <c r="R47" s="135"/>
      <c r="S47" s="135"/>
      <c r="T47" s="135"/>
      <c r="U47" s="136"/>
      <c r="V47" s="12">
        <f t="shared" si="5"/>
        <v>0</v>
      </c>
      <c r="W47" s="12">
        <f t="shared" si="6"/>
        <v>0</v>
      </c>
      <c r="X47" s="42"/>
      <c r="Y47" s="42"/>
      <c r="Z47" s="42"/>
      <c r="AA47" s="42"/>
      <c r="AB47" s="42"/>
    </row>
    <row r="48" ht="14.25" customHeight="1">
      <c r="A48" s="8">
        <v>47.0</v>
      </c>
      <c r="B48" s="8" t="s">
        <v>25</v>
      </c>
      <c r="C48" s="32" t="s">
        <v>72</v>
      </c>
      <c r="D48" s="33">
        <v>7.0</v>
      </c>
      <c r="E48" s="33">
        <v>7.0</v>
      </c>
      <c r="F48" s="8"/>
      <c r="G48" s="34">
        <v>54.0</v>
      </c>
      <c r="H48" s="8"/>
      <c r="I48" s="8">
        <f t="shared" si="1"/>
        <v>96</v>
      </c>
      <c r="J48" s="35"/>
      <c r="K48" s="36">
        <v>150.0</v>
      </c>
      <c r="L48" s="8">
        <f t="shared" si="2"/>
        <v>0</v>
      </c>
      <c r="M48" s="8">
        <f t="shared" si="3"/>
        <v>150</v>
      </c>
      <c r="N48" s="32"/>
      <c r="O48" s="32">
        <v>16.904</v>
      </c>
      <c r="P48" s="32">
        <v>12.699</v>
      </c>
      <c r="Q48" s="32">
        <f t="shared" si="4"/>
        <v>207.221</v>
      </c>
      <c r="R48" s="135"/>
      <c r="S48" s="135"/>
      <c r="T48" s="135"/>
      <c r="U48" s="136"/>
      <c r="V48" s="12">
        <f t="shared" si="5"/>
        <v>0</v>
      </c>
      <c r="W48" s="12">
        <f t="shared" si="6"/>
        <v>0</v>
      </c>
      <c r="X48" s="42"/>
      <c r="Y48" s="42"/>
      <c r="Z48" s="42"/>
      <c r="AA48" s="42"/>
      <c r="AB48" s="42"/>
    </row>
    <row r="49" ht="14.25" customHeight="1">
      <c r="A49" s="8">
        <v>48.0</v>
      </c>
      <c r="B49" s="8" t="s">
        <v>25</v>
      </c>
      <c r="C49" s="32" t="s">
        <v>73</v>
      </c>
      <c r="D49" s="33">
        <v>7.0</v>
      </c>
      <c r="E49" s="33">
        <v>7.0</v>
      </c>
      <c r="F49" s="8"/>
      <c r="G49" s="34">
        <v>56.0</v>
      </c>
      <c r="H49" s="8"/>
      <c r="I49" s="8">
        <f t="shared" si="1"/>
        <v>90</v>
      </c>
      <c r="J49" s="35"/>
      <c r="K49" s="36">
        <v>146.0</v>
      </c>
      <c r="L49" s="8">
        <f t="shared" si="2"/>
        <v>0</v>
      </c>
      <c r="M49" s="8">
        <f t="shared" si="3"/>
        <v>146</v>
      </c>
      <c r="N49" s="32"/>
      <c r="O49" s="32">
        <v>16.904</v>
      </c>
      <c r="P49" s="32">
        <v>12.699</v>
      </c>
      <c r="Q49" s="32">
        <f t="shared" si="4"/>
        <v>207.221</v>
      </c>
      <c r="R49" s="135"/>
      <c r="S49" s="135"/>
      <c r="T49" s="135"/>
      <c r="U49" s="136"/>
      <c r="V49" s="12">
        <f t="shared" si="5"/>
        <v>0</v>
      </c>
      <c r="W49" s="12">
        <f t="shared" si="6"/>
        <v>0</v>
      </c>
      <c r="X49" s="42"/>
      <c r="Y49" s="42"/>
      <c r="Z49" s="42"/>
      <c r="AA49" s="42"/>
      <c r="AB49" s="42"/>
    </row>
    <row r="50" ht="14.25" customHeight="1">
      <c r="A50" s="8">
        <v>49.0</v>
      </c>
      <c r="B50" s="8" t="s">
        <v>25</v>
      </c>
      <c r="C50" s="32" t="s">
        <v>74</v>
      </c>
      <c r="D50" s="33">
        <v>7.0</v>
      </c>
      <c r="E50" s="33">
        <v>7.0</v>
      </c>
      <c r="F50" s="8"/>
      <c r="G50" s="34">
        <v>64.0</v>
      </c>
      <c r="H50" s="8"/>
      <c r="I50" s="8">
        <f t="shared" si="1"/>
        <v>72</v>
      </c>
      <c r="J50" s="35"/>
      <c r="K50" s="36">
        <v>136.0</v>
      </c>
      <c r="L50" s="8">
        <f t="shared" si="2"/>
        <v>0</v>
      </c>
      <c r="M50" s="8">
        <f t="shared" si="3"/>
        <v>136</v>
      </c>
      <c r="N50" s="32"/>
      <c r="O50" s="32">
        <v>16.904</v>
      </c>
      <c r="P50" s="32">
        <v>12.699</v>
      </c>
      <c r="Q50" s="32">
        <f t="shared" si="4"/>
        <v>207.221</v>
      </c>
      <c r="R50" s="135"/>
      <c r="S50" s="135"/>
      <c r="T50" s="135"/>
      <c r="U50" s="136"/>
      <c r="V50" s="12">
        <f t="shared" si="5"/>
        <v>0</v>
      </c>
      <c r="W50" s="12">
        <f t="shared" si="6"/>
        <v>0</v>
      </c>
      <c r="X50" s="42"/>
      <c r="Y50" s="42"/>
      <c r="Z50" s="42"/>
      <c r="AA50" s="42"/>
      <c r="AB50" s="42"/>
    </row>
    <row r="51" ht="14.25" customHeight="1">
      <c r="A51" s="8">
        <v>50.0</v>
      </c>
      <c r="B51" s="8" t="s">
        <v>25</v>
      </c>
      <c r="C51" s="32" t="s">
        <v>75</v>
      </c>
      <c r="D51" s="33">
        <v>7.0</v>
      </c>
      <c r="E51" s="33">
        <v>7.0</v>
      </c>
      <c r="F51" s="8"/>
      <c r="G51" s="34">
        <v>51.0</v>
      </c>
      <c r="H51" s="8"/>
      <c r="I51" s="8">
        <f t="shared" si="1"/>
        <v>84</v>
      </c>
      <c r="J51" s="35"/>
      <c r="K51" s="36">
        <v>135.0</v>
      </c>
      <c r="L51" s="8">
        <f t="shared" si="2"/>
        <v>0</v>
      </c>
      <c r="M51" s="8">
        <f t="shared" si="3"/>
        <v>135</v>
      </c>
      <c r="N51" s="32"/>
      <c r="O51" s="32">
        <v>16.904</v>
      </c>
      <c r="P51" s="32">
        <v>12.699</v>
      </c>
      <c r="Q51" s="32">
        <f t="shared" si="4"/>
        <v>207.221</v>
      </c>
      <c r="R51" s="135"/>
      <c r="S51" s="135"/>
      <c r="T51" s="135"/>
      <c r="U51" s="136"/>
      <c r="V51" s="12">
        <f t="shared" si="5"/>
        <v>0</v>
      </c>
      <c r="W51" s="12">
        <f t="shared" si="6"/>
        <v>0</v>
      </c>
      <c r="X51" s="42"/>
      <c r="Y51" s="42"/>
      <c r="Z51" s="42"/>
      <c r="AA51" s="42"/>
      <c r="AB51" s="42"/>
    </row>
    <row r="52" ht="14.25" customHeight="1">
      <c r="A52" s="8">
        <v>51.0</v>
      </c>
      <c r="B52" s="8" t="s">
        <v>25</v>
      </c>
      <c r="C52" s="32" t="s">
        <v>76</v>
      </c>
      <c r="D52" s="33">
        <v>7.0</v>
      </c>
      <c r="E52" s="33">
        <v>7.0</v>
      </c>
      <c r="F52" s="8"/>
      <c r="G52" s="34">
        <v>71.0</v>
      </c>
      <c r="H52" s="8"/>
      <c r="I52" s="8">
        <f t="shared" si="1"/>
        <v>108</v>
      </c>
      <c r="J52" s="35"/>
      <c r="K52" s="36">
        <v>179.0</v>
      </c>
      <c r="L52" s="8">
        <f t="shared" si="2"/>
        <v>0</v>
      </c>
      <c r="M52" s="8">
        <f t="shared" si="3"/>
        <v>179</v>
      </c>
      <c r="N52" s="32"/>
      <c r="O52" s="32">
        <v>16.904</v>
      </c>
      <c r="P52" s="32">
        <v>12.699</v>
      </c>
      <c r="Q52" s="32">
        <f t="shared" si="4"/>
        <v>207.221</v>
      </c>
      <c r="R52" s="135"/>
      <c r="S52" s="135"/>
      <c r="T52" s="135"/>
      <c r="U52" s="136"/>
      <c r="V52" s="12">
        <f t="shared" si="5"/>
        <v>0</v>
      </c>
      <c r="W52" s="12">
        <f t="shared" si="6"/>
        <v>0</v>
      </c>
      <c r="X52" s="42"/>
      <c r="Y52" s="42"/>
      <c r="Z52" s="42"/>
      <c r="AA52" s="42"/>
      <c r="AB52" s="42"/>
    </row>
    <row r="53" ht="14.25" customHeight="1">
      <c r="A53" s="8">
        <v>52.0</v>
      </c>
      <c r="B53" s="8" t="s">
        <v>25</v>
      </c>
      <c r="C53" s="140" t="s">
        <v>77</v>
      </c>
      <c r="D53" s="141"/>
      <c r="E53" s="141"/>
      <c r="F53" s="142"/>
      <c r="G53" s="142"/>
      <c r="H53" s="142"/>
      <c r="I53" s="142">
        <f t="shared" si="1"/>
        <v>0</v>
      </c>
      <c r="J53" s="143"/>
      <c r="K53" s="143"/>
      <c r="L53" s="142">
        <f t="shared" si="2"/>
        <v>0</v>
      </c>
      <c r="M53" s="142">
        <f t="shared" si="3"/>
        <v>0</v>
      </c>
      <c r="N53" s="141" t="s">
        <v>106</v>
      </c>
      <c r="O53" s="140">
        <v>16.904</v>
      </c>
      <c r="P53" s="140">
        <v>12.699</v>
      </c>
      <c r="Q53" s="140">
        <f t="shared" si="4"/>
        <v>0</v>
      </c>
      <c r="R53" s="144"/>
      <c r="S53" s="144"/>
      <c r="T53" s="144"/>
      <c r="U53" s="145"/>
      <c r="V53" s="146">
        <f t="shared" si="5"/>
        <v>0</v>
      </c>
      <c r="W53" s="146">
        <f t="shared" si="6"/>
        <v>0</v>
      </c>
      <c r="X53" s="42"/>
      <c r="Y53" s="42"/>
      <c r="Z53" s="42"/>
      <c r="AA53" s="42"/>
      <c r="AB53" s="42"/>
    </row>
    <row r="54" ht="14.25" customHeight="1">
      <c r="A54" s="8">
        <v>53.0</v>
      </c>
      <c r="B54" s="8" t="s">
        <v>25</v>
      </c>
      <c r="C54" s="32" t="s">
        <v>78</v>
      </c>
      <c r="D54" s="33">
        <v>7.0</v>
      </c>
      <c r="E54" s="33">
        <v>7.0</v>
      </c>
      <c r="F54" s="8"/>
      <c r="G54" s="34">
        <v>54.0</v>
      </c>
      <c r="H54" s="8"/>
      <c r="I54" s="8">
        <f t="shared" si="1"/>
        <v>119</v>
      </c>
      <c r="J54" s="35"/>
      <c r="K54" s="36">
        <v>173.0</v>
      </c>
      <c r="L54" s="8">
        <f t="shared" si="2"/>
        <v>0</v>
      </c>
      <c r="M54" s="8">
        <f t="shared" si="3"/>
        <v>173</v>
      </c>
      <c r="N54" s="32"/>
      <c r="O54" s="32">
        <v>16.904</v>
      </c>
      <c r="P54" s="32">
        <v>12.699</v>
      </c>
      <c r="Q54" s="32">
        <f t="shared" si="4"/>
        <v>207.221</v>
      </c>
      <c r="R54" s="135"/>
      <c r="S54" s="135"/>
      <c r="T54" s="135"/>
      <c r="U54" s="136"/>
      <c r="V54" s="12">
        <f t="shared" si="5"/>
        <v>0</v>
      </c>
      <c r="W54" s="12">
        <f t="shared" si="6"/>
        <v>0</v>
      </c>
      <c r="X54" s="42"/>
      <c r="Y54" s="42"/>
      <c r="Z54" s="42"/>
      <c r="AA54" s="42"/>
      <c r="AB54" s="42"/>
    </row>
    <row r="55" ht="14.25" customHeight="1">
      <c r="A55" s="8">
        <v>54.0</v>
      </c>
      <c r="B55" s="8" t="s">
        <v>25</v>
      </c>
      <c r="C55" s="32" t="s">
        <v>79</v>
      </c>
      <c r="D55" s="33">
        <v>7.0</v>
      </c>
      <c r="E55" s="33">
        <v>7.0</v>
      </c>
      <c r="F55" s="8"/>
      <c r="G55" s="34">
        <v>44.0</v>
      </c>
      <c r="H55" s="8"/>
      <c r="I55" s="8">
        <f t="shared" si="1"/>
        <v>108</v>
      </c>
      <c r="J55" s="35"/>
      <c r="K55" s="36">
        <v>152.0</v>
      </c>
      <c r="L55" s="8">
        <f t="shared" si="2"/>
        <v>0</v>
      </c>
      <c r="M55" s="8">
        <f t="shared" si="3"/>
        <v>152</v>
      </c>
      <c r="N55" s="32"/>
      <c r="O55" s="32">
        <v>16.904</v>
      </c>
      <c r="P55" s="32">
        <v>12.699</v>
      </c>
      <c r="Q55" s="32">
        <f t="shared" si="4"/>
        <v>207.221</v>
      </c>
      <c r="R55" s="135"/>
      <c r="S55" s="135"/>
      <c r="T55" s="135"/>
      <c r="U55" s="136"/>
      <c r="V55" s="12">
        <f t="shared" si="5"/>
        <v>0</v>
      </c>
      <c r="W55" s="12">
        <f t="shared" si="6"/>
        <v>0</v>
      </c>
      <c r="X55" s="42"/>
      <c r="Y55" s="42"/>
      <c r="Z55" s="42"/>
      <c r="AA55" s="42"/>
      <c r="AB55" s="42"/>
    </row>
    <row r="56" ht="14.25" customHeight="1">
      <c r="A56" s="8">
        <v>55.0</v>
      </c>
      <c r="B56" s="8" t="s">
        <v>25</v>
      </c>
      <c r="C56" s="32" t="s">
        <v>80</v>
      </c>
      <c r="D56" s="33">
        <v>6.0</v>
      </c>
      <c r="E56" s="33">
        <v>6.0</v>
      </c>
      <c r="F56" s="8"/>
      <c r="G56" s="34">
        <v>36.0</v>
      </c>
      <c r="H56" s="8"/>
      <c r="I56" s="8">
        <f t="shared" si="1"/>
        <v>126</v>
      </c>
      <c r="J56" s="35"/>
      <c r="K56" s="36">
        <v>162.0</v>
      </c>
      <c r="L56" s="8">
        <f t="shared" si="2"/>
        <v>0</v>
      </c>
      <c r="M56" s="8">
        <f t="shared" si="3"/>
        <v>162</v>
      </c>
      <c r="N56" s="32"/>
      <c r="O56" s="32">
        <v>16.904</v>
      </c>
      <c r="P56" s="32">
        <v>12.699</v>
      </c>
      <c r="Q56" s="32">
        <f t="shared" si="4"/>
        <v>177.618</v>
      </c>
      <c r="R56" s="135"/>
      <c r="S56" s="135"/>
      <c r="T56" s="135"/>
      <c r="U56" s="136"/>
      <c r="V56" s="12">
        <f t="shared" si="5"/>
        <v>0</v>
      </c>
      <c r="W56" s="12">
        <f t="shared" si="6"/>
        <v>0</v>
      </c>
      <c r="X56" s="42"/>
      <c r="Y56" s="42"/>
      <c r="Z56" s="42"/>
      <c r="AA56" s="42"/>
      <c r="AB56" s="42"/>
    </row>
    <row r="57" ht="14.25" customHeight="1">
      <c r="A57" s="8">
        <v>56.0</v>
      </c>
      <c r="B57" s="8" t="s">
        <v>25</v>
      </c>
      <c r="C57" s="32" t="s">
        <v>81</v>
      </c>
      <c r="D57" s="33">
        <v>6.0</v>
      </c>
      <c r="E57" s="33">
        <v>6.0</v>
      </c>
      <c r="F57" s="8"/>
      <c r="G57" s="34">
        <v>41.0</v>
      </c>
      <c r="H57" s="8"/>
      <c r="I57" s="8">
        <f t="shared" si="1"/>
        <v>69</v>
      </c>
      <c r="J57" s="35"/>
      <c r="K57" s="36">
        <v>110.0</v>
      </c>
      <c r="L57" s="8">
        <f t="shared" si="2"/>
        <v>0</v>
      </c>
      <c r="M57" s="8">
        <f t="shared" si="3"/>
        <v>110</v>
      </c>
      <c r="N57" s="32"/>
      <c r="O57" s="32">
        <v>16.904</v>
      </c>
      <c r="P57" s="32">
        <v>12.699</v>
      </c>
      <c r="Q57" s="32">
        <f t="shared" si="4"/>
        <v>177.618</v>
      </c>
      <c r="R57" s="135"/>
      <c r="S57" s="135"/>
      <c r="T57" s="135"/>
      <c r="U57" s="136"/>
      <c r="V57" s="12">
        <f t="shared" si="5"/>
        <v>0</v>
      </c>
      <c r="W57" s="12">
        <f t="shared" si="6"/>
        <v>0</v>
      </c>
      <c r="X57" s="42"/>
      <c r="Y57" s="42"/>
      <c r="Z57" s="42"/>
      <c r="AA57" s="42"/>
      <c r="AB57" s="42"/>
    </row>
    <row r="58" ht="14.25" customHeight="1">
      <c r="A58" s="8">
        <v>57.0</v>
      </c>
      <c r="B58" s="8" t="s">
        <v>25</v>
      </c>
      <c r="C58" s="32" t="s">
        <v>82</v>
      </c>
      <c r="D58" s="33">
        <v>7.0</v>
      </c>
      <c r="E58" s="33">
        <v>7.0</v>
      </c>
      <c r="F58" s="8"/>
      <c r="G58" s="34">
        <v>71.0</v>
      </c>
      <c r="H58" s="8"/>
      <c r="I58" s="8">
        <f t="shared" si="1"/>
        <v>108</v>
      </c>
      <c r="J58" s="35"/>
      <c r="K58" s="36">
        <v>179.0</v>
      </c>
      <c r="L58" s="8">
        <f t="shared" si="2"/>
        <v>0</v>
      </c>
      <c r="M58" s="8">
        <f t="shared" si="3"/>
        <v>179</v>
      </c>
      <c r="N58" s="32"/>
      <c r="O58" s="32">
        <v>16.904</v>
      </c>
      <c r="P58" s="32">
        <v>12.699</v>
      </c>
      <c r="Q58" s="32">
        <f t="shared" si="4"/>
        <v>207.221</v>
      </c>
      <c r="R58" s="135"/>
      <c r="S58" s="135"/>
      <c r="T58" s="135"/>
      <c r="U58" s="136"/>
      <c r="V58" s="12">
        <f t="shared" si="5"/>
        <v>0</v>
      </c>
      <c r="W58" s="12">
        <f t="shared" si="6"/>
        <v>0</v>
      </c>
      <c r="X58" s="42"/>
      <c r="Y58" s="42"/>
      <c r="Z58" s="42"/>
      <c r="AA58" s="42"/>
      <c r="AB58" s="42"/>
    </row>
    <row r="59" ht="14.25" customHeight="1">
      <c r="A59" s="8">
        <v>58.0</v>
      </c>
      <c r="B59" s="8" t="s">
        <v>25</v>
      </c>
      <c r="C59" s="32" t="s">
        <v>83</v>
      </c>
      <c r="D59" s="33">
        <v>7.0</v>
      </c>
      <c r="E59" s="33">
        <v>7.0</v>
      </c>
      <c r="F59" s="8"/>
      <c r="G59" s="34">
        <v>52.0</v>
      </c>
      <c r="H59" s="8"/>
      <c r="I59" s="8">
        <f t="shared" si="1"/>
        <v>115</v>
      </c>
      <c r="J59" s="35"/>
      <c r="K59" s="36">
        <v>167.0</v>
      </c>
      <c r="L59" s="8">
        <f t="shared" si="2"/>
        <v>0</v>
      </c>
      <c r="M59" s="8">
        <f t="shared" si="3"/>
        <v>167</v>
      </c>
      <c r="N59" s="32"/>
      <c r="O59" s="32">
        <v>16.904</v>
      </c>
      <c r="P59" s="32">
        <v>12.699</v>
      </c>
      <c r="Q59" s="32">
        <f t="shared" si="4"/>
        <v>207.221</v>
      </c>
      <c r="R59" s="135"/>
      <c r="S59" s="135"/>
      <c r="T59" s="135"/>
      <c r="U59" s="136"/>
      <c r="V59" s="12">
        <f t="shared" si="5"/>
        <v>0</v>
      </c>
      <c r="W59" s="12">
        <f t="shared" si="6"/>
        <v>0</v>
      </c>
      <c r="X59" s="42"/>
      <c r="Y59" s="42"/>
      <c r="Z59" s="42"/>
      <c r="AA59" s="42"/>
      <c r="AB59" s="42"/>
    </row>
    <row r="60" ht="14.25" customHeight="1">
      <c r="A60" s="8">
        <v>59.0</v>
      </c>
      <c r="B60" s="8" t="s">
        <v>25</v>
      </c>
      <c r="C60" s="32" t="s">
        <v>84</v>
      </c>
      <c r="D60" s="33">
        <v>7.0</v>
      </c>
      <c r="E60" s="33">
        <v>7.0</v>
      </c>
      <c r="F60" s="8"/>
      <c r="G60" s="34">
        <v>56.0</v>
      </c>
      <c r="H60" s="8"/>
      <c r="I60" s="8">
        <f t="shared" si="1"/>
        <v>95</v>
      </c>
      <c r="J60" s="35"/>
      <c r="K60" s="36">
        <v>151.0</v>
      </c>
      <c r="L60" s="8">
        <f t="shared" si="2"/>
        <v>0</v>
      </c>
      <c r="M60" s="8">
        <f t="shared" si="3"/>
        <v>151</v>
      </c>
      <c r="N60" s="32"/>
      <c r="O60" s="32">
        <v>16.904</v>
      </c>
      <c r="P60" s="32">
        <v>12.699</v>
      </c>
      <c r="Q60" s="32">
        <f t="shared" si="4"/>
        <v>207.221</v>
      </c>
      <c r="R60" s="149"/>
      <c r="S60" s="149"/>
      <c r="T60" s="149"/>
      <c r="U60" s="150"/>
      <c r="V60" s="16">
        <f t="shared" si="5"/>
        <v>0</v>
      </c>
      <c r="W60" s="16">
        <f t="shared" si="6"/>
        <v>0</v>
      </c>
      <c r="X60" s="42"/>
      <c r="Y60" s="42"/>
      <c r="Z60" s="42"/>
      <c r="AA60" s="42"/>
      <c r="AB60" s="42"/>
    </row>
    <row r="61" ht="14.25" customHeight="1">
      <c r="A61" s="8">
        <v>60.0</v>
      </c>
      <c r="B61" s="8" t="s">
        <v>25</v>
      </c>
      <c r="C61" s="32" t="s">
        <v>85</v>
      </c>
      <c r="D61" s="33">
        <v>6.0</v>
      </c>
      <c r="E61" s="33">
        <v>6.0</v>
      </c>
      <c r="F61" s="8"/>
      <c r="G61" s="34">
        <v>62.0</v>
      </c>
      <c r="H61" s="8"/>
      <c r="I61" s="8">
        <f t="shared" si="1"/>
        <v>72</v>
      </c>
      <c r="J61" s="35"/>
      <c r="K61" s="36">
        <v>134.0</v>
      </c>
      <c r="L61" s="8">
        <f t="shared" si="2"/>
        <v>0</v>
      </c>
      <c r="M61" s="8">
        <f t="shared" si="3"/>
        <v>134</v>
      </c>
      <c r="N61" s="32"/>
      <c r="O61" s="32">
        <v>16.904</v>
      </c>
      <c r="P61" s="32">
        <v>12.699</v>
      </c>
      <c r="Q61" s="32">
        <f t="shared" si="4"/>
        <v>177.618</v>
      </c>
      <c r="R61" s="151"/>
      <c r="S61" s="151"/>
      <c r="T61" s="151"/>
      <c r="U61" s="151"/>
      <c r="V61" s="18">
        <f t="shared" si="5"/>
        <v>0</v>
      </c>
      <c r="W61" s="18">
        <f t="shared" si="6"/>
        <v>0</v>
      </c>
      <c r="X61" s="42"/>
      <c r="Y61" s="42"/>
      <c r="Z61" s="42"/>
      <c r="AA61" s="42"/>
      <c r="AB61" s="42"/>
    </row>
    <row r="62" ht="14.25" customHeight="1">
      <c r="A62" s="76"/>
      <c r="B62" s="42"/>
      <c r="C62" s="42"/>
      <c r="D62" s="19" t="s">
        <v>86</v>
      </c>
      <c r="E62" s="19">
        <f>SUM(M:M)</f>
        <v>7497</v>
      </c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</row>
    <row r="63" ht="14.25" customHeight="1">
      <c r="A63" s="76"/>
      <c r="B63" s="42"/>
      <c r="C63" s="42"/>
      <c r="D63" s="19" t="s">
        <v>87</v>
      </c>
      <c r="E63" s="19">
        <f>SUM(Q:Q)</f>
        <v>10893.904</v>
      </c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</row>
    <row r="64" ht="14.25" customHeight="1">
      <c r="A64" s="76"/>
      <c r="B64" s="42"/>
      <c r="C64" s="42"/>
      <c r="D64" s="19" t="s">
        <v>88</v>
      </c>
      <c r="E64" s="19">
        <f>E62/E63</f>
        <v>0.6881830426</v>
      </c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</row>
    <row r="65" ht="14.25" customHeight="1">
      <c r="A65" s="76"/>
      <c r="B65" s="42"/>
      <c r="C65" s="42"/>
      <c r="D65" s="21"/>
      <c r="E65" s="7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</row>
    <row r="66" ht="14.25" customHeight="1">
      <c r="A66" s="76"/>
      <c r="B66" s="42"/>
      <c r="C66" s="42"/>
      <c r="D66" s="22" t="s">
        <v>89</v>
      </c>
      <c r="E66" s="22">
        <f>AVERAGEIF(Q:Q,"&gt;0",Q:Q)</f>
        <v>198.0709818</v>
      </c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</row>
    <row r="67" ht="14.25" customHeight="1">
      <c r="A67" s="76"/>
      <c r="B67" s="42"/>
      <c r="C67" s="42"/>
      <c r="D67" s="7"/>
      <c r="E67" s="7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</row>
    <row r="68" ht="14.25" customHeight="1">
      <c r="A68" s="76"/>
      <c r="B68" s="42"/>
      <c r="C68" s="42"/>
      <c r="D68" s="23" t="s">
        <v>90</v>
      </c>
      <c r="E68" s="24">
        <f>SUM(G:G)</f>
        <v>2720</v>
      </c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</row>
    <row r="69" ht="14.25" customHeight="1">
      <c r="A69" s="76"/>
      <c r="B69" s="42"/>
      <c r="C69" s="42"/>
      <c r="D69" s="23" t="s">
        <v>91</v>
      </c>
      <c r="E69" s="24">
        <f>SUM(H:H)</f>
        <v>0</v>
      </c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</row>
    <row r="70" ht="14.25" customHeight="1">
      <c r="A70" s="76"/>
      <c r="B70" s="42"/>
      <c r="C70" s="42"/>
      <c r="D70" s="23" t="s">
        <v>92</v>
      </c>
      <c r="E70" s="24">
        <f>E69+E68</f>
        <v>2720</v>
      </c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</row>
    <row r="71" ht="14.25" customHeight="1">
      <c r="A71" s="76"/>
      <c r="B71" s="42"/>
      <c r="C71" s="42"/>
      <c r="D71" s="7"/>
      <c r="E71" s="7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</row>
    <row r="72" ht="14.25" customHeight="1">
      <c r="A72" s="76"/>
      <c r="B72" s="42"/>
      <c r="C72" s="42"/>
      <c r="D72" s="25" t="s">
        <v>93</v>
      </c>
      <c r="E72" s="26">
        <f>SUM(I:I)</f>
        <v>4777</v>
      </c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</row>
    <row r="73" ht="14.25" customHeight="1">
      <c r="A73" s="76"/>
      <c r="B73" s="42"/>
      <c r="C73" s="42"/>
      <c r="D73" s="25" t="s">
        <v>94</v>
      </c>
      <c r="E73" s="26">
        <f>SUM(J:J)</f>
        <v>0</v>
      </c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</row>
    <row r="74" ht="14.25" customHeight="1">
      <c r="A74" s="76"/>
      <c r="B74" s="42"/>
      <c r="C74" s="42"/>
      <c r="D74" s="25" t="s">
        <v>95</v>
      </c>
      <c r="E74" s="26">
        <f>E73+E72</f>
        <v>4777</v>
      </c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</row>
    <row r="75" ht="14.25" customHeight="1">
      <c r="A75" s="76"/>
      <c r="B75" s="42"/>
      <c r="C75" s="42"/>
      <c r="D75" s="7"/>
      <c r="E75" s="7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</row>
    <row r="76" ht="14.25" customHeight="1">
      <c r="A76" s="76"/>
      <c r="B76" s="42"/>
      <c r="C76" s="42"/>
      <c r="D76" s="27" t="s">
        <v>11</v>
      </c>
      <c r="E76" s="28">
        <f t="shared" ref="E76:E77" si="7">E72+E68</f>
        <v>7497</v>
      </c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</row>
    <row r="77" ht="14.25" customHeight="1">
      <c r="A77" s="76"/>
      <c r="B77" s="42"/>
      <c r="C77" s="42"/>
      <c r="D77" s="27" t="s">
        <v>12</v>
      </c>
      <c r="E77" s="28">
        <f t="shared" si="7"/>
        <v>0</v>
      </c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</row>
    <row r="78" ht="14.25" customHeight="1">
      <c r="A78" s="76"/>
      <c r="B78" s="42"/>
      <c r="C78" s="42"/>
      <c r="D78" s="21"/>
      <c r="E78" s="21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</row>
    <row r="79" ht="14.25" customHeight="1">
      <c r="A79" s="76"/>
      <c r="B79" s="42"/>
      <c r="C79" s="42"/>
      <c r="D79" s="21"/>
      <c r="E79" s="21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</row>
    <row r="80" ht="14.25" customHeight="1">
      <c r="A80" s="76"/>
      <c r="B80" s="42"/>
      <c r="C80" s="42"/>
      <c r="D80" s="21"/>
      <c r="E80" s="21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</row>
    <row r="81" ht="14.25" customHeight="1">
      <c r="A81" s="76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</row>
    <row r="82" ht="14.25" customHeight="1">
      <c r="A82" s="76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</row>
    <row r="83" ht="14.25" customHeight="1">
      <c r="A83" s="76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</row>
    <row r="84" ht="14.25" customHeight="1">
      <c r="A84" s="76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</row>
    <row r="85" ht="14.25" customHeight="1">
      <c r="A85" s="76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</row>
    <row r="86" ht="14.25" customHeight="1">
      <c r="A86" s="76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</row>
    <row r="87" ht="14.25" customHeight="1">
      <c r="A87" s="76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</row>
    <row r="88" ht="14.25" customHeight="1">
      <c r="A88" s="76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</row>
    <row r="89" ht="14.25" customHeight="1">
      <c r="A89" s="76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</row>
    <row r="90" ht="14.25" customHeight="1">
      <c r="A90" s="76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</row>
    <row r="91" ht="14.25" customHeight="1">
      <c r="A91" s="76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</row>
    <row r="92" ht="14.25" customHeight="1">
      <c r="A92" s="76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</row>
    <row r="93" ht="14.25" customHeight="1">
      <c r="A93" s="76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 ht="14.25" customHeight="1">
      <c r="A94" s="76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</row>
    <row r="95" ht="14.25" customHeight="1">
      <c r="A95" s="76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</row>
    <row r="96" ht="14.25" customHeight="1">
      <c r="A96" s="76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</row>
    <row r="97" ht="14.25" customHeight="1">
      <c r="A97" s="76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</row>
    <row r="98" ht="14.25" customHeight="1">
      <c r="A98" s="76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</row>
    <row r="99" ht="14.25" customHeight="1">
      <c r="A99" s="76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</row>
    <row r="100" ht="14.25" customHeight="1">
      <c r="A100" s="76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</row>
    <row r="101" ht="14.25" customHeight="1">
      <c r="A101" s="76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</row>
    <row r="102" ht="14.25" customHeight="1">
      <c r="A102" s="76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</row>
    <row r="103" ht="14.25" customHeight="1">
      <c r="A103" s="76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</row>
    <row r="104" ht="14.25" customHeight="1">
      <c r="A104" s="76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</row>
    <row r="105" ht="14.25" customHeight="1">
      <c r="A105" s="76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</row>
    <row r="106" ht="14.25" customHeight="1">
      <c r="A106" s="76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 ht="14.25" customHeight="1">
      <c r="A107" s="76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</row>
    <row r="108" ht="14.25" customHeight="1">
      <c r="A108" s="76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</row>
    <row r="109" ht="14.25" customHeight="1">
      <c r="A109" s="76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</row>
    <row r="110" ht="14.25" customHeight="1">
      <c r="A110" s="76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</row>
    <row r="111" ht="14.25" customHeight="1">
      <c r="A111" s="76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</row>
    <row r="112" ht="14.25" customHeight="1">
      <c r="A112" s="76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 ht="14.25" customHeight="1">
      <c r="A113" s="76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 ht="14.25" customHeight="1">
      <c r="A114" s="76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 ht="14.25" customHeight="1">
      <c r="A115" s="76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</row>
    <row r="116" ht="14.25" customHeight="1">
      <c r="A116" s="76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</row>
    <row r="117" ht="14.25" customHeight="1">
      <c r="A117" s="76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</row>
    <row r="118" ht="14.25" customHeight="1">
      <c r="A118" s="76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</row>
    <row r="119" ht="14.25" customHeight="1">
      <c r="A119" s="76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</row>
    <row r="120" ht="14.25" customHeight="1">
      <c r="A120" s="76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</row>
    <row r="121" ht="14.25" customHeight="1">
      <c r="A121" s="76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 ht="14.25" customHeight="1">
      <c r="A122" s="76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</row>
    <row r="123" ht="14.25" customHeight="1">
      <c r="A123" s="76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 ht="14.25" customHeight="1">
      <c r="A124" s="76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 ht="14.25" customHeight="1">
      <c r="A125" s="76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</row>
    <row r="126" ht="14.25" customHeight="1">
      <c r="A126" s="76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</row>
    <row r="127" ht="14.25" customHeight="1">
      <c r="A127" s="76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</row>
    <row r="128" ht="14.25" customHeight="1">
      <c r="A128" s="76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</row>
    <row r="129" ht="14.25" customHeight="1">
      <c r="A129" s="76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</row>
    <row r="130" ht="14.25" customHeight="1">
      <c r="A130" s="76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</row>
    <row r="131" ht="14.25" customHeight="1">
      <c r="A131" s="76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</row>
    <row r="132" ht="14.25" customHeight="1">
      <c r="A132" s="76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</row>
    <row r="133" ht="14.25" customHeight="1">
      <c r="A133" s="76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</row>
    <row r="134" ht="14.25" customHeight="1">
      <c r="A134" s="76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</row>
    <row r="135" ht="14.25" customHeight="1">
      <c r="A135" s="76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</row>
    <row r="136" ht="14.25" customHeight="1">
      <c r="A136" s="76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</row>
    <row r="137" ht="14.25" customHeight="1">
      <c r="A137" s="76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</row>
    <row r="138" ht="14.25" customHeight="1">
      <c r="A138" s="76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</row>
    <row r="139" ht="14.25" customHeight="1">
      <c r="A139" s="76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</row>
    <row r="140" ht="14.25" customHeight="1">
      <c r="A140" s="76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</row>
    <row r="141" ht="14.25" customHeight="1">
      <c r="A141" s="76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</row>
    <row r="142" ht="14.25" customHeight="1">
      <c r="A142" s="76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</row>
    <row r="143" ht="14.25" customHeight="1">
      <c r="A143" s="76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</row>
    <row r="144" ht="14.25" customHeight="1">
      <c r="A144" s="76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</row>
    <row r="145" ht="14.25" customHeight="1">
      <c r="A145" s="76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</row>
    <row r="146" ht="14.25" customHeight="1">
      <c r="A146" s="76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</row>
    <row r="147" ht="14.25" customHeight="1">
      <c r="A147" s="76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</row>
    <row r="148" ht="14.25" customHeight="1">
      <c r="A148" s="76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</row>
    <row r="149" ht="14.25" customHeight="1">
      <c r="A149" s="76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</row>
    <row r="150" ht="14.25" customHeight="1">
      <c r="A150" s="76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</row>
    <row r="151" ht="14.25" customHeight="1">
      <c r="A151" s="76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</row>
    <row r="152" ht="14.25" customHeight="1">
      <c r="A152" s="76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</row>
    <row r="153" ht="14.25" customHeight="1">
      <c r="A153" s="76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</row>
    <row r="154" ht="14.25" customHeight="1">
      <c r="A154" s="76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</row>
    <row r="155" ht="14.25" customHeight="1">
      <c r="A155" s="76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</row>
    <row r="156" ht="14.25" customHeight="1">
      <c r="A156" s="76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</row>
    <row r="157" ht="14.25" customHeight="1">
      <c r="A157" s="76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 ht="14.25" customHeight="1">
      <c r="A158" s="76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</row>
    <row r="159" ht="14.25" customHeight="1">
      <c r="A159" s="76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</row>
    <row r="160" ht="14.25" customHeight="1">
      <c r="A160" s="76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</row>
    <row r="161" ht="14.25" customHeight="1">
      <c r="A161" s="76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</row>
    <row r="162" ht="14.25" customHeight="1">
      <c r="A162" s="76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</row>
    <row r="163" ht="14.25" customHeight="1">
      <c r="A163" s="76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</row>
    <row r="164" ht="14.25" customHeight="1">
      <c r="A164" s="76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</row>
    <row r="165" ht="14.25" customHeight="1">
      <c r="A165" s="76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</row>
    <row r="166" ht="14.25" customHeight="1">
      <c r="A166" s="76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</row>
    <row r="167" ht="14.25" customHeight="1">
      <c r="A167" s="76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</row>
    <row r="168" ht="14.25" customHeight="1">
      <c r="A168" s="76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</row>
    <row r="169" ht="14.25" customHeight="1">
      <c r="A169" s="76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</row>
    <row r="170" ht="14.25" customHeight="1">
      <c r="A170" s="76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</row>
    <row r="171" ht="14.25" customHeight="1">
      <c r="A171" s="76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</row>
    <row r="172" ht="14.25" customHeight="1">
      <c r="A172" s="76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</row>
    <row r="173" ht="14.25" customHeight="1">
      <c r="A173" s="76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</row>
    <row r="174" ht="14.25" customHeight="1">
      <c r="A174" s="76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</row>
    <row r="175" ht="14.25" customHeight="1">
      <c r="A175" s="76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</row>
    <row r="176" ht="14.25" customHeight="1">
      <c r="A176" s="76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</row>
    <row r="177" ht="14.25" customHeight="1">
      <c r="A177" s="76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</row>
    <row r="178" ht="14.25" customHeight="1">
      <c r="A178" s="76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</row>
    <row r="179" ht="14.25" customHeight="1">
      <c r="A179" s="76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</row>
    <row r="180" ht="14.25" customHeight="1">
      <c r="A180" s="76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</row>
    <row r="181" ht="14.25" customHeight="1">
      <c r="A181" s="76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</row>
    <row r="182" ht="14.25" customHeight="1">
      <c r="A182" s="76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</row>
    <row r="183" ht="14.25" customHeight="1">
      <c r="A183" s="76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</row>
    <row r="184" ht="14.25" customHeight="1">
      <c r="A184" s="76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</row>
    <row r="185" ht="14.25" customHeight="1">
      <c r="A185" s="76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</row>
    <row r="186" ht="14.25" customHeight="1">
      <c r="A186" s="76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</row>
    <row r="187" ht="14.25" customHeight="1">
      <c r="A187" s="76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</row>
    <row r="188" ht="14.25" customHeight="1">
      <c r="A188" s="76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</row>
    <row r="189" ht="14.25" customHeight="1">
      <c r="A189" s="76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</row>
    <row r="190" ht="14.25" customHeight="1">
      <c r="A190" s="76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</row>
    <row r="191" ht="14.25" customHeight="1">
      <c r="A191" s="76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</row>
    <row r="192" ht="14.25" customHeight="1">
      <c r="A192" s="76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</row>
    <row r="193" ht="14.25" customHeight="1">
      <c r="A193" s="76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</row>
    <row r="194" ht="14.25" customHeight="1">
      <c r="A194" s="76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</row>
    <row r="195" ht="14.25" customHeight="1">
      <c r="A195" s="76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</row>
    <row r="196" ht="14.25" customHeight="1">
      <c r="A196" s="76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</row>
    <row r="197" ht="14.25" customHeight="1">
      <c r="A197" s="76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</row>
    <row r="198" ht="14.25" customHeight="1">
      <c r="A198" s="76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</row>
    <row r="199" ht="14.25" customHeight="1">
      <c r="A199" s="76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</row>
    <row r="200" ht="14.25" customHeight="1">
      <c r="A200" s="76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</row>
    <row r="201" ht="14.25" customHeight="1">
      <c r="A201" s="76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</row>
    <row r="202" ht="14.25" customHeight="1">
      <c r="A202" s="76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 ht="14.25" customHeight="1">
      <c r="A203" s="76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</row>
    <row r="204" ht="14.25" customHeight="1">
      <c r="A204" s="76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</row>
    <row r="205" ht="14.25" customHeight="1">
      <c r="A205" s="76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</row>
    <row r="206" ht="14.25" customHeight="1">
      <c r="A206" s="76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</row>
    <row r="207" ht="14.25" customHeight="1">
      <c r="A207" s="76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</row>
    <row r="208" ht="14.25" customHeight="1">
      <c r="A208" s="76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</row>
    <row r="209" ht="14.25" customHeight="1">
      <c r="A209" s="76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</row>
    <row r="210" ht="14.25" customHeight="1">
      <c r="A210" s="76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</row>
    <row r="211" ht="14.25" customHeight="1">
      <c r="A211" s="76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</row>
    <row r="212" ht="14.25" customHeight="1">
      <c r="A212" s="76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</row>
    <row r="213" ht="14.25" customHeight="1">
      <c r="A213" s="76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</row>
    <row r="214" ht="14.25" customHeight="1">
      <c r="A214" s="76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</row>
    <row r="215" ht="14.25" customHeight="1">
      <c r="A215" s="76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</row>
    <row r="216" ht="14.25" customHeight="1">
      <c r="A216" s="76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</row>
    <row r="217" ht="14.25" customHeight="1">
      <c r="A217" s="76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</row>
    <row r="218" ht="14.25" customHeight="1">
      <c r="A218" s="76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</row>
    <row r="219" ht="14.25" customHeight="1">
      <c r="A219" s="76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</row>
    <row r="220" ht="14.25" customHeight="1">
      <c r="A220" s="76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</row>
    <row r="221" ht="14.25" customHeight="1">
      <c r="A221" s="76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</row>
    <row r="222" ht="14.25" customHeight="1">
      <c r="A222" s="76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</row>
    <row r="223" ht="14.25" customHeight="1">
      <c r="A223" s="76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</row>
    <row r="224" ht="14.25" customHeight="1">
      <c r="A224" s="76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</row>
    <row r="225" ht="14.25" customHeight="1">
      <c r="A225" s="76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</row>
    <row r="226" ht="14.25" customHeight="1">
      <c r="A226" s="76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</row>
    <row r="227" ht="14.25" customHeight="1">
      <c r="A227" s="76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</row>
    <row r="228" ht="14.25" customHeight="1">
      <c r="A228" s="76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</row>
    <row r="229" ht="14.25" customHeight="1">
      <c r="A229" s="76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</row>
    <row r="230" ht="14.25" customHeight="1">
      <c r="A230" s="76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</row>
    <row r="231" ht="14.25" customHeight="1">
      <c r="A231" s="76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</row>
    <row r="232" ht="14.25" customHeight="1">
      <c r="A232" s="76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</row>
    <row r="233" ht="14.25" customHeight="1">
      <c r="A233" s="76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</row>
    <row r="234" ht="14.25" customHeight="1">
      <c r="A234" s="76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</row>
    <row r="235" ht="14.25" customHeight="1">
      <c r="A235" s="76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</row>
    <row r="236" ht="14.25" customHeight="1">
      <c r="A236" s="76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</row>
    <row r="237" ht="14.25" customHeight="1">
      <c r="A237" s="76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</row>
    <row r="238" ht="14.25" customHeight="1">
      <c r="A238" s="76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</row>
    <row r="239" ht="14.25" customHeight="1">
      <c r="A239" s="76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</row>
    <row r="240" ht="14.25" customHeight="1">
      <c r="A240" s="76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</row>
    <row r="241" ht="14.25" customHeight="1">
      <c r="A241" s="76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</row>
    <row r="242" ht="14.25" customHeight="1">
      <c r="A242" s="76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</row>
    <row r="243" ht="14.25" customHeight="1">
      <c r="A243" s="76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</row>
    <row r="244" ht="14.25" customHeight="1">
      <c r="A244" s="76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</row>
    <row r="245" ht="14.25" customHeight="1">
      <c r="A245" s="76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</row>
    <row r="246" ht="14.25" customHeight="1">
      <c r="A246" s="76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</row>
    <row r="247" ht="14.25" customHeight="1">
      <c r="A247" s="76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</row>
    <row r="248" ht="14.25" customHeight="1">
      <c r="A248" s="76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</row>
    <row r="249" ht="14.25" customHeight="1">
      <c r="A249" s="76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</row>
    <row r="250" ht="14.25" customHeight="1">
      <c r="A250" s="76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</row>
    <row r="251" ht="14.25" customHeight="1">
      <c r="A251" s="76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</row>
    <row r="252" ht="14.25" customHeight="1">
      <c r="A252" s="76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</row>
    <row r="253" ht="14.25" customHeight="1">
      <c r="A253" s="76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</row>
    <row r="254" ht="14.25" customHeight="1">
      <c r="A254" s="76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</row>
    <row r="255" ht="14.25" customHeight="1">
      <c r="A255" s="76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</row>
    <row r="256" ht="14.25" customHeight="1">
      <c r="A256" s="76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</row>
    <row r="257" ht="14.25" customHeight="1">
      <c r="A257" s="76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</row>
    <row r="258" ht="14.25" customHeight="1">
      <c r="A258" s="76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</row>
    <row r="259" ht="14.25" customHeight="1">
      <c r="A259" s="76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</row>
    <row r="260" ht="14.25" customHeight="1">
      <c r="A260" s="76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</row>
    <row r="261" ht="14.25" customHeight="1">
      <c r="A261" s="76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</row>
    <row r="262" ht="14.25" customHeight="1">
      <c r="A262" s="76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</row>
    <row r="263" ht="14.25" customHeight="1">
      <c r="A263" s="76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</row>
    <row r="264" ht="14.25" customHeight="1">
      <c r="A264" s="76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</row>
    <row r="265" ht="14.25" customHeight="1">
      <c r="A265" s="76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</row>
    <row r="266" ht="14.25" customHeight="1">
      <c r="A266" s="76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</row>
    <row r="267" ht="14.25" customHeight="1">
      <c r="A267" s="76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</row>
    <row r="268" ht="14.25" customHeight="1">
      <c r="A268" s="76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</row>
    <row r="269" ht="14.25" customHeight="1">
      <c r="A269" s="76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</row>
    <row r="270" ht="14.25" customHeight="1">
      <c r="A270" s="76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</row>
    <row r="271" ht="14.25" customHeight="1">
      <c r="A271" s="76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</row>
    <row r="272" ht="14.25" customHeight="1">
      <c r="A272" s="76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</row>
    <row r="273" ht="14.25" customHeight="1">
      <c r="A273" s="76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</row>
    <row r="274" ht="14.25" customHeight="1">
      <c r="A274" s="76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</row>
    <row r="275" ht="14.25" customHeight="1">
      <c r="A275" s="76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</row>
    <row r="276" ht="14.25" customHeight="1">
      <c r="A276" s="76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</row>
    <row r="277" ht="14.25" customHeight="1">
      <c r="A277" s="76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</row>
    <row r="278" ht="15.75" customHeight="1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</row>
    <row r="279" ht="15.75" customHeight="1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</row>
    <row r="280" ht="15.75" customHeight="1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</row>
    <row r="281" ht="15.75" customHeight="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</row>
    <row r="282" ht="15.75" customHeight="1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</row>
    <row r="283" ht="15.75" customHeight="1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</row>
    <row r="284" ht="15.75" customHeight="1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</row>
    <row r="285" ht="15.75" customHeight="1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</row>
    <row r="286" ht="15.75" customHeight="1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</row>
    <row r="287" ht="15.75" customHeight="1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</row>
    <row r="288" ht="15.75" customHeight="1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</row>
    <row r="289" ht="15.75" customHeight="1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</row>
    <row r="290" ht="15.75" customHeight="1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</row>
    <row r="291" ht="15.75" customHeight="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</row>
    <row r="292" ht="15.75" customHeight="1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</row>
    <row r="293" ht="15.75" customHeight="1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</row>
    <row r="294" ht="15.75" customHeight="1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</row>
    <row r="295" ht="15.75" customHeight="1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</row>
    <row r="296" ht="15.75" customHeight="1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</row>
    <row r="297" ht="15.75" customHeight="1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</row>
    <row r="298" ht="15.75" customHeight="1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</row>
    <row r="299" ht="15.75" customHeight="1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</row>
    <row r="300" ht="15.75" customHeight="1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</row>
    <row r="301" ht="15.75" customHeight="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</row>
    <row r="302" ht="15.75" customHeight="1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</row>
    <row r="303" ht="15.75" customHeight="1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</row>
    <row r="304" ht="15.75" customHeight="1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</row>
    <row r="305" ht="15.75" customHeight="1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</row>
    <row r="306" ht="15.75" customHeight="1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</row>
    <row r="307" ht="15.75" customHeight="1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</row>
    <row r="308" ht="15.75" customHeight="1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</row>
    <row r="309" ht="15.75" customHeight="1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</row>
    <row r="310" ht="15.75" customHeight="1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</row>
    <row r="311" ht="15.75" customHeight="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</row>
    <row r="312" ht="15.75" customHeight="1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</row>
    <row r="313" ht="15.75" customHeight="1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</row>
    <row r="314" ht="15.75" customHeight="1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</row>
    <row r="315" ht="15.75" customHeight="1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</row>
    <row r="316" ht="15.75" customHeight="1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</row>
    <row r="317" ht="15.75" customHeight="1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</row>
    <row r="318" ht="15.75" customHeight="1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</row>
    <row r="319" ht="15.75" customHeight="1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</row>
    <row r="320" ht="15.75" customHeight="1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</row>
    <row r="321" ht="15.75" customHeight="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</row>
    <row r="322" ht="15.75" customHeight="1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</row>
    <row r="323" ht="15.75" customHeight="1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</row>
    <row r="324" ht="15.75" customHeight="1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</row>
    <row r="325" ht="15.75" customHeight="1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</row>
    <row r="326" ht="15.75" customHeight="1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</row>
    <row r="327" ht="15.75" customHeight="1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</row>
    <row r="328" ht="15.75" customHeight="1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</row>
    <row r="329" ht="15.75" customHeight="1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</row>
    <row r="330" ht="15.75" customHeight="1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</row>
    <row r="331" ht="15.75" customHeight="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</row>
    <row r="332" ht="15.75" customHeight="1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</row>
    <row r="333" ht="15.75" customHeight="1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</row>
    <row r="334" ht="15.75" customHeight="1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</row>
    <row r="335" ht="15.75" customHeight="1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</row>
    <row r="336" ht="15.75" customHeight="1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</row>
    <row r="337" ht="15.75" customHeight="1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</row>
    <row r="338" ht="15.75" customHeight="1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</row>
    <row r="339" ht="15.75" customHeight="1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</row>
    <row r="340" ht="15.75" customHeight="1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</row>
    <row r="341" ht="15.75" customHeight="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</row>
    <row r="342" ht="15.75" customHeight="1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</row>
    <row r="343" ht="15.75" customHeight="1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</row>
    <row r="344" ht="15.75" customHeight="1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</row>
    <row r="345" ht="15.75" customHeight="1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</row>
    <row r="346" ht="15.75" customHeight="1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</row>
    <row r="347" ht="15.75" customHeight="1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</row>
    <row r="348" ht="15.75" customHeight="1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</row>
    <row r="349" ht="15.75" customHeight="1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</row>
    <row r="350" ht="15.75" customHeight="1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</row>
    <row r="351" ht="15.75" customHeight="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</row>
    <row r="352" ht="15.75" customHeight="1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</row>
    <row r="353" ht="15.75" customHeight="1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</row>
    <row r="354" ht="15.75" customHeight="1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</row>
    <row r="355" ht="15.75" customHeight="1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</row>
    <row r="356" ht="15.75" customHeight="1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</row>
    <row r="357" ht="15.75" customHeight="1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</row>
    <row r="358" ht="15.75" customHeight="1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</row>
    <row r="359" ht="15.75" customHeight="1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</row>
    <row r="360" ht="15.75" customHeight="1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</row>
    <row r="361" ht="15.75" customHeight="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</row>
    <row r="362" ht="15.75" customHeight="1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</row>
    <row r="363" ht="15.75" customHeight="1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</row>
    <row r="364" ht="15.75" customHeight="1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</row>
    <row r="365" ht="15.75" customHeight="1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</row>
    <row r="366" ht="15.75" customHeight="1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</row>
    <row r="367" ht="15.75" customHeight="1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</row>
    <row r="368" ht="15.75" customHeight="1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</row>
    <row r="369" ht="15.75" customHeight="1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</row>
    <row r="370" ht="15.75" customHeight="1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</row>
    <row r="371" ht="15.75" customHeight="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</row>
    <row r="372" ht="15.75" customHeight="1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</row>
    <row r="373" ht="15.75" customHeight="1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</row>
    <row r="374" ht="15.75" customHeight="1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</row>
    <row r="375" ht="15.75" customHeight="1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</row>
    <row r="376" ht="15.75" customHeight="1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</row>
    <row r="377" ht="15.75" customHeight="1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</row>
    <row r="378" ht="15.75" customHeight="1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</row>
    <row r="379" ht="15.75" customHeight="1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</row>
    <row r="380" ht="15.75" customHeight="1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</row>
    <row r="381" ht="15.75" customHeight="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</row>
    <row r="382" ht="15.75" customHeight="1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</row>
    <row r="383" ht="15.75" customHeight="1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</row>
    <row r="384" ht="15.75" customHeight="1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</row>
    <row r="385" ht="15.75" customHeight="1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</row>
    <row r="386" ht="15.75" customHeight="1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</row>
    <row r="387" ht="15.75" customHeight="1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</row>
    <row r="388" ht="15.75" customHeight="1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</row>
    <row r="389" ht="15.75" customHeight="1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</row>
    <row r="390" ht="15.75" customHeight="1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</row>
    <row r="391" ht="15.75" customHeight="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</row>
    <row r="392" ht="15.75" customHeight="1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</row>
    <row r="393" ht="15.75" customHeight="1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</row>
    <row r="394" ht="15.75" customHeight="1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</row>
    <row r="395" ht="15.75" customHeight="1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</row>
    <row r="396" ht="15.75" customHeight="1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</row>
    <row r="397" ht="15.75" customHeight="1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</row>
    <row r="398" ht="15.75" customHeight="1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</row>
    <row r="399" ht="15.75" customHeight="1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</row>
    <row r="400" ht="15.75" customHeight="1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</row>
    <row r="401" ht="15.75" customHeight="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</row>
    <row r="402" ht="15.75" customHeight="1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</row>
    <row r="403" ht="15.75" customHeight="1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</row>
    <row r="404" ht="15.75" customHeight="1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</row>
    <row r="405" ht="15.75" customHeight="1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</row>
    <row r="406" ht="15.75" customHeight="1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</row>
    <row r="407" ht="15.75" customHeight="1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</row>
    <row r="408" ht="15.75" customHeight="1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</row>
    <row r="409" ht="15.75" customHeight="1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</row>
    <row r="410" ht="15.75" customHeight="1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</row>
    <row r="411" ht="15.75" customHeight="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</row>
    <row r="412" ht="15.75" customHeight="1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</row>
    <row r="413" ht="15.75" customHeight="1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</row>
    <row r="414" ht="15.75" customHeight="1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</row>
    <row r="415" ht="15.75" customHeight="1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</row>
    <row r="416" ht="15.75" customHeight="1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</row>
    <row r="417" ht="15.75" customHeight="1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</row>
    <row r="418" ht="15.75" customHeight="1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</row>
    <row r="419" ht="15.75" customHeight="1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</row>
    <row r="420" ht="15.75" customHeight="1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</row>
    <row r="421" ht="15.75" customHeight="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</row>
    <row r="422" ht="15.75" customHeight="1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</row>
    <row r="423" ht="15.75" customHeight="1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</row>
    <row r="424" ht="15.75" customHeight="1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</row>
    <row r="425" ht="15.75" customHeight="1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</row>
    <row r="426" ht="15.75" customHeight="1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</row>
    <row r="427" ht="15.75" customHeight="1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</row>
    <row r="428" ht="15.75" customHeight="1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</row>
    <row r="429" ht="15.75" customHeight="1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</row>
    <row r="430" ht="15.75" customHeight="1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</row>
    <row r="431" ht="15.75" customHeight="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</row>
    <row r="432" ht="15.75" customHeight="1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</row>
    <row r="433" ht="15.75" customHeight="1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</row>
    <row r="434" ht="15.75" customHeight="1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</row>
    <row r="435" ht="15.75" customHeight="1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</row>
    <row r="436" ht="15.75" customHeight="1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</row>
    <row r="437" ht="15.75" customHeight="1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</row>
    <row r="438" ht="15.75" customHeight="1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</row>
    <row r="439" ht="15.75" customHeight="1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</row>
    <row r="440" ht="15.75" customHeight="1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</row>
    <row r="441" ht="15.75" customHeight="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</row>
    <row r="442" ht="15.75" customHeight="1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</row>
    <row r="443" ht="15.75" customHeight="1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</row>
    <row r="444" ht="15.75" customHeight="1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</row>
    <row r="445" ht="15.75" customHeight="1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</row>
    <row r="446" ht="15.75" customHeight="1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</row>
    <row r="447" ht="15.75" customHeight="1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</row>
    <row r="448" ht="15.75" customHeight="1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</row>
    <row r="449" ht="15.75" customHeight="1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</row>
    <row r="450" ht="15.75" customHeight="1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</row>
    <row r="451" ht="15.75" customHeight="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</row>
    <row r="452" ht="15.75" customHeight="1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</row>
    <row r="453" ht="15.75" customHeight="1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</row>
    <row r="454" ht="15.75" customHeight="1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</row>
    <row r="455" ht="15.75" customHeight="1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</row>
    <row r="456" ht="15.75" customHeight="1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</row>
    <row r="457" ht="15.75" customHeight="1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</row>
    <row r="458" ht="15.75" customHeight="1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</row>
    <row r="459" ht="15.75" customHeight="1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</row>
    <row r="460" ht="15.75" customHeight="1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</row>
    <row r="461" ht="15.75" customHeight="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</row>
    <row r="462" ht="15.75" customHeight="1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</row>
    <row r="463" ht="15.75" customHeight="1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</row>
    <row r="464" ht="15.75" customHeight="1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</row>
    <row r="465" ht="15.75" customHeight="1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</row>
    <row r="466" ht="15.75" customHeight="1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</row>
    <row r="467" ht="15.75" customHeight="1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</row>
    <row r="468" ht="15.75" customHeight="1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</row>
    <row r="469" ht="15.75" customHeight="1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</row>
    <row r="470" ht="15.75" customHeight="1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</row>
    <row r="471" ht="15.75" customHeight="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</row>
    <row r="472" ht="15.75" customHeight="1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</row>
    <row r="473" ht="15.75" customHeight="1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</row>
    <row r="474" ht="15.75" customHeight="1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</row>
    <row r="475" ht="15.75" customHeight="1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</row>
    <row r="476" ht="15.75" customHeight="1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</row>
    <row r="477" ht="15.75" customHeight="1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</row>
    <row r="478" ht="15.75" customHeight="1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</row>
    <row r="479" ht="15.75" customHeight="1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</row>
    <row r="480" ht="15.75" customHeight="1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</row>
    <row r="481" ht="15.75" customHeight="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</row>
    <row r="482" ht="15.75" customHeight="1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</row>
    <row r="483" ht="15.75" customHeight="1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</row>
    <row r="484" ht="15.75" customHeight="1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</row>
    <row r="485" ht="15.75" customHeight="1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</row>
    <row r="486" ht="15.75" customHeight="1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</row>
    <row r="487" ht="15.75" customHeight="1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</row>
    <row r="488" ht="15.75" customHeight="1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</row>
    <row r="489" ht="15.75" customHeight="1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</row>
    <row r="490" ht="15.75" customHeight="1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</row>
    <row r="491" ht="15.75" customHeight="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</row>
    <row r="492" ht="15.75" customHeight="1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</row>
    <row r="493" ht="15.75" customHeight="1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</row>
    <row r="494" ht="15.7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</row>
    <row r="495" ht="15.75" customHeight="1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</row>
    <row r="496" ht="15.75" customHeight="1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</row>
    <row r="497" ht="15.75" customHeight="1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</row>
    <row r="498" ht="15.75" customHeight="1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</row>
    <row r="499" ht="15.75" customHeight="1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</row>
    <row r="500" ht="15.75" customHeight="1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</row>
    <row r="501" ht="15.75" customHeight="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</row>
    <row r="502" ht="15.75" customHeight="1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</row>
    <row r="503" ht="15.75" customHeight="1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</row>
    <row r="504" ht="15.75" customHeight="1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</row>
    <row r="505" ht="15.75" customHeight="1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</row>
    <row r="506" ht="15.75" customHeight="1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</row>
    <row r="507" ht="15.75" customHeight="1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</row>
    <row r="508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</row>
    <row r="509" ht="15.75" customHeight="1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</row>
    <row r="510" ht="15.7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</row>
    <row r="511" ht="15.75" customHeight="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</row>
    <row r="512" ht="15.75" customHeight="1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</row>
    <row r="513" ht="15.75" customHeight="1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</row>
    <row r="514" ht="15.75" customHeight="1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</row>
    <row r="515" ht="15.75" customHeight="1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</row>
    <row r="516" ht="15.75" customHeight="1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</row>
    <row r="517" ht="15.75" customHeight="1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</row>
    <row r="518" ht="15.75" customHeight="1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</row>
    <row r="519" ht="15.75" customHeight="1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</row>
    <row r="520" ht="15.75" customHeight="1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</row>
    <row r="521" ht="15.75" customHeight="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</row>
    <row r="522" ht="15.75" customHeight="1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</row>
    <row r="523" ht="15.75" customHeight="1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</row>
    <row r="524" ht="15.75" customHeight="1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</row>
    <row r="525" ht="15.75" customHeight="1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</row>
    <row r="526" ht="15.75" customHeight="1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</row>
    <row r="527" ht="15.75" customHeight="1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</row>
    <row r="528" ht="15.75" customHeight="1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</row>
    <row r="529" ht="15.75" customHeight="1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</row>
    <row r="530" ht="15.75" customHeight="1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</row>
    <row r="531" ht="15.75" customHeight="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</row>
    <row r="532" ht="15.75" customHeight="1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</row>
    <row r="533" ht="15.75" customHeight="1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</row>
    <row r="534" ht="15.75" customHeight="1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</row>
    <row r="535" ht="15.75" customHeight="1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</row>
    <row r="536" ht="15.75" customHeight="1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</row>
    <row r="537" ht="15.75" customHeight="1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</row>
    <row r="538" ht="15.75" customHeight="1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</row>
    <row r="539" ht="15.75" customHeight="1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</row>
    <row r="540" ht="15.75" customHeight="1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</row>
    <row r="541" ht="15.75" customHeight="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</row>
    <row r="542" ht="15.75" customHeight="1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</row>
    <row r="543" ht="15.75" customHeight="1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</row>
    <row r="544" ht="15.75" customHeight="1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</row>
    <row r="545" ht="15.75" customHeight="1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</row>
    <row r="546" ht="15.75" customHeight="1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</row>
    <row r="547" ht="15.75" customHeight="1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</row>
    <row r="548" ht="15.75" customHeight="1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</row>
    <row r="549" ht="15.75" customHeight="1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</row>
    <row r="550" ht="15.75" customHeight="1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</row>
    <row r="551" ht="15.75" customHeight="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</row>
    <row r="552" ht="15.75" customHeight="1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</row>
    <row r="553" ht="15.75" customHeight="1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</row>
    <row r="554" ht="15.75" customHeight="1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</row>
    <row r="555" ht="15.75" customHeight="1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</row>
    <row r="556" ht="15.75" customHeight="1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</row>
    <row r="557" ht="15.75" customHeight="1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</row>
    <row r="558" ht="15.75" customHeight="1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</row>
    <row r="559" ht="15.75" customHeight="1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</row>
    <row r="560" ht="15.75" customHeight="1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</row>
    <row r="561" ht="15.75" customHeight="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</row>
    <row r="562" ht="15.75" customHeight="1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</row>
    <row r="563" ht="15.75" customHeight="1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</row>
    <row r="564" ht="15.75" customHeight="1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</row>
    <row r="565" ht="15.75" customHeight="1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</row>
    <row r="566" ht="15.75" customHeight="1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</row>
    <row r="567" ht="15.75" customHeight="1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</row>
    <row r="568" ht="15.75" customHeight="1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</row>
    <row r="569" ht="15.75" customHeight="1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</row>
    <row r="570" ht="15.75" customHeight="1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</row>
    <row r="571" ht="15.75" customHeight="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</row>
    <row r="572" ht="15.75" customHeight="1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</row>
    <row r="573" ht="15.75" customHeight="1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</row>
    <row r="574" ht="15.75" customHeight="1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</row>
    <row r="575" ht="15.75" customHeight="1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</row>
    <row r="576" ht="15.75" customHeight="1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</row>
    <row r="577" ht="15.75" customHeight="1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</row>
    <row r="578" ht="15.75" customHeight="1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</row>
    <row r="579" ht="15.75" customHeight="1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</row>
    <row r="580" ht="15.75" customHeight="1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</row>
    <row r="581" ht="15.75" customHeight="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</row>
    <row r="582" ht="15.75" customHeight="1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</row>
    <row r="583" ht="15.75" customHeight="1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</row>
    <row r="584" ht="15.75" customHeight="1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</row>
    <row r="585" ht="15.75" customHeight="1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</row>
    <row r="586" ht="15.75" customHeight="1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</row>
    <row r="587" ht="15.75" customHeight="1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</row>
    <row r="588" ht="15.75" customHeight="1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</row>
    <row r="589" ht="15.75" customHeight="1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</row>
    <row r="590" ht="15.75" customHeight="1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</row>
    <row r="591" ht="15.75" customHeight="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</row>
    <row r="592" ht="15.75" customHeight="1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</row>
    <row r="593" ht="15.75" customHeight="1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</row>
    <row r="594" ht="15.75" customHeight="1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</row>
    <row r="595" ht="15.75" customHeight="1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</row>
    <row r="596" ht="15.75" customHeight="1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</row>
    <row r="597" ht="15.75" customHeight="1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</row>
    <row r="598" ht="15.75" customHeight="1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</row>
    <row r="599" ht="15.75" customHeight="1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</row>
    <row r="600" ht="15.75" customHeight="1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</row>
    <row r="601" ht="15.75" customHeight="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</row>
    <row r="602" ht="15.75" customHeight="1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</row>
    <row r="603" ht="15.75" customHeight="1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</row>
    <row r="604" ht="15.75" customHeight="1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</row>
    <row r="605" ht="15.75" customHeight="1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</row>
    <row r="606" ht="15.75" customHeight="1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</row>
    <row r="607" ht="15.75" customHeight="1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</row>
    <row r="608" ht="15.75" customHeight="1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</row>
    <row r="609" ht="15.75" customHeight="1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</row>
    <row r="610" ht="15.75" customHeight="1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</row>
    <row r="611" ht="15.75" customHeight="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</row>
    <row r="612" ht="15.75" customHeight="1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</row>
    <row r="613" ht="15.75" customHeight="1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</row>
    <row r="614" ht="15.75" customHeight="1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</row>
    <row r="615" ht="15.75" customHeight="1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</row>
    <row r="616" ht="15.75" customHeight="1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</row>
    <row r="617" ht="15.75" customHeight="1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</row>
    <row r="618" ht="15.75" customHeight="1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</row>
    <row r="619" ht="15.75" customHeight="1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</row>
    <row r="620" ht="15.75" customHeight="1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</row>
    <row r="621" ht="15.75" customHeight="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</row>
    <row r="622" ht="15.75" customHeight="1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</row>
    <row r="623" ht="15.75" customHeight="1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</row>
    <row r="624" ht="15.75" customHeight="1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</row>
    <row r="625" ht="15.75" customHeight="1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</row>
    <row r="626" ht="15.75" customHeight="1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</row>
    <row r="627" ht="15.75" customHeight="1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</row>
    <row r="628" ht="15.75" customHeight="1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</row>
    <row r="629" ht="15.75" customHeight="1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</row>
    <row r="630" ht="15.75" customHeight="1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</row>
    <row r="631" ht="15.75" customHeight="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</row>
    <row r="632" ht="15.75" customHeight="1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</row>
    <row r="633" ht="15.75" customHeight="1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</row>
    <row r="634" ht="15.75" customHeight="1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</row>
    <row r="635" ht="15.75" customHeight="1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</row>
    <row r="636" ht="15.75" customHeight="1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</row>
    <row r="637" ht="15.75" customHeight="1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</row>
    <row r="638" ht="15.75" customHeight="1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</row>
    <row r="639" ht="15.75" customHeight="1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</row>
    <row r="640" ht="15.75" customHeight="1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</row>
    <row r="641" ht="15.75" customHeight="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</row>
    <row r="642" ht="15.75" customHeight="1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</row>
    <row r="643" ht="15.75" customHeight="1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</row>
    <row r="644" ht="15.75" customHeight="1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</row>
    <row r="645" ht="15.75" customHeight="1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</row>
    <row r="646" ht="15.75" customHeight="1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</row>
    <row r="647" ht="15.75" customHeight="1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</row>
    <row r="648" ht="15.75" customHeight="1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</row>
    <row r="649" ht="15.75" customHeight="1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</row>
    <row r="650" ht="15.75" customHeight="1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</row>
    <row r="651" ht="15.75" customHeight="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</row>
    <row r="652" ht="15.75" customHeight="1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</row>
    <row r="653" ht="15.75" customHeight="1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</row>
    <row r="654" ht="15.75" customHeight="1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</row>
    <row r="655" ht="15.75" customHeight="1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</row>
    <row r="656" ht="15.75" customHeight="1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</row>
    <row r="657" ht="15.75" customHeight="1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</row>
    <row r="658" ht="15.75" customHeight="1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</row>
    <row r="659" ht="15.75" customHeight="1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</row>
    <row r="660" ht="15.75" customHeight="1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</row>
    <row r="661" ht="15.75" customHeight="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</row>
    <row r="662" ht="15.75" customHeight="1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</row>
    <row r="663" ht="15.75" customHeight="1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</row>
    <row r="664" ht="15.75" customHeight="1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</row>
    <row r="665" ht="15.75" customHeight="1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</row>
    <row r="666" ht="15.75" customHeight="1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</row>
    <row r="667" ht="15.75" customHeight="1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</row>
    <row r="668" ht="15.75" customHeight="1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</row>
    <row r="669" ht="15.75" customHeight="1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</row>
    <row r="670" ht="15.75" customHeight="1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</row>
    <row r="671" ht="15.75" customHeight="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</row>
    <row r="672" ht="15.75" customHeight="1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</row>
    <row r="673" ht="15.75" customHeight="1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</row>
    <row r="674" ht="15.75" customHeight="1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</row>
    <row r="675" ht="15.75" customHeight="1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</row>
    <row r="676" ht="15.75" customHeight="1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</row>
    <row r="677" ht="15.75" customHeight="1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</row>
    <row r="678" ht="15.75" customHeight="1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</row>
    <row r="679" ht="15.75" customHeight="1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</row>
    <row r="680" ht="15.75" customHeight="1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</row>
    <row r="681" ht="15.75" customHeight="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</row>
    <row r="682" ht="15.75" customHeight="1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</row>
    <row r="683" ht="15.75" customHeight="1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</row>
    <row r="684" ht="15.75" customHeight="1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</row>
    <row r="685" ht="15.75" customHeight="1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</row>
    <row r="686" ht="15.75" customHeight="1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</row>
    <row r="687" ht="15.75" customHeight="1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</row>
    <row r="688" ht="15.75" customHeight="1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</row>
    <row r="689" ht="15.75" customHeight="1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</row>
    <row r="690" ht="15.75" customHeight="1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</row>
    <row r="691" ht="15.75" customHeight="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</row>
    <row r="692" ht="15.75" customHeight="1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</row>
    <row r="693" ht="15.75" customHeight="1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</row>
    <row r="694" ht="15.75" customHeight="1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</row>
    <row r="695" ht="15.75" customHeight="1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</row>
    <row r="696" ht="15.75" customHeight="1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</row>
    <row r="697" ht="15.75" customHeight="1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</row>
    <row r="698" ht="15.75" customHeight="1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</row>
    <row r="699" ht="15.75" customHeight="1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</row>
    <row r="700" ht="15.75" customHeight="1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</row>
    <row r="701" ht="15.75" customHeight="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</row>
    <row r="702" ht="15.75" customHeight="1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</row>
    <row r="703" ht="15.75" customHeight="1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</row>
    <row r="704" ht="15.75" customHeight="1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</row>
    <row r="705" ht="15.75" customHeight="1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</row>
    <row r="706" ht="15.75" customHeight="1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</row>
    <row r="707" ht="15.75" customHeight="1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</row>
    <row r="708" ht="15.75" customHeight="1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</row>
    <row r="709" ht="15.75" customHeight="1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</row>
    <row r="710" ht="15.75" customHeight="1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</row>
    <row r="711" ht="15.75" customHeight="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</row>
    <row r="712" ht="15.75" customHeight="1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</row>
    <row r="713" ht="15.75" customHeight="1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</row>
    <row r="714" ht="15.75" customHeight="1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</row>
    <row r="715" ht="15.75" customHeight="1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</row>
    <row r="716" ht="15.75" customHeight="1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</row>
    <row r="717" ht="15.75" customHeight="1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</row>
    <row r="718" ht="15.75" customHeight="1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</row>
    <row r="719" ht="15.75" customHeight="1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</row>
    <row r="720" ht="15.75" customHeight="1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</row>
    <row r="721" ht="15.75" customHeight="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</row>
    <row r="722" ht="15.75" customHeight="1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</row>
    <row r="723" ht="15.75" customHeight="1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</row>
    <row r="724" ht="15.75" customHeight="1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</row>
    <row r="725" ht="15.75" customHeight="1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</row>
    <row r="726" ht="15.75" customHeight="1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</row>
    <row r="727" ht="15.75" customHeight="1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</row>
    <row r="728" ht="15.75" customHeight="1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</row>
    <row r="729" ht="15.75" customHeight="1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</row>
    <row r="730" ht="15.75" customHeight="1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</row>
    <row r="731" ht="15.75" customHeight="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</row>
    <row r="732" ht="15.75" customHeight="1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</row>
    <row r="733" ht="15.75" customHeight="1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</row>
    <row r="734" ht="15.75" customHeight="1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</row>
    <row r="735" ht="15.75" customHeight="1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</row>
    <row r="736" ht="15.75" customHeight="1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</row>
    <row r="737" ht="15.75" customHeight="1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</row>
    <row r="738" ht="15.75" customHeight="1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</row>
    <row r="739" ht="15.75" customHeight="1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</row>
    <row r="740" ht="15.75" customHeight="1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</row>
    <row r="741" ht="15.75" customHeight="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</row>
    <row r="742" ht="15.75" customHeight="1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</row>
    <row r="743" ht="15.75" customHeight="1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</row>
    <row r="744" ht="15.75" customHeight="1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</row>
    <row r="745" ht="15.75" customHeight="1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</row>
    <row r="746" ht="15.75" customHeight="1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</row>
    <row r="747" ht="15.75" customHeight="1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</row>
    <row r="748" ht="15.75" customHeight="1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</row>
    <row r="749" ht="15.75" customHeight="1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</row>
    <row r="750" ht="15.75" customHeight="1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</row>
    <row r="751" ht="15.75" customHeight="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</row>
    <row r="752" ht="15.75" customHeight="1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</row>
    <row r="753" ht="15.75" customHeight="1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</row>
    <row r="754" ht="15.75" customHeight="1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</row>
    <row r="755" ht="15.75" customHeight="1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</row>
    <row r="756" ht="15.75" customHeight="1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</row>
    <row r="757" ht="15.75" customHeight="1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</row>
    <row r="758" ht="15.75" customHeight="1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</row>
    <row r="759" ht="15.75" customHeight="1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</row>
    <row r="760" ht="15.75" customHeight="1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</row>
    <row r="761" ht="15.75" customHeight="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</row>
    <row r="762" ht="15.75" customHeight="1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</row>
    <row r="763" ht="15.75" customHeight="1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</row>
    <row r="764" ht="15.75" customHeight="1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</row>
    <row r="765" ht="15.75" customHeight="1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</row>
    <row r="766" ht="15.75" customHeight="1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</row>
    <row r="767" ht="15.75" customHeight="1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</row>
    <row r="768" ht="15.75" customHeight="1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</row>
    <row r="769" ht="15.75" customHeight="1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</row>
    <row r="770" ht="15.75" customHeight="1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</row>
    <row r="771" ht="15.75" customHeight="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</row>
    <row r="772" ht="15.75" customHeight="1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</row>
    <row r="773" ht="15.75" customHeight="1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</row>
    <row r="774" ht="15.75" customHeight="1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</row>
    <row r="775" ht="15.75" customHeight="1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</row>
    <row r="776" ht="15.75" customHeight="1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</row>
    <row r="777" ht="15.75" customHeight="1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</row>
    <row r="778" ht="15.75" customHeight="1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</row>
    <row r="779" ht="15.75" customHeight="1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</row>
    <row r="780" ht="15.75" customHeight="1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</row>
    <row r="781" ht="15.75" customHeight="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</row>
    <row r="782" ht="15.75" customHeight="1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</row>
    <row r="783" ht="15.75" customHeight="1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</row>
    <row r="784" ht="15.75" customHeight="1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</row>
    <row r="785" ht="15.75" customHeight="1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</row>
    <row r="786" ht="15.75" customHeight="1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</row>
    <row r="787" ht="15.75" customHeight="1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</row>
    <row r="788" ht="15.75" customHeight="1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</row>
    <row r="789" ht="15.75" customHeight="1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</row>
    <row r="790" ht="15.75" customHeight="1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</row>
    <row r="791" ht="15.75" customHeight="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</row>
    <row r="792" ht="15.75" customHeight="1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</row>
    <row r="793" ht="15.75" customHeight="1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</row>
    <row r="794" ht="15.75" customHeight="1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</row>
    <row r="795" ht="15.75" customHeight="1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</row>
    <row r="796" ht="15.75" customHeight="1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</row>
    <row r="797" ht="15.75" customHeight="1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</row>
    <row r="798" ht="15.75" customHeight="1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</row>
    <row r="799" ht="15.75" customHeight="1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</row>
    <row r="800" ht="15.75" customHeight="1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</row>
    <row r="801" ht="15.75" customHeight="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</row>
    <row r="802" ht="15.75" customHeight="1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</row>
    <row r="803" ht="15.75" customHeight="1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</row>
    <row r="804" ht="15.75" customHeight="1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</row>
    <row r="805" ht="15.75" customHeight="1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</row>
    <row r="806" ht="15.75" customHeight="1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</row>
    <row r="807" ht="15.75" customHeight="1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</row>
    <row r="808" ht="15.75" customHeight="1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</row>
    <row r="809" ht="15.75" customHeight="1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</row>
    <row r="810" ht="15.75" customHeight="1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</row>
    <row r="811" ht="15.75" customHeight="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</row>
    <row r="812" ht="15.75" customHeight="1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</row>
    <row r="813" ht="15.75" customHeight="1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</row>
    <row r="814" ht="15.75" customHeight="1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</row>
    <row r="815" ht="15.75" customHeight="1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</row>
    <row r="816" ht="15.75" customHeight="1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</row>
    <row r="817" ht="15.75" customHeight="1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</row>
    <row r="818" ht="15.75" customHeight="1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</row>
    <row r="819" ht="15.75" customHeight="1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</row>
    <row r="820" ht="15.75" customHeight="1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</row>
    <row r="821" ht="15.75" customHeight="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</row>
    <row r="822" ht="15.75" customHeight="1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</row>
    <row r="823" ht="15.75" customHeight="1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</row>
    <row r="824" ht="15.75" customHeight="1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</row>
    <row r="825" ht="15.75" customHeight="1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</row>
    <row r="826" ht="15.75" customHeight="1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</row>
    <row r="827" ht="15.75" customHeight="1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</row>
    <row r="828" ht="15.75" customHeight="1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</row>
    <row r="829" ht="15.75" customHeight="1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</row>
    <row r="830" ht="15.75" customHeight="1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</row>
    <row r="831" ht="15.75" customHeight="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</row>
    <row r="832" ht="15.75" customHeight="1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</row>
    <row r="833" ht="15.75" customHeight="1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</row>
    <row r="834" ht="15.75" customHeight="1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</row>
    <row r="835" ht="15.75" customHeight="1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</row>
    <row r="836" ht="15.75" customHeight="1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</row>
    <row r="837" ht="15.75" customHeight="1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</row>
    <row r="838" ht="15.75" customHeight="1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</row>
    <row r="839" ht="15.75" customHeight="1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</row>
    <row r="840" ht="15.75" customHeight="1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</row>
    <row r="841" ht="15.75" customHeight="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</row>
    <row r="842" ht="15.75" customHeight="1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</row>
    <row r="843" ht="15.75" customHeight="1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</row>
    <row r="844" ht="15.75" customHeight="1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</row>
    <row r="845" ht="15.75" customHeight="1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</row>
    <row r="846" ht="15.75" customHeight="1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</row>
    <row r="847" ht="15.75" customHeight="1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</row>
    <row r="848" ht="15.75" customHeight="1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</row>
    <row r="849" ht="15.75" customHeight="1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</row>
    <row r="850" ht="15.75" customHeight="1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</row>
    <row r="851" ht="15.75" customHeight="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</row>
    <row r="852" ht="15.75" customHeight="1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</row>
    <row r="853" ht="15.75" customHeight="1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</row>
    <row r="854" ht="15.75" customHeight="1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</row>
    <row r="855" ht="15.75" customHeight="1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</row>
    <row r="856" ht="15.75" customHeight="1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</row>
    <row r="857" ht="15.75" customHeight="1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</row>
    <row r="858" ht="15.75" customHeight="1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</row>
    <row r="859" ht="15.75" customHeight="1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</row>
    <row r="860" ht="15.75" customHeight="1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</row>
    <row r="861" ht="15.75" customHeight="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</row>
    <row r="862" ht="15.75" customHeight="1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</row>
    <row r="863" ht="15.75" customHeight="1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</row>
    <row r="864" ht="15.75" customHeight="1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</row>
    <row r="865" ht="15.75" customHeight="1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</row>
    <row r="866" ht="15.75" customHeight="1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</row>
    <row r="867" ht="15.75" customHeight="1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</row>
    <row r="868" ht="15.75" customHeight="1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</row>
    <row r="869" ht="15.75" customHeight="1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</row>
    <row r="870" ht="15.75" customHeight="1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</row>
    <row r="871" ht="15.75" customHeight="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</row>
    <row r="872" ht="15.75" customHeight="1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</row>
    <row r="873" ht="15.75" customHeight="1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</row>
    <row r="874" ht="15.75" customHeight="1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</row>
    <row r="875" ht="15.75" customHeight="1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</row>
    <row r="876" ht="15.75" customHeight="1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</row>
    <row r="877" ht="15.75" customHeight="1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</row>
    <row r="878" ht="15.75" customHeight="1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</row>
    <row r="879" ht="15.75" customHeight="1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</row>
    <row r="880" ht="15.75" customHeight="1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</row>
    <row r="881" ht="15.75" customHeight="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</row>
    <row r="882" ht="15.75" customHeight="1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</row>
    <row r="883" ht="15.75" customHeight="1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</row>
    <row r="884" ht="15.75" customHeight="1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</row>
    <row r="885" ht="15.75" customHeight="1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</row>
    <row r="886" ht="15.75" customHeight="1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</row>
    <row r="887" ht="15.75" customHeight="1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</row>
    <row r="888" ht="15.75" customHeight="1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</row>
    <row r="889" ht="15.75" customHeight="1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</row>
    <row r="890" ht="15.75" customHeight="1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</row>
    <row r="891" ht="15.75" customHeight="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</row>
    <row r="892" ht="15.75" customHeight="1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</row>
    <row r="893" ht="15.75" customHeight="1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</row>
    <row r="894" ht="15.75" customHeight="1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</row>
    <row r="895" ht="15.75" customHeight="1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</row>
    <row r="896" ht="15.75" customHeight="1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</row>
    <row r="897" ht="15.75" customHeight="1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</row>
    <row r="898" ht="15.75" customHeight="1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</row>
    <row r="899" ht="15.75" customHeight="1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</row>
    <row r="900" ht="15.75" customHeight="1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</row>
    <row r="901" ht="15.75" customHeight="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</row>
    <row r="902" ht="15.75" customHeight="1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</row>
    <row r="903" ht="15.75" customHeight="1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</row>
    <row r="904" ht="15.75" customHeight="1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</row>
    <row r="905" ht="15.75" customHeight="1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</row>
    <row r="906" ht="15.75" customHeight="1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</row>
    <row r="907" ht="15.75" customHeight="1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</row>
    <row r="908" ht="15.75" customHeight="1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</row>
    <row r="909" ht="15.75" customHeight="1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</row>
    <row r="910" ht="15.75" customHeight="1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</row>
    <row r="911" ht="15.75" customHeight="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</row>
    <row r="912" ht="15.75" customHeight="1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</row>
    <row r="913" ht="15.75" customHeight="1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</row>
    <row r="914" ht="15.75" customHeight="1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</row>
    <row r="915" ht="15.75" customHeight="1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</row>
    <row r="916" ht="15.75" customHeight="1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</row>
    <row r="917" ht="15.75" customHeight="1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</row>
    <row r="918" ht="15.75" customHeight="1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</row>
    <row r="919" ht="15.75" customHeight="1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</row>
    <row r="920" ht="15.75" customHeight="1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</row>
    <row r="921" ht="15.75" customHeight="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</row>
    <row r="922" ht="15.75" customHeight="1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</row>
    <row r="923" ht="15.75" customHeight="1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</row>
    <row r="924" ht="15.75" customHeight="1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</row>
    <row r="925" ht="15.75" customHeight="1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</row>
    <row r="926" ht="15.75" customHeight="1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</row>
    <row r="927" ht="15.75" customHeight="1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</row>
    <row r="928" ht="15.75" customHeight="1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</row>
    <row r="929" ht="15.75" customHeight="1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</row>
    <row r="930" ht="15.75" customHeight="1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</row>
    <row r="931" ht="15.75" customHeight="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</row>
    <row r="932" ht="15.75" customHeight="1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</row>
    <row r="933" ht="15.75" customHeight="1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</row>
    <row r="934" ht="15.75" customHeight="1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</row>
    <row r="935" ht="15.75" customHeight="1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</row>
    <row r="936" ht="15.75" customHeight="1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</row>
    <row r="937" ht="15.75" customHeight="1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</row>
    <row r="938" ht="15.75" customHeight="1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</row>
    <row r="939" ht="15.75" customHeight="1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</row>
    <row r="940" ht="15.75" customHeight="1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</row>
    <row r="941" ht="15.75" customHeight="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</row>
    <row r="942" ht="15.75" customHeight="1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</row>
    <row r="943" ht="15.75" customHeight="1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</row>
    <row r="944" ht="15.75" customHeight="1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</row>
    <row r="945" ht="15.75" customHeight="1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</row>
    <row r="946" ht="15.75" customHeight="1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</row>
    <row r="947" ht="15.75" customHeight="1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</row>
    <row r="948" ht="15.75" customHeight="1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</row>
    <row r="949" ht="15.75" customHeight="1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</row>
    <row r="950" ht="15.75" customHeight="1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</row>
    <row r="951" ht="15.75" customHeight="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</row>
    <row r="952" ht="15.75" customHeight="1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</row>
    <row r="953" ht="15.75" customHeight="1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</row>
    <row r="954" ht="15.75" customHeight="1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</row>
    <row r="955" ht="15.75" customHeight="1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</row>
    <row r="956" ht="15.75" customHeight="1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</row>
    <row r="957" ht="15.75" customHeight="1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</row>
    <row r="958" ht="15.75" customHeight="1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</row>
    <row r="959" ht="15.75" customHeight="1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</row>
    <row r="960" ht="15.75" customHeight="1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</row>
    <row r="961" ht="15.75" customHeight="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</row>
    <row r="962" ht="15.75" customHeight="1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</row>
    <row r="963" ht="15.75" customHeight="1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</row>
    <row r="964" ht="15.75" customHeight="1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</row>
    <row r="965" ht="15.75" customHeight="1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</row>
    <row r="966" ht="15.75" customHeight="1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</row>
    <row r="967" ht="15.75" customHeight="1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</row>
    <row r="968" ht="15.75" customHeight="1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</row>
    <row r="969" ht="15.75" customHeight="1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</row>
    <row r="970" ht="15.75" customHeight="1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</row>
    <row r="971" ht="15.75" customHeight="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</row>
    <row r="972" ht="15.75" customHeight="1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</row>
    <row r="973" ht="15.75" customHeight="1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</row>
    <row r="974" ht="15.75" customHeight="1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</row>
    <row r="975" ht="15.75" customHeight="1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</row>
    <row r="976" ht="15.75" customHeight="1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</row>
    <row r="977" ht="15.75" customHeight="1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</row>
    <row r="978" ht="15.75" customHeight="1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</row>
    <row r="979" ht="15.75" customHeight="1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</row>
    <row r="980" ht="15.75" customHeight="1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</row>
    <row r="981" ht="15.75" customHeight="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</row>
    <row r="982" ht="15.75" customHeight="1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</row>
    <row r="983" ht="15.75" customHeight="1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</row>
    <row r="984" ht="15.75" customHeight="1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</row>
    <row r="985" ht="15.75" customHeight="1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</row>
    <row r="986" ht="15.75" customHeight="1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</row>
    <row r="987" ht="15.75" customHeight="1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</row>
    <row r="988" ht="15.75" customHeight="1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</row>
    <row r="989" ht="15.75" customHeight="1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</row>
    <row r="990" ht="15.75" customHeight="1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</row>
    <row r="991" ht="15.75" customHeight="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</row>
    <row r="992" ht="15.75" customHeight="1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</row>
    <row r="993" ht="15.75" customHeight="1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</row>
    <row r="994" ht="15.75" customHeight="1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</row>
    <row r="995" ht="15.75" customHeight="1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</row>
    <row r="996" ht="15.75" customHeight="1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</row>
    <row r="997" ht="15.75" customHeight="1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</row>
    <row r="998" ht="15.75" customHeight="1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</row>
    <row r="999" ht="15.75" customHeight="1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</row>
    <row r="1000" ht="15.75" customHeight="1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3.57"/>
    <col customWidth="1" min="2" max="2" width="5.71"/>
    <col customWidth="1" min="3" max="3" width="12.43"/>
    <col customWidth="1" min="4" max="5" width="18.57"/>
    <col customWidth="1" min="6" max="6" width="12.29"/>
    <col customWidth="1" min="7" max="7" width="7.86"/>
    <col customWidth="1" min="8" max="10" width="8.71"/>
    <col customWidth="1" min="11" max="11" width="8.29"/>
    <col customWidth="1" min="12" max="12" width="9.71"/>
    <col customWidth="1" min="13" max="13" width="12.57"/>
    <col customWidth="1" min="14" max="14" width="31.0"/>
    <col customWidth="1" min="15" max="15" width="7.86"/>
    <col customWidth="1" min="16" max="16" width="7.57"/>
    <col customWidth="1" min="17" max="28" width="8.71"/>
  </cols>
  <sheetData>
    <row r="1" ht="29.25" customHeight="1">
      <c r="A1" s="152" t="s">
        <v>0</v>
      </c>
      <c r="B1" s="152" t="s">
        <v>1</v>
      </c>
      <c r="C1" s="153" t="s">
        <v>2</v>
      </c>
      <c r="D1" s="153" t="s">
        <v>3</v>
      </c>
      <c r="E1" s="153" t="s">
        <v>4</v>
      </c>
      <c r="F1" s="153" t="s">
        <v>6</v>
      </c>
      <c r="G1" s="153" t="s">
        <v>7</v>
      </c>
      <c r="H1" s="153" t="s">
        <v>8</v>
      </c>
      <c r="I1" s="153" t="s">
        <v>9</v>
      </c>
      <c r="J1" s="153" t="s">
        <v>10</v>
      </c>
      <c r="K1" s="154" t="s">
        <v>11</v>
      </c>
      <c r="L1" s="154" t="s">
        <v>12</v>
      </c>
      <c r="M1" s="153" t="s">
        <v>13</v>
      </c>
      <c r="N1" s="153" t="s">
        <v>14</v>
      </c>
      <c r="O1" s="153" t="s">
        <v>15</v>
      </c>
      <c r="P1" s="153" t="s">
        <v>16</v>
      </c>
      <c r="Q1" s="153" t="s">
        <v>18</v>
      </c>
      <c r="R1" s="155" t="s">
        <v>19</v>
      </c>
      <c r="S1" s="156" t="s">
        <v>20</v>
      </c>
      <c r="T1" s="156" t="s">
        <v>21</v>
      </c>
      <c r="U1" s="156" t="s">
        <v>22</v>
      </c>
      <c r="V1" s="157" t="s">
        <v>23</v>
      </c>
      <c r="W1" s="157" t="s">
        <v>24</v>
      </c>
      <c r="X1" s="158"/>
      <c r="Y1" s="159"/>
      <c r="Z1" s="159"/>
      <c r="AA1" s="159"/>
      <c r="AB1" s="159"/>
    </row>
    <row r="2" ht="14.25" customHeight="1">
      <c r="A2" s="160">
        <v>1.0</v>
      </c>
      <c r="B2" s="160" t="s">
        <v>25</v>
      </c>
      <c r="C2" s="161" t="s">
        <v>26</v>
      </c>
      <c r="D2" s="162">
        <v>6.0</v>
      </c>
      <c r="E2" s="163">
        <v>7.0</v>
      </c>
      <c r="F2" s="161"/>
      <c r="G2" s="164">
        <v>49.0</v>
      </c>
      <c r="H2" s="161"/>
      <c r="I2" s="161">
        <f t="shared" ref="I2:I61" si="1">max(0,K2-G2)</f>
        <v>100</v>
      </c>
      <c r="J2" s="165"/>
      <c r="K2" s="166">
        <v>149.0</v>
      </c>
      <c r="L2" s="161">
        <f t="shared" ref="L2:L61" si="2">J2+H2</f>
        <v>0</v>
      </c>
      <c r="M2" s="161">
        <f t="shared" ref="M2:M61" si="3">G2+H2+I2+J2</f>
        <v>149</v>
      </c>
      <c r="N2" s="167"/>
      <c r="O2" s="161">
        <v>16.904</v>
      </c>
      <c r="P2" s="161">
        <v>12.699</v>
      </c>
      <c r="Q2" s="161">
        <f t="shared" ref="Q2:Q61" si="4">(D2*O2)+(E2*P2)</f>
        <v>190.317</v>
      </c>
      <c r="R2" s="168">
        <v>504542.0</v>
      </c>
      <c r="S2" s="169">
        <v>504637.0</v>
      </c>
      <c r="T2" s="169">
        <v>504637.0</v>
      </c>
      <c r="U2" s="169">
        <v>504748.0</v>
      </c>
      <c r="V2" s="170">
        <f t="shared" ref="V2:V10" si="5">S2-R2</f>
        <v>95</v>
      </c>
      <c r="W2" s="170">
        <f t="shared" ref="W2:W61" si="6">U2-T2</f>
        <v>111</v>
      </c>
      <c r="X2" s="42"/>
      <c r="Y2" s="42"/>
      <c r="Z2" s="42"/>
      <c r="AA2" s="42"/>
      <c r="AB2" s="42"/>
    </row>
    <row r="3" ht="14.25" customHeight="1">
      <c r="A3" s="160">
        <v>2.0</v>
      </c>
      <c r="B3" s="160" t="s">
        <v>25</v>
      </c>
      <c r="C3" s="161" t="s">
        <v>27</v>
      </c>
      <c r="D3" s="171">
        <v>7.0</v>
      </c>
      <c r="E3" s="163">
        <v>7.0</v>
      </c>
      <c r="F3" s="161"/>
      <c r="G3" s="164">
        <v>34.0</v>
      </c>
      <c r="H3" s="161"/>
      <c r="I3" s="161">
        <f t="shared" si="1"/>
        <v>104</v>
      </c>
      <c r="J3" s="165"/>
      <c r="K3" s="166">
        <v>138.0</v>
      </c>
      <c r="L3" s="161">
        <f t="shared" si="2"/>
        <v>0</v>
      </c>
      <c r="M3" s="161">
        <f t="shared" si="3"/>
        <v>138</v>
      </c>
      <c r="N3" s="167"/>
      <c r="O3" s="161">
        <v>16.904</v>
      </c>
      <c r="P3" s="161">
        <v>12.699</v>
      </c>
      <c r="Q3" s="161">
        <f t="shared" si="4"/>
        <v>207.221</v>
      </c>
      <c r="R3" s="168">
        <v>507175.0</v>
      </c>
      <c r="S3" s="169">
        <v>507265.0</v>
      </c>
      <c r="T3" s="169">
        <v>507265.0</v>
      </c>
      <c r="U3" s="169">
        <v>507385.0</v>
      </c>
      <c r="V3" s="170">
        <f t="shared" si="5"/>
        <v>90</v>
      </c>
      <c r="W3" s="170">
        <f t="shared" si="6"/>
        <v>120</v>
      </c>
      <c r="X3" s="42"/>
      <c r="Y3" s="42"/>
      <c r="Z3" s="42"/>
      <c r="AA3" s="42"/>
      <c r="AB3" s="42"/>
    </row>
    <row r="4" ht="14.25" customHeight="1">
      <c r="A4" s="160">
        <v>3.0</v>
      </c>
      <c r="B4" s="160" t="s">
        <v>25</v>
      </c>
      <c r="C4" s="161" t="s">
        <v>28</v>
      </c>
      <c r="D4" s="171">
        <v>7.0</v>
      </c>
      <c r="E4" s="163">
        <v>7.0</v>
      </c>
      <c r="F4" s="161"/>
      <c r="G4" s="164">
        <v>42.0</v>
      </c>
      <c r="H4" s="161"/>
      <c r="I4" s="161">
        <f t="shared" si="1"/>
        <v>77</v>
      </c>
      <c r="J4" s="165"/>
      <c r="K4" s="166">
        <v>119.0</v>
      </c>
      <c r="L4" s="161">
        <f t="shared" si="2"/>
        <v>0</v>
      </c>
      <c r="M4" s="161">
        <f t="shared" si="3"/>
        <v>119</v>
      </c>
      <c r="N4" s="167"/>
      <c r="O4" s="161">
        <v>16.904</v>
      </c>
      <c r="P4" s="161">
        <v>12.699</v>
      </c>
      <c r="Q4" s="161">
        <f t="shared" si="4"/>
        <v>207.221</v>
      </c>
      <c r="R4" s="168">
        <v>513020.0</v>
      </c>
      <c r="S4" s="168">
        <v>513110.0</v>
      </c>
      <c r="T4" s="168">
        <v>513110.0</v>
      </c>
      <c r="U4" s="169">
        <v>513230.0</v>
      </c>
      <c r="V4" s="170">
        <f t="shared" si="5"/>
        <v>90</v>
      </c>
      <c r="W4" s="170">
        <f t="shared" si="6"/>
        <v>120</v>
      </c>
      <c r="X4" s="42"/>
      <c r="Y4" s="42"/>
      <c r="Z4" s="42"/>
      <c r="AA4" s="42"/>
      <c r="AB4" s="42"/>
    </row>
    <row r="5" ht="14.25" customHeight="1">
      <c r="A5" s="160">
        <v>4.0</v>
      </c>
      <c r="B5" s="160" t="s">
        <v>25</v>
      </c>
      <c r="C5" s="172" t="s">
        <v>29</v>
      </c>
      <c r="D5" s="173">
        <v>5.0</v>
      </c>
      <c r="E5" s="173">
        <v>4.0</v>
      </c>
      <c r="F5" s="172"/>
      <c r="G5" s="173">
        <v>19.0</v>
      </c>
      <c r="H5" s="172"/>
      <c r="I5" s="172">
        <f t="shared" si="1"/>
        <v>69</v>
      </c>
      <c r="J5" s="174"/>
      <c r="K5" s="175">
        <v>88.0</v>
      </c>
      <c r="L5" s="172">
        <f t="shared" si="2"/>
        <v>0</v>
      </c>
      <c r="M5" s="172">
        <f t="shared" si="3"/>
        <v>88</v>
      </c>
      <c r="N5" s="176" t="s">
        <v>108</v>
      </c>
      <c r="O5" s="172">
        <v>16.904</v>
      </c>
      <c r="P5" s="172">
        <v>12.699</v>
      </c>
      <c r="Q5" s="172">
        <f t="shared" si="4"/>
        <v>135.316</v>
      </c>
      <c r="R5" s="177">
        <v>202451.0</v>
      </c>
      <c r="S5" s="177">
        <v>202498.0</v>
      </c>
      <c r="T5" s="177">
        <v>202507.0</v>
      </c>
      <c r="U5" s="178">
        <v>202597.0</v>
      </c>
      <c r="V5" s="179">
        <f t="shared" si="5"/>
        <v>47</v>
      </c>
      <c r="W5" s="179">
        <f t="shared" si="6"/>
        <v>90</v>
      </c>
      <c r="X5" s="42"/>
      <c r="Y5" s="42"/>
      <c r="Z5" s="42"/>
      <c r="AA5" s="42"/>
      <c r="AB5" s="42"/>
    </row>
    <row r="6" ht="14.25" customHeight="1">
      <c r="A6" s="160">
        <v>5.0</v>
      </c>
      <c r="B6" s="160" t="s">
        <v>25</v>
      </c>
      <c r="C6" s="161" t="s">
        <v>30</v>
      </c>
      <c r="D6" s="171">
        <v>7.0</v>
      </c>
      <c r="E6" s="163">
        <v>7.0</v>
      </c>
      <c r="F6" s="161"/>
      <c r="G6" s="164">
        <v>53.0</v>
      </c>
      <c r="H6" s="161"/>
      <c r="I6" s="161">
        <f t="shared" si="1"/>
        <v>97</v>
      </c>
      <c r="J6" s="165"/>
      <c r="K6" s="166">
        <v>150.0</v>
      </c>
      <c r="L6" s="161">
        <f t="shared" si="2"/>
        <v>0</v>
      </c>
      <c r="M6" s="161">
        <f t="shared" si="3"/>
        <v>150</v>
      </c>
      <c r="N6" s="167"/>
      <c r="O6" s="161">
        <v>16.904</v>
      </c>
      <c r="P6" s="161">
        <v>12.699</v>
      </c>
      <c r="Q6" s="161">
        <f t="shared" si="4"/>
        <v>207.221</v>
      </c>
      <c r="R6" s="168">
        <v>484965.0</v>
      </c>
      <c r="S6" s="168">
        <v>485055.0</v>
      </c>
      <c r="T6" s="168">
        <v>485055.0</v>
      </c>
      <c r="U6" s="169">
        <v>485175.0</v>
      </c>
      <c r="V6" s="170">
        <f t="shared" si="5"/>
        <v>90</v>
      </c>
      <c r="W6" s="170">
        <f t="shared" si="6"/>
        <v>120</v>
      </c>
      <c r="X6" s="42"/>
      <c r="Y6" s="42"/>
      <c r="Z6" s="42"/>
      <c r="AA6" s="42"/>
      <c r="AB6" s="42"/>
    </row>
    <row r="7" ht="14.25" customHeight="1">
      <c r="A7" s="160">
        <v>6.0</v>
      </c>
      <c r="B7" s="160" t="s">
        <v>25</v>
      </c>
      <c r="C7" s="161" t="s">
        <v>31</v>
      </c>
      <c r="D7" s="171">
        <v>7.0</v>
      </c>
      <c r="E7" s="163">
        <v>7.0</v>
      </c>
      <c r="F7" s="161"/>
      <c r="G7" s="164">
        <v>45.0</v>
      </c>
      <c r="H7" s="161"/>
      <c r="I7" s="161">
        <f t="shared" si="1"/>
        <v>90</v>
      </c>
      <c r="J7" s="165"/>
      <c r="K7" s="166">
        <v>135.0</v>
      </c>
      <c r="L7" s="161">
        <f t="shared" si="2"/>
        <v>0</v>
      </c>
      <c r="M7" s="161">
        <f t="shared" si="3"/>
        <v>135</v>
      </c>
      <c r="N7" s="167"/>
      <c r="O7" s="161">
        <v>16.904</v>
      </c>
      <c r="P7" s="161">
        <v>12.699</v>
      </c>
      <c r="Q7" s="161">
        <f t="shared" si="4"/>
        <v>207.221</v>
      </c>
      <c r="R7" s="168">
        <v>181714.0</v>
      </c>
      <c r="S7" s="168">
        <v>181805.0</v>
      </c>
      <c r="T7" s="168">
        <v>181805.0</v>
      </c>
      <c r="U7" s="169">
        <v>181924.0</v>
      </c>
      <c r="V7" s="170">
        <f t="shared" si="5"/>
        <v>91</v>
      </c>
      <c r="W7" s="170">
        <f t="shared" si="6"/>
        <v>119</v>
      </c>
      <c r="X7" s="42"/>
      <c r="Y7" s="42"/>
      <c r="Z7" s="42"/>
      <c r="AA7" s="42"/>
      <c r="AB7" s="42"/>
    </row>
    <row r="8" ht="14.25" customHeight="1">
      <c r="A8" s="160">
        <v>7.0</v>
      </c>
      <c r="B8" s="160" t="s">
        <v>25</v>
      </c>
      <c r="C8" s="161" t="s">
        <v>32</v>
      </c>
      <c r="D8" s="171">
        <v>7.0</v>
      </c>
      <c r="E8" s="163">
        <v>7.0</v>
      </c>
      <c r="F8" s="161"/>
      <c r="G8" s="164">
        <v>40.0</v>
      </c>
      <c r="H8" s="161"/>
      <c r="I8" s="161">
        <f t="shared" si="1"/>
        <v>97</v>
      </c>
      <c r="J8" s="165"/>
      <c r="K8" s="166">
        <v>137.0</v>
      </c>
      <c r="L8" s="161">
        <f t="shared" si="2"/>
        <v>0</v>
      </c>
      <c r="M8" s="161">
        <f t="shared" si="3"/>
        <v>137</v>
      </c>
      <c r="N8" s="167"/>
      <c r="O8" s="161">
        <v>16.904</v>
      </c>
      <c r="P8" s="161">
        <v>12.699</v>
      </c>
      <c r="Q8" s="161">
        <f t="shared" si="4"/>
        <v>207.221</v>
      </c>
      <c r="R8" s="168">
        <v>199654.0</v>
      </c>
      <c r="S8" s="168">
        <v>199747.0</v>
      </c>
      <c r="T8" s="168">
        <v>199747.0</v>
      </c>
      <c r="U8" s="169">
        <v>199871.0</v>
      </c>
      <c r="V8" s="170">
        <f t="shared" si="5"/>
        <v>93</v>
      </c>
      <c r="W8" s="170">
        <f t="shared" si="6"/>
        <v>124</v>
      </c>
      <c r="X8" s="42"/>
      <c r="Y8" s="42"/>
      <c r="Z8" s="42"/>
      <c r="AA8" s="42"/>
      <c r="AB8" s="42"/>
    </row>
    <row r="9" ht="14.25" customHeight="1">
      <c r="A9" s="160">
        <v>8.0</v>
      </c>
      <c r="B9" s="160" t="s">
        <v>25</v>
      </c>
      <c r="C9" s="172" t="s">
        <v>33</v>
      </c>
      <c r="D9" s="173">
        <v>4.0</v>
      </c>
      <c r="E9" s="173">
        <v>4.0</v>
      </c>
      <c r="F9" s="172"/>
      <c r="G9" s="172"/>
      <c r="H9" s="172"/>
      <c r="I9" s="172">
        <f t="shared" si="1"/>
        <v>62</v>
      </c>
      <c r="J9" s="174"/>
      <c r="K9" s="175">
        <v>62.0</v>
      </c>
      <c r="L9" s="172">
        <f t="shared" si="2"/>
        <v>0</v>
      </c>
      <c r="M9" s="172">
        <f t="shared" si="3"/>
        <v>62</v>
      </c>
      <c r="N9" s="176" t="s">
        <v>109</v>
      </c>
      <c r="O9" s="172">
        <v>16.904</v>
      </c>
      <c r="P9" s="172">
        <v>12.699</v>
      </c>
      <c r="Q9" s="172">
        <f t="shared" si="4"/>
        <v>118.412</v>
      </c>
      <c r="R9" s="180"/>
      <c r="S9" s="180"/>
      <c r="T9" s="177">
        <v>195815.0</v>
      </c>
      <c r="U9" s="181"/>
      <c r="V9" s="179">
        <f t="shared" si="5"/>
        <v>0</v>
      </c>
      <c r="W9" s="179">
        <f t="shared" si="6"/>
        <v>-195815</v>
      </c>
      <c r="X9" s="42"/>
      <c r="Y9" s="42"/>
      <c r="Z9" s="42"/>
      <c r="AA9" s="42"/>
      <c r="AB9" s="42"/>
    </row>
    <row r="10" ht="14.25" customHeight="1">
      <c r="A10" s="160">
        <v>9.0</v>
      </c>
      <c r="B10" s="160" t="s">
        <v>25</v>
      </c>
      <c r="C10" s="161" t="s">
        <v>34</v>
      </c>
      <c r="D10" s="171">
        <v>7.0</v>
      </c>
      <c r="E10" s="163">
        <v>7.0</v>
      </c>
      <c r="F10" s="161"/>
      <c r="G10" s="164">
        <v>68.0</v>
      </c>
      <c r="H10" s="161"/>
      <c r="I10" s="161">
        <f t="shared" si="1"/>
        <v>106</v>
      </c>
      <c r="J10" s="165"/>
      <c r="K10" s="166">
        <v>174.0</v>
      </c>
      <c r="L10" s="161">
        <f t="shared" si="2"/>
        <v>0</v>
      </c>
      <c r="M10" s="161">
        <f t="shared" si="3"/>
        <v>174</v>
      </c>
      <c r="N10" s="167"/>
      <c r="O10" s="161">
        <v>16.904</v>
      </c>
      <c r="P10" s="161">
        <v>12.699</v>
      </c>
      <c r="Q10" s="161">
        <f t="shared" si="4"/>
        <v>207.221</v>
      </c>
      <c r="R10" s="168">
        <v>538155.0</v>
      </c>
      <c r="S10" s="168">
        <v>538245.0</v>
      </c>
      <c r="T10" s="168">
        <v>538245.0</v>
      </c>
      <c r="U10" s="169">
        <v>538365.0</v>
      </c>
      <c r="V10" s="170">
        <f t="shared" si="5"/>
        <v>90</v>
      </c>
      <c r="W10" s="170">
        <f t="shared" si="6"/>
        <v>120</v>
      </c>
      <c r="X10" s="42"/>
      <c r="Y10" s="42"/>
      <c r="Z10" s="42"/>
      <c r="AA10" s="42"/>
      <c r="AB10" s="42"/>
    </row>
    <row r="11" ht="14.25" customHeight="1">
      <c r="A11" s="160">
        <v>10.0</v>
      </c>
      <c r="B11" s="160" t="s">
        <v>25</v>
      </c>
      <c r="C11" s="161" t="s">
        <v>35</v>
      </c>
      <c r="D11" s="171">
        <v>7.0</v>
      </c>
      <c r="E11" s="163">
        <v>7.0</v>
      </c>
      <c r="F11" s="161"/>
      <c r="G11" s="164">
        <v>40.0</v>
      </c>
      <c r="H11" s="161"/>
      <c r="I11" s="161">
        <f t="shared" si="1"/>
        <v>118</v>
      </c>
      <c r="J11" s="165"/>
      <c r="K11" s="166">
        <v>158.0</v>
      </c>
      <c r="L11" s="161">
        <f t="shared" si="2"/>
        <v>0</v>
      </c>
      <c r="M11" s="161">
        <f t="shared" si="3"/>
        <v>158</v>
      </c>
      <c r="N11" s="167"/>
      <c r="O11" s="161">
        <v>16.904</v>
      </c>
      <c r="P11" s="161">
        <v>12.699</v>
      </c>
      <c r="Q11" s="161">
        <f t="shared" si="4"/>
        <v>207.221</v>
      </c>
      <c r="R11" s="168">
        <v>196214.0</v>
      </c>
      <c r="S11" s="168">
        <v>196304.0</v>
      </c>
      <c r="T11" s="168">
        <v>196304.0</v>
      </c>
      <c r="U11" s="169">
        <v>196424.0</v>
      </c>
      <c r="V11" s="182">
        <v>90.0</v>
      </c>
      <c r="W11" s="170">
        <f t="shared" si="6"/>
        <v>120</v>
      </c>
      <c r="X11" s="42"/>
      <c r="Y11" s="42"/>
      <c r="Z11" s="42"/>
      <c r="AA11" s="42"/>
      <c r="AB11" s="42"/>
    </row>
    <row r="12" ht="14.25" customHeight="1">
      <c r="A12" s="160">
        <v>11.0</v>
      </c>
      <c r="B12" s="160" t="s">
        <v>25</v>
      </c>
      <c r="C12" s="161" t="s">
        <v>36</v>
      </c>
      <c r="D12" s="171">
        <v>7.0</v>
      </c>
      <c r="E12" s="163">
        <v>7.0</v>
      </c>
      <c r="F12" s="161"/>
      <c r="G12" s="164">
        <v>58.0</v>
      </c>
      <c r="H12" s="161"/>
      <c r="I12" s="161">
        <f t="shared" si="1"/>
        <v>92</v>
      </c>
      <c r="J12" s="165"/>
      <c r="K12" s="166">
        <v>150.0</v>
      </c>
      <c r="L12" s="161">
        <f t="shared" si="2"/>
        <v>0</v>
      </c>
      <c r="M12" s="161">
        <f t="shared" si="3"/>
        <v>150</v>
      </c>
      <c r="N12" s="167"/>
      <c r="O12" s="161">
        <v>16.904</v>
      </c>
      <c r="P12" s="161">
        <v>12.699</v>
      </c>
      <c r="Q12" s="161">
        <f t="shared" si="4"/>
        <v>207.221</v>
      </c>
      <c r="R12" s="168">
        <v>587056.0</v>
      </c>
      <c r="S12" s="168">
        <v>587146.0</v>
      </c>
      <c r="T12" s="168">
        <v>587146.0</v>
      </c>
      <c r="U12" s="169">
        <v>587267.0</v>
      </c>
      <c r="V12" s="170">
        <f t="shared" ref="V12:V61" si="7">S12-R12</f>
        <v>90</v>
      </c>
      <c r="W12" s="170">
        <f t="shared" si="6"/>
        <v>121</v>
      </c>
      <c r="X12" s="42"/>
      <c r="Y12" s="42"/>
      <c r="Z12" s="42"/>
      <c r="AA12" s="42"/>
      <c r="AB12" s="42"/>
    </row>
    <row r="13" ht="14.25" customHeight="1">
      <c r="A13" s="160">
        <v>12.0</v>
      </c>
      <c r="B13" s="160" t="s">
        <v>25</v>
      </c>
      <c r="C13" s="161" t="s">
        <v>37</v>
      </c>
      <c r="D13" s="171">
        <v>7.0</v>
      </c>
      <c r="E13" s="163">
        <v>7.0</v>
      </c>
      <c r="F13" s="161"/>
      <c r="G13" s="164">
        <v>59.0</v>
      </c>
      <c r="H13" s="161"/>
      <c r="I13" s="161">
        <f t="shared" si="1"/>
        <v>91</v>
      </c>
      <c r="J13" s="165"/>
      <c r="K13" s="166">
        <v>150.0</v>
      </c>
      <c r="L13" s="161">
        <f t="shared" si="2"/>
        <v>0</v>
      </c>
      <c r="M13" s="161">
        <f t="shared" si="3"/>
        <v>150</v>
      </c>
      <c r="N13" s="167"/>
      <c r="O13" s="161">
        <v>16.904</v>
      </c>
      <c r="P13" s="161">
        <v>12.699</v>
      </c>
      <c r="Q13" s="161">
        <f t="shared" si="4"/>
        <v>207.221</v>
      </c>
      <c r="R13" s="168">
        <v>583923.0</v>
      </c>
      <c r="S13" s="168">
        <v>584014.0</v>
      </c>
      <c r="T13" s="168">
        <v>584014.0</v>
      </c>
      <c r="U13" s="169">
        <v>584138.0</v>
      </c>
      <c r="V13" s="170">
        <f t="shared" si="7"/>
        <v>91</v>
      </c>
      <c r="W13" s="170">
        <f t="shared" si="6"/>
        <v>124</v>
      </c>
      <c r="X13" s="42"/>
      <c r="Y13" s="42"/>
      <c r="Z13" s="42"/>
      <c r="AA13" s="42"/>
      <c r="AB13" s="42"/>
    </row>
    <row r="14" ht="14.25" customHeight="1">
      <c r="A14" s="160">
        <v>13.0</v>
      </c>
      <c r="B14" s="160" t="s">
        <v>25</v>
      </c>
      <c r="C14" s="161" t="s">
        <v>38</v>
      </c>
      <c r="D14" s="171">
        <v>7.0</v>
      </c>
      <c r="E14" s="163">
        <v>7.0</v>
      </c>
      <c r="F14" s="161"/>
      <c r="G14" s="164">
        <v>46.0</v>
      </c>
      <c r="H14" s="161"/>
      <c r="I14" s="161">
        <f t="shared" si="1"/>
        <v>88</v>
      </c>
      <c r="J14" s="165"/>
      <c r="K14" s="166">
        <v>134.0</v>
      </c>
      <c r="L14" s="161">
        <f t="shared" si="2"/>
        <v>0</v>
      </c>
      <c r="M14" s="161">
        <f t="shared" si="3"/>
        <v>134</v>
      </c>
      <c r="N14" s="167"/>
      <c r="O14" s="161">
        <v>16.904</v>
      </c>
      <c r="P14" s="161">
        <v>12.699</v>
      </c>
      <c r="Q14" s="161">
        <f t="shared" si="4"/>
        <v>207.221</v>
      </c>
      <c r="R14" s="168">
        <v>199482.0</v>
      </c>
      <c r="S14" s="168">
        <v>199572.0</v>
      </c>
      <c r="T14" s="168">
        <v>199572.0</v>
      </c>
      <c r="U14" s="169">
        <v>199692.0</v>
      </c>
      <c r="V14" s="170">
        <f t="shared" si="7"/>
        <v>90</v>
      </c>
      <c r="W14" s="170">
        <f t="shared" si="6"/>
        <v>120</v>
      </c>
      <c r="X14" s="42"/>
      <c r="Y14" s="42"/>
      <c r="Z14" s="42"/>
      <c r="AA14" s="42"/>
      <c r="AB14" s="42"/>
    </row>
    <row r="15" ht="14.25" customHeight="1">
      <c r="A15" s="160">
        <v>14.0</v>
      </c>
      <c r="B15" s="160" t="s">
        <v>25</v>
      </c>
      <c r="C15" s="161" t="s">
        <v>39</v>
      </c>
      <c r="D15" s="171">
        <v>7.0</v>
      </c>
      <c r="E15" s="163">
        <v>7.0</v>
      </c>
      <c r="F15" s="161"/>
      <c r="G15" s="164">
        <v>51.0</v>
      </c>
      <c r="H15" s="161"/>
      <c r="I15" s="161">
        <f t="shared" si="1"/>
        <v>85</v>
      </c>
      <c r="J15" s="165"/>
      <c r="K15" s="166">
        <v>136.0</v>
      </c>
      <c r="L15" s="161">
        <f t="shared" si="2"/>
        <v>0</v>
      </c>
      <c r="M15" s="161">
        <f t="shared" si="3"/>
        <v>136</v>
      </c>
      <c r="N15" s="167"/>
      <c r="O15" s="161">
        <v>16.904</v>
      </c>
      <c r="P15" s="161">
        <v>12.699</v>
      </c>
      <c r="Q15" s="161">
        <f t="shared" si="4"/>
        <v>207.221</v>
      </c>
      <c r="R15" s="168">
        <v>240750.0</v>
      </c>
      <c r="S15" s="168">
        <v>240839.0</v>
      </c>
      <c r="T15" s="168">
        <v>240839.0</v>
      </c>
      <c r="U15" s="169">
        <v>240955.0</v>
      </c>
      <c r="V15" s="170">
        <f t="shared" si="7"/>
        <v>89</v>
      </c>
      <c r="W15" s="170">
        <f t="shared" si="6"/>
        <v>116</v>
      </c>
      <c r="X15" s="42"/>
      <c r="Y15" s="42"/>
      <c r="Z15" s="42"/>
      <c r="AA15" s="42"/>
      <c r="AB15" s="42"/>
    </row>
    <row r="16" ht="14.25" customHeight="1">
      <c r="A16" s="160">
        <v>15.0</v>
      </c>
      <c r="B16" s="160" t="s">
        <v>25</v>
      </c>
      <c r="C16" s="183" t="s">
        <v>40</v>
      </c>
      <c r="D16" s="184">
        <v>3.0</v>
      </c>
      <c r="E16" s="185">
        <v>3.0</v>
      </c>
      <c r="F16" s="183"/>
      <c r="G16" s="186">
        <v>61.0</v>
      </c>
      <c r="H16" s="183"/>
      <c r="I16" s="183">
        <f t="shared" si="1"/>
        <v>0</v>
      </c>
      <c r="J16" s="187"/>
      <c r="K16" s="187"/>
      <c r="L16" s="183">
        <f t="shared" si="2"/>
        <v>0</v>
      </c>
      <c r="M16" s="183">
        <f t="shared" si="3"/>
        <v>61</v>
      </c>
      <c r="N16" s="188" t="s">
        <v>110</v>
      </c>
      <c r="O16" s="183">
        <v>16.904</v>
      </c>
      <c r="P16" s="183">
        <v>12.699</v>
      </c>
      <c r="Q16" s="183">
        <f t="shared" si="4"/>
        <v>88.809</v>
      </c>
      <c r="R16" s="189">
        <v>552652.0</v>
      </c>
      <c r="S16" s="189">
        <v>552743.0</v>
      </c>
      <c r="T16" s="190"/>
      <c r="U16" s="191"/>
      <c r="V16" s="192">
        <f t="shared" si="7"/>
        <v>91</v>
      </c>
      <c r="W16" s="192">
        <f t="shared" si="6"/>
        <v>0</v>
      </c>
      <c r="X16" s="42"/>
      <c r="Y16" s="42"/>
      <c r="Z16" s="42"/>
      <c r="AA16" s="42"/>
      <c r="AB16" s="42"/>
    </row>
    <row r="17" ht="14.25" customHeight="1">
      <c r="A17" s="160">
        <v>16.0</v>
      </c>
      <c r="B17" s="160" t="s">
        <v>25</v>
      </c>
      <c r="C17" s="161" t="s">
        <v>41</v>
      </c>
      <c r="D17" s="171">
        <v>7.0</v>
      </c>
      <c r="E17" s="163">
        <v>7.0</v>
      </c>
      <c r="F17" s="161"/>
      <c r="G17" s="164">
        <v>41.0</v>
      </c>
      <c r="H17" s="161"/>
      <c r="I17" s="161">
        <f t="shared" si="1"/>
        <v>74</v>
      </c>
      <c r="J17" s="165"/>
      <c r="K17" s="166">
        <v>115.0</v>
      </c>
      <c r="L17" s="161">
        <f t="shared" si="2"/>
        <v>0</v>
      </c>
      <c r="M17" s="161">
        <f t="shared" si="3"/>
        <v>115</v>
      </c>
      <c r="N17" s="167"/>
      <c r="O17" s="161">
        <v>16.904</v>
      </c>
      <c r="P17" s="161">
        <v>12.699</v>
      </c>
      <c r="Q17" s="161">
        <f t="shared" si="4"/>
        <v>207.221</v>
      </c>
      <c r="R17" s="168">
        <v>176995.0</v>
      </c>
      <c r="S17" s="168">
        <v>177088.0</v>
      </c>
      <c r="T17" s="168">
        <v>177088.0</v>
      </c>
      <c r="U17" s="169">
        <v>177208.0</v>
      </c>
      <c r="V17" s="170">
        <f t="shared" si="7"/>
        <v>93</v>
      </c>
      <c r="W17" s="170">
        <f t="shared" si="6"/>
        <v>120</v>
      </c>
      <c r="X17" s="42"/>
      <c r="Y17" s="42"/>
      <c r="Z17" s="42"/>
      <c r="AA17" s="42"/>
      <c r="AB17" s="42"/>
    </row>
    <row r="18" ht="14.25" customHeight="1">
      <c r="A18" s="160">
        <v>17.0</v>
      </c>
      <c r="B18" s="160" t="s">
        <v>25</v>
      </c>
      <c r="C18" s="161" t="s">
        <v>42</v>
      </c>
      <c r="D18" s="164">
        <v>6.0</v>
      </c>
      <c r="E18" s="164">
        <v>6.0</v>
      </c>
      <c r="F18" s="161"/>
      <c r="G18" s="164">
        <v>58.0</v>
      </c>
      <c r="H18" s="161"/>
      <c r="I18" s="161">
        <f t="shared" si="1"/>
        <v>90</v>
      </c>
      <c r="J18" s="165"/>
      <c r="K18" s="166">
        <v>148.0</v>
      </c>
      <c r="L18" s="161">
        <f t="shared" si="2"/>
        <v>0</v>
      </c>
      <c r="M18" s="161">
        <f t="shared" si="3"/>
        <v>148</v>
      </c>
      <c r="N18" s="167"/>
      <c r="O18" s="161">
        <v>16.904</v>
      </c>
      <c r="P18" s="161">
        <v>12.699</v>
      </c>
      <c r="Q18" s="161">
        <f t="shared" si="4"/>
        <v>177.618</v>
      </c>
      <c r="R18" s="168">
        <v>172845.0</v>
      </c>
      <c r="S18" s="168">
        <v>172935.0</v>
      </c>
      <c r="T18" s="168">
        <v>172935.0</v>
      </c>
      <c r="U18" s="169">
        <v>173025.0</v>
      </c>
      <c r="V18" s="170">
        <f t="shared" si="7"/>
        <v>90</v>
      </c>
      <c r="W18" s="170">
        <f t="shared" si="6"/>
        <v>90</v>
      </c>
      <c r="X18" s="42"/>
      <c r="Y18" s="42"/>
      <c r="Z18" s="42"/>
      <c r="AA18" s="42"/>
      <c r="AB18" s="42"/>
    </row>
    <row r="19" ht="14.25" customHeight="1">
      <c r="A19" s="160">
        <v>18.0</v>
      </c>
      <c r="B19" s="160" t="s">
        <v>25</v>
      </c>
      <c r="C19" s="193" t="s">
        <v>43</v>
      </c>
      <c r="D19" s="193"/>
      <c r="E19" s="193"/>
      <c r="F19" s="193"/>
      <c r="G19" s="193"/>
      <c r="H19" s="193"/>
      <c r="I19" s="193">
        <f t="shared" si="1"/>
        <v>0</v>
      </c>
      <c r="J19" s="194"/>
      <c r="K19" s="194"/>
      <c r="L19" s="193">
        <f t="shared" si="2"/>
        <v>0</v>
      </c>
      <c r="M19" s="193">
        <f t="shared" si="3"/>
        <v>0</v>
      </c>
      <c r="N19" s="195" t="s">
        <v>106</v>
      </c>
      <c r="O19" s="193">
        <v>16.904</v>
      </c>
      <c r="P19" s="193">
        <v>12.699</v>
      </c>
      <c r="Q19" s="193">
        <f t="shared" si="4"/>
        <v>0</v>
      </c>
      <c r="R19" s="196"/>
      <c r="S19" s="196"/>
      <c r="T19" s="196"/>
      <c r="U19" s="197"/>
      <c r="V19" s="198">
        <f t="shared" si="7"/>
        <v>0</v>
      </c>
      <c r="W19" s="198">
        <f t="shared" si="6"/>
        <v>0</v>
      </c>
      <c r="X19" s="42"/>
      <c r="Y19" s="42"/>
      <c r="Z19" s="42"/>
      <c r="AA19" s="42"/>
      <c r="AB19" s="42"/>
    </row>
    <row r="20" ht="14.25" customHeight="1">
      <c r="A20" s="160">
        <v>19.0</v>
      </c>
      <c r="B20" s="160" t="s">
        <v>25</v>
      </c>
      <c r="C20" s="161" t="s">
        <v>44</v>
      </c>
      <c r="D20" s="171">
        <v>7.0</v>
      </c>
      <c r="E20" s="163">
        <v>7.0</v>
      </c>
      <c r="F20" s="161"/>
      <c r="G20" s="164">
        <v>60.0</v>
      </c>
      <c r="H20" s="161"/>
      <c r="I20" s="161">
        <f t="shared" si="1"/>
        <v>112</v>
      </c>
      <c r="J20" s="165"/>
      <c r="K20" s="166">
        <v>172.0</v>
      </c>
      <c r="L20" s="161">
        <f t="shared" si="2"/>
        <v>0</v>
      </c>
      <c r="M20" s="161">
        <f t="shared" si="3"/>
        <v>172</v>
      </c>
      <c r="N20" s="167"/>
      <c r="O20" s="161">
        <v>16.904</v>
      </c>
      <c r="P20" s="161">
        <v>12.699</v>
      </c>
      <c r="Q20" s="161">
        <f t="shared" si="4"/>
        <v>207.221</v>
      </c>
      <c r="R20" s="168">
        <v>199865.0</v>
      </c>
      <c r="S20" s="168">
        <v>199957.0</v>
      </c>
      <c r="T20" s="168">
        <v>199957.0</v>
      </c>
      <c r="U20" s="169">
        <v>200077.0</v>
      </c>
      <c r="V20" s="170">
        <f t="shared" si="7"/>
        <v>92</v>
      </c>
      <c r="W20" s="170">
        <f t="shared" si="6"/>
        <v>120</v>
      </c>
      <c r="X20" s="42"/>
      <c r="Y20" s="42"/>
      <c r="Z20" s="42"/>
      <c r="AA20" s="42"/>
      <c r="AB20" s="42"/>
    </row>
    <row r="21" ht="14.25" customHeight="1">
      <c r="A21" s="160">
        <v>20.0</v>
      </c>
      <c r="B21" s="160" t="s">
        <v>25</v>
      </c>
      <c r="C21" s="161" t="s">
        <v>45</v>
      </c>
      <c r="D21" s="171">
        <v>7.0</v>
      </c>
      <c r="E21" s="163">
        <v>7.0</v>
      </c>
      <c r="F21" s="161"/>
      <c r="G21" s="164">
        <v>57.0</v>
      </c>
      <c r="H21" s="161"/>
      <c r="I21" s="161">
        <f t="shared" si="1"/>
        <v>66</v>
      </c>
      <c r="J21" s="165"/>
      <c r="K21" s="166">
        <v>123.0</v>
      </c>
      <c r="L21" s="161">
        <f t="shared" si="2"/>
        <v>0</v>
      </c>
      <c r="M21" s="161">
        <f t="shared" si="3"/>
        <v>123</v>
      </c>
      <c r="N21" s="167"/>
      <c r="O21" s="161">
        <v>16.904</v>
      </c>
      <c r="P21" s="161">
        <v>12.699</v>
      </c>
      <c r="Q21" s="161">
        <f t="shared" si="4"/>
        <v>207.221</v>
      </c>
      <c r="R21" s="168">
        <v>175994.0</v>
      </c>
      <c r="S21" s="168">
        <v>176086.0</v>
      </c>
      <c r="T21" s="168">
        <v>176086.0</v>
      </c>
      <c r="U21" s="169">
        <v>176206.0</v>
      </c>
      <c r="V21" s="170">
        <f t="shared" si="7"/>
        <v>92</v>
      </c>
      <c r="W21" s="170">
        <f t="shared" si="6"/>
        <v>120</v>
      </c>
      <c r="X21" s="42"/>
      <c r="Y21" s="42"/>
      <c r="Z21" s="42"/>
      <c r="AA21" s="42"/>
      <c r="AB21" s="42"/>
    </row>
    <row r="22" ht="14.25" customHeight="1">
      <c r="A22" s="160">
        <v>21.0</v>
      </c>
      <c r="B22" s="160" t="s">
        <v>25</v>
      </c>
      <c r="C22" s="161" t="s">
        <v>46</v>
      </c>
      <c r="D22" s="164">
        <v>6.0</v>
      </c>
      <c r="E22" s="164">
        <v>6.0</v>
      </c>
      <c r="F22" s="161"/>
      <c r="G22" s="164">
        <v>54.0</v>
      </c>
      <c r="H22" s="161"/>
      <c r="I22" s="161">
        <f t="shared" si="1"/>
        <v>106</v>
      </c>
      <c r="J22" s="165"/>
      <c r="K22" s="166">
        <v>160.0</v>
      </c>
      <c r="L22" s="161">
        <f t="shared" si="2"/>
        <v>0</v>
      </c>
      <c r="M22" s="161">
        <f t="shared" si="3"/>
        <v>160</v>
      </c>
      <c r="N22" s="167"/>
      <c r="O22" s="161">
        <v>16.904</v>
      </c>
      <c r="P22" s="161">
        <v>12.699</v>
      </c>
      <c r="Q22" s="161">
        <f t="shared" si="4"/>
        <v>177.618</v>
      </c>
      <c r="R22" s="168">
        <v>200405.0</v>
      </c>
      <c r="S22" s="168">
        <v>200501.0</v>
      </c>
      <c r="T22" s="168">
        <v>200501.0</v>
      </c>
      <c r="U22" s="169">
        <v>200596.0</v>
      </c>
      <c r="V22" s="170">
        <f t="shared" si="7"/>
        <v>96</v>
      </c>
      <c r="W22" s="170">
        <f t="shared" si="6"/>
        <v>95</v>
      </c>
      <c r="X22" s="42"/>
      <c r="Y22" s="42"/>
      <c r="Z22" s="42"/>
      <c r="AA22" s="42"/>
      <c r="AB22" s="42"/>
    </row>
    <row r="23" ht="14.25" customHeight="1">
      <c r="A23" s="160">
        <v>22.0</v>
      </c>
      <c r="B23" s="160" t="s">
        <v>25</v>
      </c>
      <c r="C23" s="161" t="s">
        <v>47</v>
      </c>
      <c r="D23" s="171">
        <v>7.0</v>
      </c>
      <c r="E23" s="163">
        <v>7.0</v>
      </c>
      <c r="F23" s="161"/>
      <c r="G23" s="164">
        <v>30.0</v>
      </c>
      <c r="H23" s="161"/>
      <c r="I23" s="161">
        <f t="shared" si="1"/>
        <v>95</v>
      </c>
      <c r="J23" s="165"/>
      <c r="K23" s="166">
        <v>125.0</v>
      </c>
      <c r="L23" s="161">
        <f t="shared" si="2"/>
        <v>0</v>
      </c>
      <c r="M23" s="161">
        <f t="shared" si="3"/>
        <v>125</v>
      </c>
      <c r="N23" s="167"/>
      <c r="O23" s="161">
        <v>16.904</v>
      </c>
      <c r="P23" s="161">
        <v>12.699</v>
      </c>
      <c r="Q23" s="161">
        <f t="shared" si="4"/>
        <v>207.221</v>
      </c>
      <c r="R23" s="168">
        <v>455060.0</v>
      </c>
      <c r="S23" s="168">
        <v>455150.0</v>
      </c>
      <c r="T23" s="168">
        <v>455150.0</v>
      </c>
      <c r="U23" s="169">
        <v>455270.0</v>
      </c>
      <c r="V23" s="170">
        <f t="shared" si="7"/>
        <v>90</v>
      </c>
      <c r="W23" s="170">
        <f t="shared" si="6"/>
        <v>120</v>
      </c>
      <c r="X23" s="42"/>
      <c r="Y23" s="42"/>
      <c r="Z23" s="42"/>
      <c r="AA23" s="42"/>
      <c r="AB23" s="42"/>
    </row>
    <row r="24" ht="14.25" customHeight="1">
      <c r="A24" s="160">
        <v>23.0</v>
      </c>
      <c r="B24" s="160" t="s">
        <v>25</v>
      </c>
      <c r="C24" s="161" t="s">
        <v>48</v>
      </c>
      <c r="D24" s="171">
        <v>7.0</v>
      </c>
      <c r="E24" s="163">
        <v>7.0</v>
      </c>
      <c r="F24" s="161"/>
      <c r="G24" s="164">
        <v>53.0</v>
      </c>
      <c r="H24" s="161"/>
      <c r="I24" s="161">
        <f t="shared" si="1"/>
        <v>103</v>
      </c>
      <c r="J24" s="165"/>
      <c r="K24" s="166">
        <v>156.0</v>
      </c>
      <c r="L24" s="161">
        <f t="shared" si="2"/>
        <v>0</v>
      </c>
      <c r="M24" s="161">
        <f t="shared" si="3"/>
        <v>156</v>
      </c>
      <c r="N24" s="167"/>
      <c r="O24" s="161">
        <v>16.904</v>
      </c>
      <c r="P24" s="161">
        <v>12.699</v>
      </c>
      <c r="Q24" s="161">
        <f t="shared" si="4"/>
        <v>207.221</v>
      </c>
      <c r="R24" s="168">
        <v>550782.0</v>
      </c>
      <c r="S24" s="168">
        <v>550872.0</v>
      </c>
      <c r="T24" s="168">
        <v>550872.0</v>
      </c>
      <c r="U24" s="169">
        <v>550992.0</v>
      </c>
      <c r="V24" s="170">
        <f t="shared" si="7"/>
        <v>90</v>
      </c>
      <c r="W24" s="170">
        <f t="shared" si="6"/>
        <v>120</v>
      </c>
      <c r="X24" s="42"/>
      <c r="Y24" s="42"/>
      <c r="Z24" s="42"/>
      <c r="AA24" s="42"/>
      <c r="AB24" s="42"/>
    </row>
    <row r="25" ht="14.25" customHeight="1">
      <c r="A25" s="160">
        <v>24.0</v>
      </c>
      <c r="B25" s="160" t="s">
        <v>25</v>
      </c>
      <c r="C25" s="161" t="s">
        <v>49</v>
      </c>
      <c r="D25" s="162">
        <v>6.0</v>
      </c>
      <c r="E25" s="199">
        <v>6.0</v>
      </c>
      <c r="F25" s="161"/>
      <c r="G25" s="164">
        <v>59.0</v>
      </c>
      <c r="H25" s="161"/>
      <c r="I25" s="161">
        <f t="shared" si="1"/>
        <v>96</v>
      </c>
      <c r="J25" s="165"/>
      <c r="K25" s="166">
        <v>155.0</v>
      </c>
      <c r="L25" s="161">
        <f t="shared" si="2"/>
        <v>0</v>
      </c>
      <c r="M25" s="161">
        <f t="shared" si="3"/>
        <v>155</v>
      </c>
      <c r="N25" s="167"/>
      <c r="O25" s="161">
        <v>16.904</v>
      </c>
      <c r="P25" s="161">
        <v>12.699</v>
      </c>
      <c r="Q25" s="161">
        <f t="shared" si="4"/>
        <v>177.618</v>
      </c>
      <c r="R25" s="168">
        <v>375846.0</v>
      </c>
      <c r="S25" s="168">
        <v>375933.0</v>
      </c>
      <c r="T25" s="168">
        <v>375933.0</v>
      </c>
      <c r="U25" s="169">
        <v>376024.0</v>
      </c>
      <c r="V25" s="170">
        <f t="shared" si="7"/>
        <v>87</v>
      </c>
      <c r="W25" s="170">
        <f t="shared" si="6"/>
        <v>91</v>
      </c>
      <c r="X25" s="42"/>
      <c r="Y25" s="42"/>
      <c r="Z25" s="42"/>
      <c r="AA25" s="42"/>
      <c r="AB25" s="42"/>
    </row>
    <row r="26" ht="14.25" customHeight="1">
      <c r="A26" s="160">
        <v>25.0</v>
      </c>
      <c r="B26" s="160" t="s">
        <v>25</v>
      </c>
      <c r="C26" s="161" t="s">
        <v>50</v>
      </c>
      <c r="D26" s="171">
        <v>7.0</v>
      </c>
      <c r="E26" s="163">
        <v>7.0</v>
      </c>
      <c r="F26" s="161"/>
      <c r="G26" s="164">
        <v>45.0</v>
      </c>
      <c r="H26" s="161"/>
      <c r="I26" s="161">
        <f t="shared" si="1"/>
        <v>106</v>
      </c>
      <c r="J26" s="165"/>
      <c r="K26" s="166">
        <v>151.0</v>
      </c>
      <c r="L26" s="161">
        <f t="shared" si="2"/>
        <v>0</v>
      </c>
      <c r="M26" s="161">
        <f t="shared" si="3"/>
        <v>151</v>
      </c>
      <c r="N26" s="167"/>
      <c r="O26" s="161">
        <v>16.904</v>
      </c>
      <c r="P26" s="161">
        <v>12.699</v>
      </c>
      <c r="Q26" s="161">
        <f t="shared" si="4"/>
        <v>207.221</v>
      </c>
      <c r="R26" s="168">
        <v>194165.0</v>
      </c>
      <c r="S26" s="168">
        <v>194252.0</v>
      </c>
      <c r="T26" s="168">
        <v>194252.0</v>
      </c>
      <c r="U26" s="169">
        <v>194368.0</v>
      </c>
      <c r="V26" s="170">
        <f t="shared" si="7"/>
        <v>87</v>
      </c>
      <c r="W26" s="170">
        <f t="shared" si="6"/>
        <v>116</v>
      </c>
      <c r="X26" s="42"/>
      <c r="Y26" s="42"/>
      <c r="Z26" s="42"/>
      <c r="AA26" s="42"/>
      <c r="AB26" s="42"/>
    </row>
    <row r="27" ht="14.25" customHeight="1">
      <c r="A27" s="160">
        <v>26.0</v>
      </c>
      <c r="B27" s="160" t="s">
        <v>25</v>
      </c>
      <c r="C27" s="193" t="s">
        <v>51</v>
      </c>
      <c r="D27" s="193"/>
      <c r="E27" s="193"/>
      <c r="F27" s="193"/>
      <c r="G27" s="193"/>
      <c r="H27" s="193"/>
      <c r="I27" s="193">
        <f t="shared" si="1"/>
        <v>0</v>
      </c>
      <c r="J27" s="194"/>
      <c r="K27" s="194"/>
      <c r="L27" s="193">
        <f t="shared" si="2"/>
        <v>0</v>
      </c>
      <c r="M27" s="193">
        <f t="shared" si="3"/>
        <v>0</v>
      </c>
      <c r="N27" s="200"/>
      <c r="O27" s="193">
        <v>16.904</v>
      </c>
      <c r="P27" s="193">
        <v>12.699</v>
      </c>
      <c r="Q27" s="193">
        <f t="shared" si="4"/>
        <v>0</v>
      </c>
      <c r="R27" s="196"/>
      <c r="S27" s="196"/>
      <c r="T27" s="196"/>
      <c r="U27" s="197"/>
      <c r="V27" s="198">
        <f t="shared" si="7"/>
        <v>0</v>
      </c>
      <c r="W27" s="198">
        <f t="shared" si="6"/>
        <v>0</v>
      </c>
      <c r="X27" s="42"/>
      <c r="Y27" s="42"/>
      <c r="Z27" s="42"/>
      <c r="AA27" s="42"/>
      <c r="AB27" s="42"/>
    </row>
    <row r="28" ht="14.25" customHeight="1">
      <c r="A28" s="160">
        <v>27.0</v>
      </c>
      <c r="B28" s="160" t="s">
        <v>25</v>
      </c>
      <c r="C28" s="193" t="s">
        <v>52</v>
      </c>
      <c r="D28" s="193"/>
      <c r="E28" s="193"/>
      <c r="F28" s="193"/>
      <c r="G28" s="193"/>
      <c r="H28" s="193"/>
      <c r="I28" s="193">
        <f t="shared" si="1"/>
        <v>0</v>
      </c>
      <c r="J28" s="194"/>
      <c r="K28" s="194"/>
      <c r="L28" s="193">
        <f t="shared" si="2"/>
        <v>0</v>
      </c>
      <c r="M28" s="193">
        <f t="shared" si="3"/>
        <v>0</v>
      </c>
      <c r="N28" s="200"/>
      <c r="O28" s="193">
        <v>16.904</v>
      </c>
      <c r="P28" s="193">
        <v>12.699</v>
      </c>
      <c r="Q28" s="193">
        <f t="shared" si="4"/>
        <v>0</v>
      </c>
      <c r="R28" s="196"/>
      <c r="S28" s="196"/>
      <c r="T28" s="196"/>
      <c r="U28" s="197"/>
      <c r="V28" s="198">
        <f t="shared" si="7"/>
        <v>0</v>
      </c>
      <c r="W28" s="198">
        <f t="shared" si="6"/>
        <v>0</v>
      </c>
      <c r="X28" s="42"/>
      <c r="Y28" s="42"/>
      <c r="Z28" s="42"/>
      <c r="AA28" s="42"/>
      <c r="AB28" s="42"/>
    </row>
    <row r="29" ht="14.25" customHeight="1">
      <c r="A29" s="160">
        <v>28.0</v>
      </c>
      <c r="B29" s="160" t="s">
        <v>25</v>
      </c>
      <c r="C29" s="193" t="s">
        <v>53</v>
      </c>
      <c r="D29" s="193"/>
      <c r="E29" s="193"/>
      <c r="F29" s="193"/>
      <c r="G29" s="193"/>
      <c r="H29" s="193"/>
      <c r="I29" s="193">
        <f t="shared" si="1"/>
        <v>0</v>
      </c>
      <c r="J29" s="194"/>
      <c r="K29" s="194"/>
      <c r="L29" s="193">
        <f t="shared" si="2"/>
        <v>0</v>
      </c>
      <c r="M29" s="193">
        <f t="shared" si="3"/>
        <v>0</v>
      </c>
      <c r="N29" s="200"/>
      <c r="O29" s="193">
        <v>16.904</v>
      </c>
      <c r="P29" s="193">
        <v>12.699</v>
      </c>
      <c r="Q29" s="193">
        <f t="shared" si="4"/>
        <v>0</v>
      </c>
      <c r="R29" s="196"/>
      <c r="S29" s="196"/>
      <c r="T29" s="196"/>
      <c r="U29" s="197"/>
      <c r="V29" s="198">
        <f t="shared" si="7"/>
        <v>0</v>
      </c>
      <c r="W29" s="198">
        <f t="shared" si="6"/>
        <v>0</v>
      </c>
      <c r="X29" s="42"/>
      <c r="Y29" s="42"/>
      <c r="Z29" s="42"/>
      <c r="AA29" s="42"/>
      <c r="AB29" s="42"/>
    </row>
    <row r="30" ht="14.25" customHeight="1">
      <c r="A30" s="160">
        <v>29.0</v>
      </c>
      <c r="B30" s="160" t="s">
        <v>25</v>
      </c>
      <c r="C30" s="193" t="s">
        <v>54</v>
      </c>
      <c r="D30" s="193"/>
      <c r="E30" s="193"/>
      <c r="F30" s="193"/>
      <c r="G30" s="193"/>
      <c r="H30" s="193"/>
      <c r="I30" s="193">
        <f t="shared" si="1"/>
        <v>0</v>
      </c>
      <c r="J30" s="194"/>
      <c r="K30" s="194"/>
      <c r="L30" s="193">
        <f t="shared" si="2"/>
        <v>0</v>
      </c>
      <c r="M30" s="193">
        <f t="shared" si="3"/>
        <v>0</v>
      </c>
      <c r="N30" s="200"/>
      <c r="O30" s="193">
        <v>16.904</v>
      </c>
      <c r="P30" s="193">
        <v>12.699</v>
      </c>
      <c r="Q30" s="193">
        <f t="shared" si="4"/>
        <v>0</v>
      </c>
      <c r="R30" s="196"/>
      <c r="S30" s="196"/>
      <c r="T30" s="196"/>
      <c r="U30" s="197"/>
      <c r="V30" s="198">
        <f t="shared" si="7"/>
        <v>0</v>
      </c>
      <c r="W30" s="198">
        <f t="shared" si="6"/>
        <v>0</v>
      </c>
      <c r="X30" s="42"/>
      <c r="Y30" s="42"/>
      <c r="Z30" s="42"/>
      <c r="AA30" s="42"/>
      <c r="AB30" s="42"/>
    </row>
    <row r="31" ht="14.25" customHeight="1">
      <c r="A31" s="160">
        <v>30.0</v>
      </c>
      <c r="B31" s="160" t="s">
        <v>25</v>
      </c>
      <c r="C31" s="193" t="s">
        <v>55</v>
      </c>
      <c r="D31" s="193"/>
      <c r="E31" s="193"/>
      <c r="F31" s="193"/>
      <c r="G31" s="193"/>
      <c r="H31" s="193"/>
      <c r="I31" s="193">
        <f t="shared" si="1"/>
        <v>0</v>
      </c>
      <c r="J31" s="194"/>
      <c r="K31" s="194"/>
      <c r="L31" s="193">
        <f t="shared" si="2"/>
        <v>0</v>
      </c>
      <c r="M31" s="193">
        <f t="shared" si="3"/>
        <v>0</v>
      </c>
      <c r="N31" s="200"/>
      <c r="O31" s="193">
        <v>16.904</v>
      </c>
      <c r="P31" s="193">
        <v>12.699</v>
      </c>
      <c r="Q31" s="193">
        <f t="shared" si="4"/>
        <v>0</v>
      </c>
      <c r="R31" s="196"/>
      <c r="S31" s="196"/>
      <c r="T31" s="196"/>
      <c r="U31" s="197"/>
      <c r="V31" s="198">
        <f t="shared" si="7"/>
        <v>0</v>
      </c>
      <c r="W31" s="198">
        <f t="shared" si="6"/>
        <v>0</v>
      </c>
      <c r="X31" s="42"/>
      <c r="Y31" s="42"/>
      <c r="Z31" s="42"/>
      <c r="AA31" s="42"/>
      <c r="AB31" s="42"/>
    </row>
    <row r="32" ht="14.25" customHeight="1">
      <c r="A32" s="160">
        <v>31.0</v>
      </c>
      <c r="B32" s="160" t="s">
        <v>25</v>
      </c>
      <c r="C32" s="193" t="s">
        <v>56</v>
      </c>
      <c r="D32" s="193"/>
      <c r="E32" s="193"/>
      <c r="F32" s="193"/>
      <c r="G32" s="193"/>
      <c r="H32" s="193"/>
      <c r="I32" s="193">
        <f t="shared" si="1"/>
        <v>0</v>
      </c>
      <c r="J32" s="194"/>
      <c r="K32" s="194"/>
      <c r="L32" s="193">
        <f t="shared" si="2"/>
        <v>0</v>
      </c>
      <c r="M32" s="193">
        <f t="shared" si="3"/>
        <v>0</v>
      </c>
      <c r="N32" s="200"/>
      <c r="O32" s="193">
        <v>16.904</v>
      </c>
      <c r="P32" s="193">
        <v>12.699</v>
      </c>
      <c r="Q32" s="193">
        <f t="shared" si="4"/>
        <v>0</v>
      </c>
      <c r="R32" s="196"/>
      <c r="S32" s="196"/>
      <c r="T32" s="196"/>
      <c r="U32" s="197"/>
      <c r="V32" s="198">
        <f t="shared" si="7"/>
        <v>0</v>
      </c>
      <c r="W32" s="198">
        <f t="shared" si="6"/>
        <v>0</v>
      </c>
      <c r="X32" s="42"/>
      <c r="Y32" s="42"/>
      <c r="Z32" s="42"/>
      <c r="AA32" s="42"/>
      <c r="AB32" s="42"/>
    </row>
    <row r="33" ht="14.25" customHeight="1">
      <c r="A33" s="160">
        <v>32.0</v>
      </c>
      <c r="B33" s="160" t="s">
        <v>25</v>
      </c>
      <c r="C33" s="193" t="s">
        <v>57</v>
      </c>
      <c r="D33" s="193"/>
      <c r="E33" s="193"/>
      <c r="F33" s="193"/>
      <c r="G33" s="193"/>
      <c r="H33" s="193"/>
      <c r="I33" s="193">
        <f t="shared" si="1"/>
        <v>0</v>
      </c>
      <c r="J33" s="194"/>
      <c r="K33" s="194"/>
      <c r="L33" s="193">
        <f t="shared" si="2"/>
        <v>0</v>
      </c>
      <c r="M33" s="193">
        <f t="shared" si="3"/>
        <v>0</v>
      </c>
      <c r="N33" s="200"/>
      <c r="O33" s="193">
        <v>16.904</v>
      </c>
      <c r="P33" s="193">
        <v>12.699</v>
      </c>
      <c r="Q33" s="193">
        <f t="shared" si="4"/>
        <v>0</v>
      </c>
      <c r="R33" s="196"/>
      <c r="S33" s="196"/>
      <c r="T33" s="196"/>
      <c r="U33" s="197"/>
      <c r="V33" s="198">
        <f t="shared" si="7"/>
        <v>0</v>
      </c>
      <c r="W33" s="198">
        <f t="shared" si="6"/>
        <v>0</v>
      </c>
      <c r="X33" s="42"/>
      <c r="Y33" s="42"/>
      <c r="Z33" s="42"/>
      <c r="AA33" s="42"/>
      <c r="AB33" s="42"/>
    </row>
    <row r="34" ht="14.25" customHeight="1">
      <c r="A34" s="160">
        <v>33.0</v>
      </c>
      <c r="B34" s="160" t="s">
        <v>25</v>
      </c>
      <c r="C34" s="193" t="s">
        <v>58</v>
      </c>
      <c r="D34" s="193"/>
      <c r="E34" s="193"/>
      <c r="F34" s="193"/>
      <c r="G34" s="193"/>
      <c r="H34" s="193"/>
      <c r="I34" s="193">
        <f t="shared" si="1"/>
        <v>0</v>
      </c>
      <c r="J34" s="194"/>
      <c r="K34" s="194"/>
      <c r="L34" s="193">
        <f t="shared" si="2"/>
        <v>0</v>
      </c>
      <c r="M34" s="193">
        <f t="shared" si="3"/>
        <v>0</v>
      </c>
      <c r="N34" s="200"/>
      <c r="O34" s="193">
        <v>16.904</v>
      </c>
      <c r="P34" s="193">
        <v>12.699</v>
      </c>
      <c r="Q34" s="193">
        <f t="shared" si="4"/>
        <v>0</v>
      </c>
      <c r="R34" s="196"/>
      <c r="S34" s="196"/>
      <c r="T34" s="196"/>
      <c r="U34" s="197"/>
      <c r="V34" s="198">
        <f t="shared" si="7"/>
        <v>0</v>
      </c>
      <c r="W34" s="198">
        <f t="shared" si="6"/>
        <v>0</v>
      </c>
      <c r="X34" s="42"/>
      <c r="Y34" s="42"/>
      <c r="Z34" s="42"/>
      <c r="AA34" s="42"/>
      <c r="AB34" s="42"/>
    </row>
    <row r="35" ht="14.25" customHeight="1">
      <c r="A35" s="160">
        <v>34.0</v>
      </c>
      <c r="B35" s="160" t="s">
        <v>25</v>
      </c>
      <c r="C35" s="193" t="s">
        <v>59</v>
      </c>
      <c r="D35" s="193"/>
      <c r="E35" s="193"/>
      <c r="F35" s="193"/>
      <c r="G35" s="193"/>
      <c r="H35" s="193"/>
      <c r="I35" s="193">
        <f t="shared" si="1"/>
        <v>0</v>
      </c>
      <c r="J35" s="194"/>
      <c r="K35" s="194"/>
      <c r="L35" s="193">
        <f t="shared" si="2"/>
        <v>0</v>
      </c>
      <c r="M35" s="193">
        <f t="shared" si="3"/>
        <v>0</v>
      </c>
      <c r="N35" s="200"/>
      <c r="O35" s="193">
        <v>16.904</v>
      </c>
      <c r="P35" s="193">
        <v>12.699</v>
      </c>
      <c r="Q35" s="193">
        <f t="shared" si="4"/>
        <v>0</v>
      </c>
      <c r="R35" s="196"/>
      <c r="S35" s="196"/>
      <c r="T35" s="196"/>
      <c r="U35" s="197"/>
      <c r="V35" s="198">
        <f t="shared" si="7"/>
        <v>0</v>
      </c>
      <c r="W35" s="198">
        <f t="shared" si="6"/>
        <v>0</v>
      </c>
      <c r="X35" s="42"/>
      <c r="Y35" s="42"/>
      <c r="Z35" s="42"/>
      <c r="AA35" s="42"/>
      <c r="AB35" s="42"/>
    </row>
    <row r="36" ht="14.25" customHeight="1">
      <c r="A36" s="160">
        <v>35.0</v>
      </c>
      <c r="B36" s="160" t="s">
        <v>25</v>
      </c>
      <c r="C36" s="161" t="s">
        <v>60</v>
      </c>
      <c r="D36" s="164">
        <v>6.0</v>
      </c>
      <c r="E36" s="164">
        <v>6.0</v>
      </c>
      <c r="F36" s="161"/>
      <c r="G36" s="164">
        <v>53.0</v>
      </c>
      <c r="H36" s="161"/>
      <c r="I36" s="161">
        <f t="shared" si="1"/>
        <v>74</v>
      </c>
      <c r="J36" s="165"/>
      <c r="K36" s="166">
        <v>127.0</v>
      </c>
      <c r="L36" s="161">
        <f t="shared" si="2"/>
        <v>0</v>
      </c>
      <c r="M36" s="161">
        <f t="shared" si="3"/>
        <v>127</v>
      </c>
      <c r="N36" s="167"/>
      <c r="O36" s="161">
        <v>16.904</v>
      </c>
      <c r="P36" s="161">
        <v>12.699</v>
      </c>
      <c r="Q36" s="161">
        <f t="shared" si="4"/>
        <v>177.618</v>
      </c>
      <c r="R36" s="168">
        <v>474429.0</v>
      </c>
      <c r="S36" s="168">
        <v>474519.0</v>
      </c>
      <c r="T36" s="168">
        <v>474519.0</v>
      </c>
      <c r="U36" s="169">
        <v>474609.0</v>
      </c>
      <c r="V36" s="170">
        <f t="shared" si="7"/>
        <v>90</v>
      </c>
      <c r="W36" s="170">
        <f t="shared" si="6"/>
        <v>90</v>
      </c>
      <c r="X36" s="42"/>
      <c r="Y36" s="42"/>
      <c r="Z36" s="42"/>
      <c r="AA36" s="42"/>
      <c r="AB36" s="42"/>
    </row>
    <row r="37" ht="14.25" customHeight="1">
      <c r="A37" s="160">
        <v>36.0</v>
      </c>
      <c r="B37" s="160" t="s">
        <v>25</v>
      </c>
      <c r="C37" s="183" t="s">
        <v>61</v>
      </c>
      <c r="D37" s="186">
        <v>4.0</v>
      </c>
      <c r="E37" s="186">
        <v>3.0</v>
      </c>
      <c r="F37" s="183"/>
      <c r="G37" s="186">
        <v>60.0</v>
      </c>
      <c r="H37" s="183"/>
      <c r="I37" s="183">
        <f t="shared" si="1"/>
        <v>0</v>
      </c>
      <c r="J37" s="187"/>
      <c r="K37" s="187"/>
      <c r="L37" s="183">
        <f t="shared" si="2"/>
        <v>0</v>
      </c>
      <c r="M37" s="183">
        <f t="shared" si="3"/>
        <v>60</v>
      </c>
      <c r="N37" s="188" t="s">
        <v>100</v>
      </c>
      <c r="O37" s="183">
        <v>16.904</v>
      </c>
      <c r="P37" s="183">
        <v>12.699</v>
      </c>
      <c r="Q37" s="183">
        <f t="shared" si="4"/>
        <v>105.713</v>
      </c>
      <c r="R37" s="189">
        <v>467396.0</v>
      </c>
      <c r="S37" s="189">
        <v>467504.0</v>
      </c>
      <c r="T37" s="190"/>
      <c r="U37" s="191"/>
      <c r="V37" s="192">
        <f t="shared" si="7"/>
        <v>108</v>
      </c>
      <c r="W37" s="192">
        <f t="shared" si="6"/>
        <v>0</v>
      </c>
      <c r="X37" s="42"/>
      <c r="Y37" s="42"/>
      <c r="Z37" s="42"/>
      <c r="AA37" s="42"/>
      <c r="AB37" s="42"/>
    </row>
    <row r="38" ht="14.25" customHeight="1">
      <c r="A38" s="160">
        <v>37.0</v>
      </c>
      <c r="B38" s="160" t="s">
        <v>25</v>
      </c>
      <c r="C38" s="193" t="s">
        <v>62</v>
      </c>
      <c r="D38" s="193"/>
      <c r="E38" s="193"/>
      <c r="F38" s="193"/>
      <c r="G38" s="193"/>
      <c r="H38" s="193"/>
      <c r="I38" s="193">
        <f t="shared" si="1"/>
        <v>0</v>
      </c>
      <c r="J38" s="194"/>
      <c r="K38" s="194"/>
      <c r="L38" s="193">
        <f t="shared" si="2"/>
        <v>0</v>
      </c>
      <c r="M38" s="193">
        <f t="shared" si="3"/>
        <v>0</v>
      </c>
      <c r="N38" s="200"/>
      <c r="O38" s="193">
        <v>16.904</v>
      </c>
      <c r="P38" s="193">
        <v>12.699</v>
      </c>
      <c r="Q38" s="193">
        <f t="shared" si="4"/>
        <v>0</v>
      </c>
      <c r="R38" s="196"/>
      <c r="S38" s="196"/>
      <c r="T38" s="196"/>
      <c r="U38" s="197"/>
      <c r="V38" s="198">
        <f t="shared" si="7"/>
        <v>0</v>
      </c>
      <c r="W38" s="198">
        <f t="shared" si="6"/>
        <v>0</v>
      </c>
      <c r="X38" s="42"/>
      <c r="Y38" s="42"/>
      <c r="Z38" s="42"/>
      <c r="AA38" s="42"/>
      <c r="AB38" s="42"/>
    </row>
    <row r="39" ht="14.25" customHeight="1">
      <c r="A39" s="160">
        <v>38.0</v>
      </c>
      <c r="B39" s="160" t="s">
        <v>25</v>
      </c>
      <c r="C39" s="161" t="s">
        <v>63</v>
      </c>
      <c r="D39" s="171">
        <v>7.0</v>
      </c>
      <c r="E39" s="163">
        <v>7.0</v>
      </c>
      <c r="F39" s="161"/>
      <c r="G39" s="164">
        <v>66.0</v>
      </c>
      <c r="H39" s="161"/>
      <c r="I39" s="161">
        <f t="shared" si="1"/>
        <v>110</v>
      </c>
      <c r="J39" s="165"/>
      <c r="K39" s="166">
        <v>176.0</v>
      </c>
      <c r="L39" s="161">
        <f t="shared" si="2"/>
        <v>0</v>
      </c>
      <c r="M39" s="161">
        <f t="shared" si="3"/>
        <v>176</v>
      </c>
      <c r="N39" s="167"/>
      <c r="O39" s="161">
        <v>16.904</v>
      </c>
      <c r="P39" s="161">
        <v>12.699</v>
      </c>
      <c r="Q39" s="161">
        <f t="shared" si="4"/>
        <v>207.221</v>
      </c>
      <c r="R39" s="168">
        <v>379450.0</v>
      </c>
      <c r="S39" s="168">
        <v>379540.0</v>
      </c>
      <c r="T39" s="168">
        <v>379540.0</v>
      </c>
      <c r="U39" s="169">
        <v>379660.0</v>
      </c>
      <c r="V39" s="170">
        <f t="shared" si="7"/>
        <v>90</v>
      </c>
      <c r="W39" s="170">
        <f t="shared" si="6"/>
        <v>120</v>
      </c>
      <c r="X39" s="42"/>
      <c r="Y39" s="42"/>
      <c r="Z39" s="42"/>
      <c r="AA39" s="42"/>
      <c r="AB39" s="42"/>
    </row>
    <row r="40" ht="14.25" customHeight="1">
      <c r="A40" s="160">
        <v>39.0</v>
      </c>
      <c r="B40" s="160" t="s">
        <v>25</v>
      </c>
      <c r="C40" s="161" t="s">
        <v>64</v>
      </c>
      <c r="D40" s="164">
        <v>6.0</v>
      </c>
      <c r="E40" s="164">
        <v>6.0</v>
      </c>
      <c r="F40" s="161"/>
      <c r="G40" s="164">
        <v>65.0</v>
      </c>
      <c r="H40" s="161"/>
      <c r="I40" s="161">
        <f t="shared" si="1"/>
        <v>104</v>
      </c>
      <c r="J40" s="165"/>
      <c r="K40" s="166">
        <v>169.0</v>
      </c>
      <c r="L40" s="161">
        <f t="shared" si="2"/>
        <v>0</v>
      </c>
      <c r="M40" s="161">
        <f t="shared" si="3"/>
        <v>169</v>
      </c>
      <c r="N40" s="167"/>
      <c r="O40" s="161">
        <v>16.904</v>
      </c>
      <c r="P40" s="161">
        <v>12.699</v>
      </c>
      <c r="Q40" s="161">
        <f t="shared" si="4"/>
        <v>177.618</v>
      </c>
      <c r="R40" s="168">
        <v>173246.0</v>
      </c>
      <c r="S40" s="168">
        <v>173336.0</v>
      </c>
      <c r="T40" s="168">
        <v>173336.0</v>
      </c>
      <c r="U40" s="169">
        <v>173423.0</v>
      </c>
      <c r="V40" s="170">
        <f t="shared" si="7"/>
        <v>90</v>
      </c>
      <c r="W40" s="170">
        <f t="shared" si="6"/>
        <v>87</v>
      </c>
      <c r="X40" s="42"/>
      <c r="Y40" s="42"/>
      <c r="Z40" s="42"/>
      <c r="AA40" s="42"/>
      <c r="AB40" s="42"/>
    </row>
    <row r="41" ht="14.25" customHeight="1">
      <c r="A41" s="160">
        <v>40.0</v>
      </c>
      <c r="B41" s="160" t="s">
        <v>25</v>
      </c>
      <c r="C41" s="161" t="s">
        <v>65</v>
      </c>
      <c r="D41" s="171">
        <v>7.0</v>
      </c>
      <c r="E41" s="163">
        <v>7.0</v>
      </c>
      <c r="F41" s="161"/>
      <c r="G41" s="164">
        <v>72.0</v>
      </c>
      <c r="H41" s="161"/>
      <c r="I41" s="161">
        <f t="shared" si="1"/>
        <v>119</v>
      </c>
      <c r="J41" s="165"/>
      <c r="K41" s="166">
        <v>191.0</v>
      </c>
      <c r="L41" s="161">
        <f t="shared" si="2"/>
        <v>0</v>
      </c>
      <c r="M41" s="161">
        <f t="shared" si="3"/>
        <v>191</v>
      </c>
      <c r="N41" s="167"/>
      <c r="O41" s="161">
        <v>16.904</v>
      </c>
      <c r="P41" s="161">
        <v>12.699</v>
      </c>
      <c r="Q41" s="161">
        <f t="shared" si="4"/>
        <v>207.221</v>
      </c>
      <c r="R41" s="168">
        <v>417218.0</v>
      </c>
      <c r="S41" s="168">
        <v>417308.0</v>
      </c>
      <c r="T41" s="168">
        <v>417308.0</v>
      </c>
      <c r="U41" s="169">
        <v>417428.0</v>
      </c>
      <c r="V41" s="170">
        <f t="shared" si="7"/>
        <v>90</v>
      </c>
      <c r="W41" s="170">
        <f t="shared" si="6"/>
        <v>120</v>
      </c>
      <c r="X41" s="42"/>
      <c r="Y41" s="42"/>
      <c r="Z41" s="42"/>
      <c r="AA41" s="42"/>
      <c r="AB41" s="42"/>
    </row>
    <row r="42" ht="14.25" customHeight="1">
      <c r="A42" s="160">
        <v>41.0</v>
      </c>
      <c r="B42" s="160" t="s">
        <v>25</v>
      </c>
      <c r="C42" s="193" t="s">
        <v>66</v>
      </c>
      <c r="D42" s="193"/>
      <c r="E42" s="193"/>
      <c r="F42" s="193"/>
      <c r="G42" s="193"/>
      <c r="H42" s="193"/>
      <c r="I42" s="193">
        <f t="shared" si="1"/>
        <v>0</v>
      </c>
      <c r="J42" s="194"/>
      <c r="K42" s="194"/>
      <c r="L42" s="193">
        <f t="shared" si="2"/>
        <v>0</v>
      </c>
      <c r="M42" s="193">
        <f t="shared" si="3"/>
        <v>0</v>
      </c>
      <c r="N42" s="200"/>
      <c r="O42" s="193">
        <v>16.904</v>
      </c>
      <c r="P42" s="193">
        <v>12.699</v>
      </c>
      <c r="Q42" s="193">
        <f t="shared" si="4"/>
        <v>0</v>
      </c>
      <c r="R42" s="196"/>
      <c r="S42" s="196"/>
      <c r="T42" s="196"/>
      <c r="U42" s="197"/>
      <c r="V42" s="198">
        <f t="shared" si="7"/>
        <v>0</v>
      </c>
      <c r="W42" s="198">
        <f t="shared" si="6"/>
        <v>0</v>
      </c>
      <c r="X42" s="42"/>
      <c r="Y42" s="42"/>
      <c r="Z42" s="42"/>
      <c r="AA42" s="42"/>
      <c r="AB42" s="42"/>
    </row>
    <row r="43" ht="14.25" customHeight="1">
      <c r="A43" s="160">
        <v>42.0</v>
      </c>
      <c r="B43" s="160" t="s">
        <v>25</v>
      </c>
      <c r="C43" s="193" t="s">
        <v>67</v>
      </c>
      <c r="D43" s="193"/>
      <c r="E43" s="193"/>
      <c r="F43" s="193"/>
      <c r="G43" s="193"/>
      <c r="H43" s="193"/>
      <c r="I43" s="193">
        <f t="shared" si="1"/>
        <v>0</v>
      </c>
      <c r="J43" s="194"/>
      <c r="K43" s="194"/>
      <c r="L43" s="193">
        <f t="shared" si="2"/>
        <v>0</v>
      </c>
      <c r="M43" s="193">
        <f t="shared" si="3"/>
        <v>0</v>
      </c>
      <c r="N43" s="200"/>
      <c r="O43" s="193">
        <v>16.904</v>
      </c>
      <c r="P43" s="193">
        <v>12.699</v>
      </c>
      <c r="Q43" s="193">
        <f t="shared" si="4"/>
        <v>0</v>
      </c>
      <c r="R43" s="196"/>
      <c r="S43" s="196"/>
      <c r="T43" s="196"/>
      <c r="U43" s="197"/>
      <c r="V43" s="198">
        <f t="shared" si="7"/>
        <v>0</v>
      </c>
      <c r="W43" s="198">
        <f t="shared" si="6"/>
        <v>0</v>
      </c>
      <c r="X43" s="42"/>
      <c r="Y43" s="42"/>
      <c r="Z43" s="42"/>
      <c r="AA43" s="42"/>
      <c r="AB43" s="42"/>
    </row>
    <row r="44" ht="14.25" customHeight="1">
      <c r="A44" s="160">
        <v>43.0</v>
      </c>
      <c r="B44" s="160" t="s">
        <v>25</v>
      </c>
      <c r="C44" s="161" t="s">
        <v>68</v>
      </c>
      <c r="D44" s="164">
        <v>6.0</v>
      </c>
      <c r="E44" s="164">
        <v>6.0</v>
      </c>
      <c r="F44" s="161"/>
      <c r="G44" s="164">
        <v>57.0</v>
      </c>
      <c r="H44" s="161"/>
      <c r="I44" s="161">
        <f t="shared" si="1"/>
        <v>79</v>
      </c>
      <c r="J44" s="165"/>
      <c r="K44" s="166">
        <v>136.0</v>
      </c>
      <c r="L44" s="161">
        <f t="shared" si="2"/>
        <v>0</v>
      </c>
      <c r="M44" s="161">
        <f t="shared" si="3"/>
        <v>136</v>
      </c>
      <c r="N44" s="167"/>
      <c r="O44" s="161">
        <v>16.904</v>
      </c>
      <c r="P44" s="161">
        <v>12.699</v>
      </c>
      <c r="Q44" s="161">
        <f t="shared" si="4"/>
        <v>177.618</v>
      </c>
      <c r="R44" s="168">
        <v>205839.0</v>
      </c>
      <c r="S44" s="168">
        <v>205901.0</v>
      </c>
      <c r="T44" s="168">
        <v>205901.0</v>
      </c>
      <c r="U44" s="201">
        <v>206023.0</v>
      </c>
      <c r="V44" s="170">
        <f t="shared" si="7"/>
        <v>62</v>
      </c>
      <c r="W44" s="170">
        <f t="shared" si="6"/>
        <v>122</v>
      </c>
      <c r="X44" s="42"/>
      <c r="Y44" s="42"/>
      <c r="Z44" s="42"/>
      <c r="AA44" s="42"/>
      <c r="AB44" s="42"/>
    </row>
    <row r="45" ht="14.25" customHeight="1">
      <c r="A45" s="160">
        <v>44.0</v>
      </c>
      <c r="B45" s="160" t="s">
        <v>25</v>
      </c>
      <c r="C45" s="161" t="s">
        <v>69</v>
      </c>
      <c r="D45" s="164">
        <v>6.0</v>
      </c>
      <c r="E45" s="164">
        <v>6.0</v>
      </c>
      <c r="F45" s="161"/>
      <c r="G45" s="164">
        <v>38.0</v>
      </c>
      <c r="H45" s="161"/>
      <c r="I45" s="161">
        <f t="shared" si="1"/>
        <v>85</v>
      </c>
      <c r="J45" s="165"/>
      <c r="K45" s="166">
        <v>123.0</v>
      </c>
      <c r="L45" s="161">
        <f t="shared" si="2"/>
        <v>0</v>
      </c>
      <c r="M45" s="161">
        <f t="shared" si="3"/>
        <v>123</v>
      </c>
      <c r="N45" s="167"/>
      <c r="O45" s="161">
        <v>16.904</v>
      </c>
      <c r="P45" s="161">
        <v>12.699</v>
      </c>
      <c r="Q45" s="161">
        <f t="shared" si="4"/>
        <v>177.618</v>
      </c>
      <c r="R45" s="168">
        <v>560641.0</v>
      </c>
      <c r="S45" s="168">
        <v>560731.0</v>
      </c>
      <c r="T45" s="168">
        <v>560731.0</v>
      </c>
      <c r="U45" s="169">
        <v>560821.0</v>
      </c>
      <c r="V45" s="170">
        <f t="shared" si="7"/>
        <v>90</v>
      </c>
      <c r="W45" s="170">
        <f t="shared" si="6"/>
        <v>90</v>
      </c>
      <c r="X45" s="42"/>
      <c r="Y45" s="42"/>
      <c r="Z45" s="42"/>
      <c r="AA45" s="42"/>
      <c r="AB45" s="42"/>
    </row>
    <row r="46" ht="14.25" customHeight="1">
      <c r="A46" s="160">
        <v>45.0</v>
      </c>
      <c r="B46" s="160" t="s">
        <v>25</v>
      </c>
      <c r="C46" s="161" t="s">
        <v>70</v>
      </c>
      <c r="D46" s="164">
        <v>7.0</v>
      </c>
      <c r="E46" s="164">
        <v>7.0</v>
      </c>
      <c r="F46" s="161"/>
      <c r="G46" s="164">
        <v>54.0</v>
      </c>
      <c r="H46" s="161"/>
      <c r="I46" s="161">
        <f t="shared" si="1"/>
        <v>42</v>
      </c>
      <c r="J46" s="165"/>
      <c r="K46" s="166">
        <v>96.0</v>
      </c>
      <c r="L46" s="161">
        <f t="shared" si="2"/>
        <v>0</v>
      </c>
      <c r="M46" s="161">
        <f t="shared" si="3"/>
        <v>96</v>
      </c>
      <c r="N46" s="167"/>
      <c r="O46" s="161">
        <v>16.904</v>
      </c>
      <c r="P46" s="161">
        <v>12.699</v>
      </c>
      <c r="Q46" s="161">
        <f t="shared" si="4"/>
        <v>207.221</v>
      </c>
      <c r="R46" s="168">
        <v>549864.0</v>
      </c>
      <c r="S46" s="168">
        <v>549954.0</v>
      </c>
      <c r="T46" s="168">
        <v>549954.0</v>
      </c>
      <c r="U46" s="169">
        <v>550874.0</v>
      </c>
      <c r="V46" s="170">
        <f t="shared" si="7"/>
        <v>90</v>
      </c>
      <c r="W46" s="170">
        <f t="shared" si="6"/>
        <v>920</v>
      </c>
      <c r="X46" s="42"/>
      <c r="Y46" s="42"/>
      <c r="Z46" s="42"/>
      <c r="AA46" s="42"/>
      <c r="AB46" s="42"/>
    </row>
    <row r="47" ht="14.25" customHeight="1">
      <c r="A47" s="160">
        <v>46.0</v>
      </c>
      <c r="B47" s="160" t="s">
        <v>25</v>
      </c>
      <c r="C47" s="161" t="s">
        <v>71</v>
      </c>
      <c r="D47" s="164">
        <v>7.0</v>
      </c>
      <c r="E47" s="164">
        <v>7.0</v>
      </c>
      <c r="F47" s="161"/>
      <c r="G47" s="164">
        <v>46.0</v>
      </c>
      <c r="H47" s="161"/>
      <c r="I47" s="161">
        <f t="shared" si="1"/>
        <v>101</v>
      </c>
      <c r="J47" s="165"/>
      <c r="K47" s="166">
        <v>147.0</v>
      </c>
      <c r="L47" s="161">
        <f t="shared" si="2"/>
        <v>0</v>
      </c>
      <c r="M47" s="161">
        <f t="shared" si="3"/>
        <v>147</v>
      </c>
      <c r="N47" s="167"/>
      <c r="O47" s="161">
        <v>16.904</v>
      </c>
      <c r="P47" s="161">
        <v>12.699</v>
      </c>
      <c r="Q47" s="161">
        <f t="shared" si="4"/>
        <v>207.221</v>
      </c>
      <c r="R47" s="168">
        <v>183130.0</v>
      </c>
      <c r="S47" s="168">
        <v>183223.0</v>
      </c>
      <c r="T47" s="168">
        <v>183223.0</v>
      </c>
      <c r="U47" s="169">
        <v>183347.0</v>
      </c>
      <c r="V47" s="170">
        <f t="shared" si="7"/>
        <v>93</v>
      </c>
      <c r="W47" s="170">
        <f t="shared" si="6"/>
        <v>124</v>
      </c>
      <c r="X47" s="42"/>
      <c r="Y47" s="42"/>
      <c r="Z47" s="42"/>
      <c r="AA47" s="42"/>
      <c r="AB47" s="42"/>
    </row>
    <row r="48" ht="14.25" customHeight="1">
      <c r="A48" s="160">
        <v>47.0</v>
      </c>
      <c r="B48" s="160" t="s">
        <v>25</v>
      </c>
      <c r="C48" s="161" t="s">
        <v>72</v>
      </c>
      <c r="D48" s="164">
        <v>7.0</v>
      </c>
      <c r="E48" s="164">
        <v>7.0</v>
      </c>
      <c r="F48" s="161"/>
      <c r="G48" s="164">
        <v>55.0</v>
      </c>
      <c r="H48" s="161"/>
      <c r="I48" s="161">
        <f t="shared" si="1"/>
        <v>104</v>
      </c>
      <c r="J48" s="165"/>
      <c r="K48" s="166">
        <v>159.0</v>
      </c>
      <c r="L48" s="161">
        <f t="shared" si="2"/>
        <v>0</v>
      </c>
      <c r="M48" s="161">
        <f t="shared" si="3"/>
        <v>159</v>
      </c>
      <c r="N48" s="167"/>
      <c r="O48" s="161">
        <v>16.904</v>
      </c>
      <c r="P48" s="161">
        <v>12.699</v>
      </c>
      <c r="Q48" s="161">
        <f t="shared" si="4"/>
        <v>207.221</v>
      </c>
      <c r="R48" s="168">
        <v>386474.0</v>
      </c>
      <c r="S48" s="168">
        <v>386562.0</v>
      </c>
      <c r="T48" s="168">
        <v>386562.0</v>
      </c>
      <c r="U48" s="169">
        <v>386678.0</v>
      </c>
      <c r="V48" s="170">
        <f t="shared" si="7"/>
        <v>88</v>
      </c>
      <c r="W48" s="170">
        <f t="shared" si="6"/>
        <v>116</v>
      </c>
      <c r="X48" s="42"/>
      <c r="Y48" s="42"/>
      <c r="Z48" s="42"/>
      <c r="AA48" s="42"/>
      <c r="AB48" s="42"/>
    </row>
    <row r="49" ht="14.25" customHeight="1">
      <c r="A49" s="160">
        <v>48.0</v>
      </c>
      <c r="B49" s="160" t="s">
        <v>25</v>
      </c>
      <c r="C49" s="161" t="s">
        <v>73</v>
      </c>
      <c r="D49" s="164">
        <v>7.0</v>
      </c>
      <c r="E49" s="164">
        <v>7.0</v>
      </c>
      <c r="F49" s="161"/>
      <c r="G49" s="164">
        <v>64.0</v>
      </c>
      <c r="H49" s="161"/>
      <c r="I49" s="161">
        <f t="shared" si="1"/>
        <v>123</v>
      </c>
      <c r="J49" s="165"/>
      <c r="K49" s="166">
        <v>187.0</v>
      </c>
      <c r="L49" s="161">
        <f t="shared" si="2"/>
        <v>0</v>
      </c>
      <c r="M49" s="161">
        <f t="shared" si="3"/>
        <v>187</v>
      </c>
      <c r="N49" s="167"/>
      <c r="O49" s="161">
        <v>16.904</v>
      </c>
      <c r="P49" s="161">
        <v>12.699</v>
      </c>
      <c r="Q49" s="161">
        <f t="shared" si="4"/>
        <v>207.221</v>
      </c>
      <c r="R49" s="168">
        <v>183209.0</v>
      </c>
      <c r="S49" s="168">
        <v>183269.0</v>
      </c>
      <c r="T49" s="168">
        <v>183269.0</v>
      </c>
      <c r="U49" s="169">
        <v>183415.0</v>
      </c>
      <c r="V49" s="170">
        <f t="shared" si="7"/>
        <v>60</v>
      </c>
      <c r="W49" s="170">
        <f t="shared" si="6"/>
        <v>146</v>
      </c>
      <c r="X49" s="42"/>
      <c r="Y49" s="42"/>
      <c r="Z49" s="42"/>
      <c r="AA49" s="42"/>
      <c r="AB49" s="42"/>
    </row>
    <row r="50" ht="14.25" customHeight="1">
      <c r="A50" s="160">
        <v>49.0</v>
      </c>
      <c r="B50" s="160" t="s">
        <v>25</v>
      </c>
      <c r="C50" s="161" t="s">
        <v>74</v>
      </c>
      <c r="D50" s="164">
        <v>7.0</v>
      </c>
      <c r="E50" s="164">
        <v>7.0</v>
      </c>
      <c r="F50" s="161"/>
      <c r="G50" s="164">
        <v>57.0</v>
      </c>
      <c r="H50" s="161"/>
      <c r="I50" s="161">
        <f t="shared" si="1"/>
        <v>113</v>
      </c>
      <c r="J50" s="165"/>
      <c r="K50" s="166">
        <v>170.0</v>
      </c>
      <c r="L50" s="161">
        <f t="shared" si="2"/>
        <v>0</v>
      </c>
      <c r="M50" s="161">
        <f t="shared" si="3"/>
        <v>170</v>
      </c>
      <c r="N50" s="167"/>
      <c r="O50" s="161">
        <v>16.904</v>
      </c>
      <c r="P50" s="161">
        <v>12.699</v>
      </c>
      <c r="Q50" s="161">
        <f t="shared" si="4"/>
        <v>207.221</v>
      </c>
      <c r="R50" s="168">
        <v>177536.0</v>
      </c>
      <c r="S50" s="168">
        <v>177627.0</v>
      </c>
      <c r="T50" s="168">
        <v>177627.0</v>
      </c>
      <c r="U50" s="169">
        <v>177748.0</v>
      </c>
      <c r="V50" s="170">
        <f t="shared" si="7"/>
        <v>91</v>
      </c>
      <c r="W50" s="170">
        <f t="shared" si="6"/>
        <v>121</v>
      </c>
      <c r="X50" s="42"/>
      <c r="Y50" s="42"/>
      <c r="Z50" s="42"/>
      <c r="AA50" s="42"/>
      <c r="AB50" s="42"/>
    </row>
    <row r="51" ht="14.25" customHeight="1">
      <c r="A51" s="160">
        <v>50.0</v>
      </c>
      <c r="B51" s="160" t="s">
        <v>25</v>
      </c>
      <c r="C51" s="161" t="s">
        <v>75</v>
      </c>
      <c r="D51" s="164">
        <v>6.0</v>
      </c>
      <c r="E51" s="164">
        <v>6.0</v>
      </c>
      <c r="F51" s="161"/>
      <c r="G51" s="164">
        <v>53.0</v>
      </c>
      <c r="H51" s="161"/>
      <c r="I51" s="161">
        <f t="shared" si="1"/>
        <v>88</v>
      </c>
      <c r="J51" s="165"/>
      <c r="K51" s="166">
        <v>141.0</v>
      </c>
      <c r="L51" s="161">
        <f t="shared" si="2"/>
        <v>0</v>
      </c>
      <c r="M51" s="161">
        <f t="shared" si="3"/>
        <v>141</v>
      </c>
      <c r="N51" s="167"/>
      <c r="O51" s="161">
        <v>16.904</v>
      </c>
      <c r="P51" s="161">
        <v>12.699</v>
      </c>
      <c r="Q51" s="161">
        <f t="shared" si="4"/>
        <v>177.618</v>
      </c>
      <c r="R51" s="168">
        <v>198044.0</v>
      </c>
      <c r="S51" s="168">
        <v>198137.0</v>
      </c>
      <c r="T51" s="168">
        <v>198137.0</v>
      </c>
      <c r="U51" s="169">
        <v>198230.0</v>
      </c>
      <c r="V51" s="170">
        <f t="shared" si="7"/>
        <v>93</v>
      </c>
      <c r="W51" s="170">
        <f t="shared" si="6"/>
        <v>93</v>
      </c>
      <c r="X51" s="42"/>
      <c r="Y51" s="42"/>
      <c r="Z51" s="42"/>
      <c r="AA51" s="42"/>
      <c r="AB51" s="42"/>
    </row>
    <row r="52" ht="14.25" customHeight="1">
      <c r="A52" s="160">
        <v>51.0</v>
      </c>
      <c r="B52" s="160" t="s">
        <v>25</v>
      </c>
      <c r="C52" s="161" t="s">
        <v>76</v>
      </c>
      <c r="D52" s="164">
        <v>7.0</v>
      </c>
      <c r="E52" s="164">
        <v>7.0</v>
      </c>
      <c r="F52" s="161"/>
      <c r="G52" s="164">
        <v>56.0</v>
      </c>
      <c r="H52" s="161"/>
      <c r="I52" s="161">
        <f t="shared" si="1"/>
        <v>150</v>
      </c>
      <c r="J52" s="165"/>
      <c r="K52" s="166">
        <v>206.0</v>
      </c>
      <c r="L52" s="161">
        <f t="shared" si="2"/>
        <v>0</v>
      </c>
      <c r="M52" s="161">
        <f t="shared" si="3"/>
        <v>206</v>
      </c>
      <c r="N52" s="167"/>
      <c r="O52" s="161">
        <v>16.904</v>
      </c>
      <c r="P52" s="161">
        <v>12.699</v>
      </c>
      <c r="Q52" s="161">
        <f t="shared" si="4"/>
        <v>207.221</v>
      </c>
      <c r="R52" s="168">
        <v>529577.0</v>
      </c>
      <c r="S52" s="168">
        <v>529667.0</v>
      </c>
      <c r="T52" s="168">
        <v>529667.0</v>
      </c>
      <c r="U52" s="169">
        <v>529787.0</v>
      </c>
      <c r="V52" s="170">
        <f t="shared" si="7"/>
        <v>90</v>
      </c>
      <c r="W52" s="170">
        <f t="shared" si="6"/>
        <v>120</v>
      </c>
      <c r="X52" s="42"/>
      <c r="Y52" s="42"/>
      <c r="Z52" s="42"/>
      <c r="AA52" s="42"/>
      <c r="AB52" s="42"/>
    </row>
    <row r="53" ht="14.25" customHeight="1">
      <c r="A53" s="160">
        <v>52.0</v>
      </c>
      <c r="B53" s="160" t="s">
        <v>25</v>
      </c>
      <c r="C53" s="161" t="s">
        <v>77</v>
      </c>
      <c r="D53" s="164">
        <v>7.0</v>
      </c>
      <c r="E53" s="164">
        <v>7.0</v>
      </c>
      <c r="F53" s="161"/>
      <c r="G53" s="164">
        <v>48.0</v>
      </c>
      <c r="H53" s="161"/>
      <c r="I53" s="161">
        <f t="shared" si="1"/>
        <v>129</v>
      </c>
      <c r="J53" s="165"/>
      <c r="K53" s="166">
        <v>177.0</v>
      </c>
      <c r="L53" s="161">
        <f t="shared" si="2"/>
        <v>0</v>
      </c>
      <c r="M53" s="161">
        <f t="shared" si="3"/>
        <v>177</v>
      </c>
      <c r="N53" s="167"/>
      <c r="O53" s="161">
        <v>16.904</v>
      </c>
      <c r="P53" s="161">
        <v>12.699</v>
      </c>
      <c r="Q53" s="161">
        <f t="shared" si="4"/>
        <v>207.221</v>
      </c>
      <c r="R53" s="168">
        <v>479335.0</v>
      </c>
      <c r="S53" s="168">
        <v>479427.0</v>
      </c>
      <c r="T53" s="168">
        <v>479427.0</v>
      </c>
      <c r="U53" s="169">
        <v>479650.0</v>
      </c>
      <c r="V53" s="170">
        <f t="shared" si="7"/>
        <v>92</v>
      </c>
      <c r="W53" s="170">
        <f t="shared" si="6"/>
        <v>223</v>
      </c>
      <c r="X53" s="42"/>
      <c r="Y53" s="42"/>
      <c r="Z53" s="42"/>
      <c r="AA53" s="42"/>
      <c r="AB53" s="42"/>
    </row>
    <row r="54" ht="14.25" customHeight="1">
      <c r="A54" s="160">
        <v>53.0</v>
      </c>
      <c r="B54" s="160" t="s">
        <v>25</v>
      </c>
      <c r="C54" s="183" t="s">
        <v>78</v>
      </c>
      <c r="D54" s="186">
        <v>3.0</v>
      </c>
      <c r="E54" s="186">
        <v>3.0</v>
      </c>
      <c r="F54" s="183"/>
      <c r="G54" s="186">
        <v>102.0</v>
      </c>
      <c r="H54" s="183"/>
      <c r="I54" s="183">
        <f t="shared" si="1"/>
        <v>0</v>
      </c>
      <c r="J54" s="187"/>
      <c r="K54" s="187"/>
      <c r="L54" s="183">
        <f t="shared" si="2"/>
        <v>0</v>
      </c>
      <c r="M54" s="183">
        <f t="shared" si="3"/>
        <v>102</v>
      </c>
      <c r="N54" s="188" t="s">
        <v>110</v>
      </c>
      <c r="O54" s="183">
        <v>16.904</v>
      </c>
      <c r="P54" s="183">
        <v>12.699</v>
      </c>
      <c r="Q54" s="183">
        <f t="shared" si="4"/>
        <v>88.809</v>
      </c>
      <c r="R54" s="189">
        <v>492845.0</v>
      </c>
      <c r="S54" s="189">
        <v>492935.0</v>
      </c>
      <c r="T54" s="189"/>
      <c r="U54" s="191"/>
      <c r="V54" s="192">
        <f t="shared" si="7"/>
        <v>90</v>
      </c>
      <c r="W54" s="192">
        <f t="shared" si="6"/>
        <v>0</v>
      </c>
      <c r="X54" s="42"/>
      <c r="Y54" s="42"/>
      <c r="Z54" s="42"/>
      <c r="AA54" s="42"/>
      <c r="AB54" s="42"/>
    </row>
    <row r="55" ht="14.25" customHeight="1">
      <c r="A55" s="160">
        <v>54.0</v>
      </c>
      <c r="B55" s="160" t="s">
        <v>25</v>
      </c>
      <c r="C55" s="161" t="s">
        <v>79</v>
      </c>
      <c r="D55" s="164">
        <v>7.0</v>
      </c>
      <c r="E55" s="164">
        <v>7.0</v>
      </c>
      <c r="F55" s="161"/>
      <c r="G55" s="164">
        <v>47.0</v>
      </c>
      <c r="H55" s="161"/>
      <c r="I55" s="161">
        <f t="shared" si="1"/>
        <v>103</v>
      </c>
      <c r="J55" s="165"/>
      <c r="K55" s="166">
        <v>150.0</v>
      </c>
      <c r="L55" s="161">
        <f t="shared" si="2"/>
        <v>0</v>
      </c>
      <c r="M55" s="161">
        <f t="shared" si="3"/>
        <v>150</v>
      </c>
      <c r="N55" s="167"/>
      <c r="O55" s="161">
        <v>16.904</v>
      </c>
      <c r="P55" s="161">
        <v>12.699</v>
      </c>
      <c r="Q55" s="161">
        <f t="shared" si="4"/>
        <v>207.221</v>
      </c>
      <c r="R55" s="168">
        <v>521369.0</v>
      </c>
      <c r="S55" s="168">
        <v>521459.0</v>
      </c>
      <c r="T55" s="168">
        <v>521459.0</v>
      </c>
      <c r="U55" s="169">
        <v>521579.0</v>
      </c>
      <c r="V55" s="170">
        <f t="shared" si="7"/>
        <v>90</v>
      </c>
      <c r="W55" s="170">
        <f t="shared" si="6"/>
        <v>120</v>
      </c>
      <c r="X55" s="42"/>
      <c r="Y55" s="42"/>
      <c r="Z55" s="42"/>
      <c r="AA55" s="42"/>
      <c r="AB55" s="42"/>
    </row>
    <row r="56" ht="14.25" customHeight="1">
      <c r="A56" s="160">
        <v>55.0</v>
      </c>
      <c r="B56" s="160" t="s">
        <v>25</v>
      </c>
      <c r="C56" s="161" t="s">
        <v>80</v>
      </c>
      <c r="D56" s="164">
        <v>7.0</v>
      </c>
      <c r="E56" s="164">
        <v>7.0</v>
      </c>
      <c r="F56" s="161"/>
      <c r="G56" s="164">
        <v>54.0</v>
      </c>
      <c r="H56" s="161"/>
      <c r="I56" s="161">
        <f t="shared" si="1"/>
        <v>98</v>
      </c>
      <c r="J56" s="165"/>
      <c r="K56" s="166">
        <v>152.0</v>
      </c>
      <c r="L56" s="161">
        <f t="shared" si="2"/>
        <v>0</v>
      </c>
      <c r="M56" s="161">
        <f t="shared" si="3"/>
        <v>152</v>
      </c>
      <c r="N56" s="167"/>
      <c r="O56" s="161">
        <v>16.904</v>
      </c>
      <c r="P56" s="161">
        <v>12.699</v>
      </c>
      <c r="Q56" s="161">
        <f t="shared" si="4"/>
        <v>207.221</v>
      </c>
      <c r="R56" s="168">
        <v>512615.0</v>
      </c>
      <c r="S56" s="168">
        <v>512705.0</v>
      </c>
      <c r="T56" s="168">
        <v>512705.0</v>
      </c>
      <c r="U56" s="169">
        <v>512825.0</v>
      </c>
      <c r="V56" s="170">
        <f t="shared" si="7"/>
        <v>90</v>
      </c>
      <c r="W56" s="170">
        <f t="shared" si="6"/>
        <v>120</v>
      </c>
      <c r="X56" s="42"/>
      <c r="Y56" s="42"/>
      <c r="Z56" s="42"/>
      <c r="AA56" s="42"/>
      <c r="AB56" s="42"/>
    </row>
    <row r="57" ht="14.25" customHeight="1">
      <c r="A57" s="160">
        <v>56.0</v>
      </c>
      <c r="B57" s="160" t="s">
        <v>25</v>
      </c>
      <c r="C57" s="161" t="s">
        <v>81</v>
      </c>
      <c r="D57" s="164">
        <v>7.0</v>
      </c>
      <c r="E57" s="164">
        <v>6.0</v>
      </c>
      <c r="F57" s="161"/>
      <c r="G57" s="164">
        <v>51.0</v>
      </c>
      <c r="H57" s="161"/>
      <c r="I57" s="161">
        <f t="shared" si="1"/>
        <v>98</v>
      </c>
      <c r="J57" s="165"/>
      <c r="K57" s="166">
        <v>149.0</v>
      </c>
      <c r="L57" s="161">
        <f t="shared" si="2"/>
        <v>0</v>
      </c>
      <c r="M57" s="161">
        <f t="shared" si="3"/>
        <v>149</v>
      </c>
      <c r="N57" s="167"/>
      <c r="O57" s="161">
        <v>16.904</v>
      </c>
      <c r="P57" s="161">
        <v>12.699</v>
      </c>
      <c r="Q57" s="161">
        <f t="shared" si="4"/>
        <v>194.522</v>
      </c>
      <c r="R57" s="168">
        <v>482056.0</v>
      </c>
      <c r="S57" s="168">
        <v>482151.0</v>
      </c>
      <c r="T57" s="168">
        <v>482151.0</v>
      </c>
      <c r="U57" s="169">
        <v>482258.0</v>
      </c>
      <c r="V57" s="170">
        <f t="shared" si="7"/>
        <v>95</v>
      </c>
      <c r="W57" s="170">
        <f t="shared" si="6"/>
        <v>107</v>
      </c>
      <c r="X57" s="42"/>
      <c r="Y57" s="42"/>
      <c r="Z57" s="42"/>
      <c r="AA57" s="42"/>
      <c r="AB57" s="42"/>
    </row>
    <row r="58" ht="14.25" customHeight="1">
      <c r="A58" s="160">
        <v>57.0</v>
      </c>
      <c r="B58" s="160" t="s">
        <v>25</v>
      </c>
      <c r="C58" s="161" t="s">
        <v>82</v>
      </c>
      <c r="D58" s="164">
        <v>6.0</v>
      </c>
      <c r="E58" s="164">
        <v>6.0</v>
      </c>
      <c r="F58" s="161"/>
      <c r="G58" s="164">
        <v>62.0</v>
      </c>
      <c r="H58" s="161"/>
      <c r="I58" s="161">
        <f t="shared" si="1"/>
        <v>113</v>
      </c>
      <c r="J58" s="165"/>
      <c r="K58" s="166">
        <v>175.0</v>
      </c>
      <c r="L58" s="161">
        <f t="shared" si="2"/>
        <v>0</v>
      </c>
      <c r="M58" s="161">
        <f t="shared" si="3"/>
        <v>175</v>
      </c>
      <c r="N58" s="167"/>
      <c r="O58" s="161">
        <v>16.904</v>
      </c>
      <c r="P58" s="161">
        <v>12.699</v>
      </c>
      <c r="Q58" s="161">
        <f t="shared" si="4"/>
        <v>177.618</v>
      </c>
      <c r="R58" s="168">
        <v>459742.0</v>
      </c>
      <c r="S58" s="168">
        <v>459832.0</v>
      </c>
      <c r="T58" s="168">
        <v>459832.0</v>
      </c>
      <c r="U58" s="169">
        <v>459922.0</v>
      </c>
      <c r="V58" s="170">
        <f t="shared" si="7"/>
        <v>90</v>
      </c>
      <c r="W58" s="170">
        <f t="shared" si="6"/>
        <v>90</v>
      </c>
      <c r="X58" s="42"/>
      <c r="Y58" s="42"/>
      <c r="Z58" s="42"/>
      <c r="AA58" s="42"/>
      <c r="AB58" s="42"/>
    </row>
    <row r="59" ht="14.25" customHeight="1">
      <c r="A59" s="160">
        <v>58.0</v>
      </c>
      <c r="B59" s="160" t="s">
        <v>25</v>
      </c>
      <c r="C59" s="161" t="s">
        <v>83</v>
      </c>
      <c r="D59" s="162">
        <v>7.0</v>
      </c>
      <c r="E59" s="199">
        <v>6.0</v>
      </c>
      <c r="F59" s="161"/>
      <c r="G59" s="164">
        <v>52.0</v>
      </c>
      <c r="H59" s="161"/>
      <c r="I59" s="161">
        <f t="shared" si="1"/>
        <v>101</v>
      </c>
      <c r="J59" s="165"/>
      <c r="K59" s="166">
        <v>153.0</v>
      </c>
      <c r="L59" s="161">
        <f t="shared" si="2"/>
        <v>0</v>
      </c>
      <c r="M59" s="161">
        <f t="shared" si="3"/>
        <v>153</v>
      </c>
      <c r="N59" s="167"/>
      <c r="O59" s="161">
        <v>16.904</v>
      </c>
      <c r="P59" s="161">
        <v>12.699</v>
      </c>
      <c r="Q59" s="161">
        <f t="shared" si="4"/>
        <v>194.522</v>
      </c>
      <c r="R59" s="168">
        <v>446687.0</v>
      </c>
      <c r="S59" s="168">
        <v>446777.0</v>
      </c>
      <c r="T59" s="168">
        <v>446777.0</v>
      </c>
      <c r="U59" s="169">
        <v>446884.0</v>
      </c>
      <c r="V59" s="170">
        <f t="shared" si="7"/>
        <v>90</v>
      </c>
      <c r="W59" s="170">
        <f t="shared" si="6"/>
        <v>107</v>
      </c>
      <c r="X59" s="42"/>
      <c r="Y59" s="42"/>
      <c r="Z59" s="42"/>
      <c r="AA59" s="42"/>
      <c r="AB59" s="42"/>
    </row>
    <row r="60" ht="14.25" customHeight="1">
      <c r="A60" s="160">
        <v>59.0</v>
      </c>
      <c r="B60" s="160" t="s">
        <v>25</v>
      </c>
      <c r="C60" s="161" t="s">
        <v>84</v>
      </c>
      <c r="D60" s="162">
        <v>7.0</v>
      </c>
      <c r="E60" s="199">
        <v>6.0</v>
      </c>
      <c r="F60" s="161"/>
      <c r="G60" s="164">
        <v>57.0</v>
      </c>
      <c r="H60" s="161"/>
      <c r="I60" s="161">
        <f t="shared" si="1"/>
        <v>89</v>
      </c>
      <c r="J60" s="165"/>
      <c r="K60" s="166">
        <v>146.0</v>
      </c>
      <c r="L60" s="161">
        <f t="shared" si="2"/>
        <v>0</v>
      </c>
      <c r="M60" s="161">
        <f t="shared" si="3"/>
        <v>146</v>
      </c>
      <c r="N60" s="167"/>
      <c r="O60" s="161">
        <v>16.904</v>
      </c>
      <c r="P60" s="161">
        <v>12.699</v>
      </c>
      <c r="Q60" s="161">
        <f t="shared" si="4"/>
        <v>194.522</v>
      </c>
      <c r="R60" s="202">
        <v>502434.0</v>
      </c>
      <c r="S60" s="202">
        <v>502525.0</v>
      </c>
      <c r="T60" s="202">
        <v>502525.0</v>
      </c>
      <c r="U60" s="203">
        <v>502632.0</v>
      </c>
      <c r="V60" s="204">
        <f t="shared" si="7"/>
        <v>91</v>
      </c>
      <c r="W60" s="204">
        <f t="shared" si="6"/>
        <v>107</v>
      </c>
      <c r="X60" s="42"/>
      <c r="Y60" s="42"/>
      <c r="Z60" s="42"/>
      <c r="AA60" s="42"/>
      <c r="AB60" s="42"/>
    </row>
    <row r="61" ht="14.25" customHeight="1">
      <c r="A61" s="160">
        <v>60.0</v>
      </c>
      <c r="B61" s="160" t="s">
        <v>25</v>
      </c>
      <c r="C61" s="161" t="s">
        <v>85</v>
      </c>
      <c r="D61" s="171">
        <v>7.0</v>
      </c>
      <c r="E61" s="199">
        <v>6.0</v>
      </c>
      <c r="F61" s="161"/>
      <c r="G61" s="164">
        <v>48.0</v>
      </c>
      <c r="H61" s="161"/>
      <c r="I61" s="161">
        <f t="shared" si="1"/>
        <v>90</v>
      </c>
      <c r="J61" s="165"/>
      <c r="K61" s="166">
        <v>138.0</v>
      </c>
      <c r="L61" s="161">
        <f t="shared" si="2"/>
        <v>0</v>
      </c>
      <c r="M61" s="161">
        <f t="shared" si="3"/>
        <v>138</v>
      </c>
      <c r="N61" s="167"/>
      <c r="O61" s="161">
        <v>16.904</v>
      </c>
      <c r="P61" s="161">
        <v>12.699</v>
      </c>
      <c r="Q61" s="161">
        <f t="shared" si="4"/>
        <v>194.522</v>
      </c>
      <c r="R61" s="40">
        <v>451067.0</v>
      </c>
      <c r="S61" s="40">
        <v>451157.0</v>
      </c>
      <c r="T61" s="40">
        <v>451157.0</v>
      </c>
      <c r="U61" s="40">
        <v>451264.0</v>
      </c>
      <c r="V61" s="205">
        <f t="shared" si="7"/>
        <v>90</v>
      </c>
      <c r="W61" s="205">
        <f t="shared" si="6"/>
        <v>107</v>
      </c>
      <c r="X61" s="42"/>
      <c r="Y61" s="42"/>
      <c r="Z61" s="42"/>
      <c r="AA61" s="42"/>
      <c r="AB61" s="42"/>
    </row>
    <row r="62" ht="14.25" customHeight="1">
      <c r="A62" s="206"/>
      <c r="B62" s="207"/>
      <c r="C62" s="42"/>
      <c r="D62" s="208" t="s">
        <v>86</v>
      </c>
      <c r="E62" s="209">
        <f>SUM(M:M)</f>
        <v>6676</v>
      </c>
      <c r="F62" s="42"/>
      <c r="G62" s="42"/>
      <c r="H62" s="42"/>
      <c r="I62" s="42"/>
      <c r="J62" s="42"/>
      <c r="K62" s="42"/>
      <c r="L62" s="42"/>
      <c r="M62" s="42"/>
      <c r="N62" s="210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</row>
    <row r="63" ht="14.25" customHeight="1">
      <c r="A63" s="206"/>
      <c r="B63" s="207"/>
      <c r="C63" s="42"/>
      <c r="D63" s="208" t="s">
        <v>87</v>
      </c>
      <c r="E63" s="209">
        <f>SUM(Q:Q)</f>
        <v>8906.214</v>
      </c>
      <c r="F63" s="42"/>
      <c r="G63" s="42"/>
      <c r="H63" s="42"/>
      <c r="I63" s="42"/>
      <c r="J63" s="42"/>
      <c r="K63" s="42"/>
      <c r="L63" s="42"/>
      <c r="M63" s="42"/>
      <c r="N63" s="210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</row>
    <row r="64" ht="14.25" customHeight="1">
      <c r="A64" s="206"/>
      <c r="B64" s="207"/>
      <c r="C64" s="42"/>
      <c r="D64" s="208" t="s">
        <v>88</v>
      </c>
      <c r="E64" s="209">
        <f>E62/E63</f>
        <v>0.7495889948</v>
      </c>
      <c r="F64" s="42"/>
      <c r="G64" s="42"/>
      <c r="H64" s="42"/>
      <c r="I64" s="42"/>
      <c r="J64" s="42"/>
      <c r="K64" s="42"/>
      <c r="L64" s="42"/>
      <c r="M64" s="42"/>
      <c r="N64" s="210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</row>
    <row r="65" ht="14.25" customHeight="1">
      <c r="A65" s="206"/>
      <c r="B65" s="207"/>
      <c r="C65" s="42"/>
      <c r="D65" s="211"/>
      <c r="E65" s="212"/>
      <c r="F65" s="42"/>
      <c r="G65" s="42"/>
      <c r="H65" s="42"/>
      <c r="I65" s="42"/>
      <c r="J65" s="42"/>
      <c r="K65" s="42"/>
      <c r="L65" s="42"/>
      <c r="M65" s="42"/>
      <c r="N65" s="210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</row>
    <row r="66" ht="14.25" customHeight="1">
      <c r="A66" s="206"/>
      <c r="B66" s="207"/>
      <c r="C66" s="42"/>
      <c r="D66" s="213" t="s">
        <v>89</v>
      </c>
      <c r="E66" s="214">
        <f>AVERAGEIF(Q:Q,"&gt;0",Q:Q)</f>
        <v>189.4939149</v>
      </c>
      <c r="F66" s="42"/>
      <c r="G66" s="42"/>
      <c r="H66" s="42"/>
      <c r="I66" s="42"/>
      <c r="J66" s="42"/>
      <c r="K66" s="42"/>
      <c r="L66" s="42"/>
      <c r="M66" s="42"/>
      <c r="N66" s="210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</row>
    <row r="67" ht="14.25" customHeight="1">
      <c r="A67" s="206"/>
      <c r="B67" s="207"/>
      <c r="C67" s="42"/>
      <c r="D67" s="158"/>
      <c r="E67" s="212"/>
      <c r="F67" s="42"/>
      <c r="G67" s="42"/>
      <c r="H67" s="42"/>
      <c r="I67" s="42"/>
      <c r="J67" s="42"/>
      <c r="K67" s="42"/>
      <c r="L67" s="42"/>
      <c r="M67" s="42"/>
      <c r="N67" s="210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</row>
    <row r="68" ht="14.25" customHeight="1">
      <c r="A68" s="206"/>
      <c r="B68" s="207"/>
      <c r="C68" s="42"/>
      <c r="D68" s="215" t="s">
        <v>90</v>
      </c>
      <c r="E68" s="216">
        <f>SUM(G:G)</f>
        <v>2439</v>
      </c>
      <c r="F68" s="42"/>
      <c r="G68" s="42"/>
      <c r="H68" s="42"/>
      <c r="I68" s="42"/>
      <c r="J68" s="42"/>
      <c r="K68" s="42"/>
      <c r="L68" s="42"/>
      <c r="M68" s="42"/>
      <c r="N68" s="210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</row>
    <row r="69" ht="14.25" customHeight="1">
      <c r="A69" s="206"/>
      <c r="B69" s="207"/>
      <c r="C69" s="42"/>
      <c r="D69" s="215" t="s">
        <v>91</v>
      </c>
      <c r="E69" s="216">
        <f>SUM(H:H)</f>
        <v>0</v>
      </c>
      <c r="F69" s="42"/>
      <c r="G69" s="42"/>
      <c r="H69" s="42"/>
      <c r="I69" s="42"/>
      <c r="J69" s="42"/>
      <c r="K69" s="42"/>
      <c r="L69" s="42"/>
      <c r="M69" s="42"/>
      <c r="N69" s="210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</row>
    <row r="70" ht="14.25" customHeight="1">
      <c r="A70" s="206"/>
      <c r="B70" s="207"/>
      <c r="C70" s="42"/>
      <c r="D70" s="215" t="s">
        <v>92</v>
      </c>
      <c r="E70" s="216">
        <f>E69+E68</f>
        <v>2439</v>
      </c>
      <c r="F70" s="42"/>
      <c r="G70" s="42"/>
      <c r="H70" s="42"/>
      <c r="I70" s="42"/>
      <c r="J70" s="42"/>
      <c r="K70" s="42"/>
      <c r="L70" s="42"/>
      <c r="M70" s="42"/>
      <c r="N70" s="210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</row>
    <row r="71" ht="14.25" customHeight="1">
      <c r="A71" s="206"/>
      <c r="B71" s="207"/>
      <c r="C71" s="42"/>
      <c r="D71" s="158"/>
      <c r="E71" s="212"/>
      <c r="F71" s="42"/>
      <c r="G71" s="42"/>
      <c r="H71" s="42"/>
      <c r="I71" s="42"/>
      <c r="J71" s="42"/>
      <c r="K71" s="42"/>
      <c r="L71" s="42"/>
      <c r="M71" s="42"/>
      <c r="N71" s="210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</row>
    <row r="72" ht="14.25" customHeight="1">
      <c r="A72" s="206"/>
      <c r="B72" s="207"/>
      <c r="C72" s="42"/>
      <c r="D72" s="217" t="s">
        <v>93</v>
      </c>
      <c r="E72" s="218">
        <f>SUM(I:I)</f>
        <v>4237</v>
      </c>
      <c r="F72" s="42"/>
      <c r="G72" s="42"/>
      <c r="H72" s="42"/>
      <c r="I72" s="42"/>
      <c r="J72" s="42"/>
      <c r="K72" s="42"/>
      <c r="L72" s="42"/>
      <c r="M72" s="42"/>
      <c r="N72" s="210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</row>
    <row r="73" ht="14.25" customHeight="1">
      <c r="A73" s="206"/>
      <c r="B73" s="207"/>
      <c r="C73" s="42"/>
      <c r="D73" s="217" t="s">
        <v>94</v>
      </c>
      <c r="E73" s="218">
        <f>SUM(J:J)</f>
        <v>0</v>
      </c>
      <c r="F73" s="42"/>
      <c r="G73" s="42"/>
      <c r="H73" s="42"/>
      <c r="I73" s="42"/>
      <c r="J73" s="42"/>
      <c r="K73" s="42"/>
      <c r="L73" s="42"/>
      <c r="M73" s="42"/>
      <c r="N73" s="210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</row>
    <row r="74" ht="14.25" customHeight="1">
      <c r="A74" s="206"/>
      <c r="B74" s="207"/>
      <c r="C74" s="42"/>
      <c r="D74" s="217" t="s">
        <v>95</v>
      </c>
      <c r="E74" s="218">
        <f>E73+E72</f>
        <v>4237</v>
      </c>
      <c r="F74" s="42"/>
      <c r="G74" s="42"/>
      <c r="H74" s="42"/>
      <c r="I74" s="42"/>
      <c r="J74" s="42"/>
      <c r="K74" s="42"/>
      <c r="L74" s="42"/>
      <c r="M74" s="42"/>
      <c r="N74" s="210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</row>
    <row r="75" ht="14.25" customHeight="1">
      <c r="A75" s="206"/>
      <c r="B75" s="207"/>
      <c r="C75" s="42"/>
      <c r="D75" s="158"/>
      <c r="E75" s="212"/>
      <c r="F75" s="42"/>
      <c r="G75" s="42"/>
      <c r="H75" s="42"/>
      <c r="I75" s="42"/>
      <c r="J75" s="42"/>
      <c r="K75" s="42"/>
      <c r="L75" s="42"/>
      <c r="M75" s="42"/>
      <c r="N75" s="210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</row>
    <row r="76" ht="14.25" customHeight="1">
      <c r="A76" s="206"/>
      <c r="B76" s="207"/>
      <c r="C76" s="42"/>
      <c r="D76" s="219" t="s">
        <v>11</v>
      </c>
      <c r="E76" s="220">
        <f t="shared" ref="E76:E77" si="8">E72+E68</f>
        <v>6676</v>
      </c>
      <c r="F76" s="42"/>
      <c r="G76" s="42"/>
      <c r="H76" s="42"/>
      <c r="I76" s="42"/>
      <c r="J76" s="42"/>
      <c r="K76" s="42"/>
      <c r="L76" s="42"/>
      <c r="M76" s="42"/>
      <c r="N76" s="210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</row>
    <row r="77" ht="14.25" customHeight="1">
      <c r="A77" s="206"/>
      <c r="B77" s="207"/>
      <c r="C77" s="42"/>
      <c r="D77" s="219" t="s">
        <v>12</v>
      </c>
      <c r="E77" s="220">
        <f t="shared" si="8"/>
        <v>0</v>
      </c>
      <c r="F77" s="42"/>
      <c r="G77" s="42"/>
      <c r="H77" s="42"/>
      <c r="I77" s="42"/>
      <c r="J77" s="42"/>
      <c r="K77" s="42"/>
      <c r="L77" s="42"/>
      <c r="M77" s="42"/>
      <c r="N77" s="210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</row>
    <row r="78" ht="14.25" customHeight="1">
      <c r="A78" s="206"/>
      <c r="B78" s="207"/>
      <c r="C78" s="42"/>
      <c r="D78" s="221"/>
      <c r="E78" s="221"/>
      <c r="F78" s="42"/>
      <c r="G78" s="42"/>
      <c r="H78" s="42"/>
      <c r="I78" s="42"/>
      <c r="J78" s="42"/>
      <c r="K78" s="42"/>
      <c r="L78" s="42"/>
      <c r="M78" s="42"/>
      <c r="N78" s="210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</row>
    <row r="79" ht="14.25" customHeight="1">
      <c r="A79" s="206"/>
      <c r="B79" s="207"/>
      <c r="C79" s="42"/>
      <c r="D79" s="221"/>
      <c r="E79" s="221"/>
      <c r="F79" s="42"/>
      <c r="G79" s="42"/>
      <c r="H79" s="42"/>
      <c r="I79" s="42"/>
      <c r="J79" s="42"/>
      <c r="K79" s="42"/>
      <c r="L79" s="42"/>
      <c r="M79" s="42"/>
      <c r="N79" s="210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</row>
    <row r="80" ht="14.25" customHeight="1">
      <c r="A80" s="206"/>
      <c r="B80" s="207"/>
      <c r="C80" s="42"/>
      <c r="D80" s="221"/>
      <c r="E80" s="221"/>
      <c r="F80" s="42"/>
      <c r="G80" s="42"/>
      <c r="H80" s="42"/>
      <c r="I80" s="42"/>
      <c r="J80" s="42"/>
      <c r="K80" s="42"/>
      <c r="L80" s="42"/>
      <c r="M80" s="42"/>
      <c r="N80" s="210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</row>
    <row r="81" ht="14.25" customHeight="1">
      <c r="A81" s="206"/>
      <c r="B81" s="207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210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</row>
    <row r="82" ht="14.25" customHeight="1">
      <c r="A82" s="206"/>
      <c r="B82" s="207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210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</row>
    <row r="83" ht="14.25" customHeight="1">
      <c r="A83" s="206"/>
      <c r="B83" s="207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210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</row>
    <row r="84" ht="14.25" customHeight="1">
      <c r="A84" s="206"/>
      <c r="B84" s="207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210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</row>
    <row r="85" ht="14.25" customHeight="1">
      <c r="A85" s="206"/>
      <c r="B85" s="207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210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</row>
    <row r="86" ht="14.25" customHeight="1">
      <c r="A86" s="206"/>
      <c r="B86" s="207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210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</row>
    <row r="87" ht="14.25" customHeight="1">
      <c r="A87" s="206"/>
      <c r="B87" s="207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210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</row>
    <row r="88" ht="14.25" customHeight="1">
      <c r="A88" s="206"/>
      <c r="B88" s="207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210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</row>
    <row r="89" ht="14.25" customHeight="1">
      <c r="A89" s="206"/>
      <c r="B89" s="207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210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</row>
    <row r="90" ht="14.25" customHeight="1">
      <c r="A90" s="206"/>
      <c r="B90" s="207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210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</row>
    <row r="91" ht="14.25" customHeight="1">
      <c r="A91" s="206"/>
      <c r="B91" s="207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210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</row>
    <row r="92" ht="14.25" customHeight="1">
      <c r="A92" s="206"/>
      <c r="B92" s="207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210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</row>
    <row r="93" ht="14.25" customHeight="1">
      <c r="A93" s="206"/>
      <c r="B93" s="207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210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 ht="14.25" customHeight="1">
      <c r="A94" s="206"/>
      <c r="B94" s="207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210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</row>
    <row r="95" ht="14.25" customHeight="1">
      <c r="A95" s="206"/>
      <c r="B95" s="207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210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</row>
    <row r="96" ht="14.25" customHeight="1">
      <c r="A96" s="206"/>
      <c r="B96" s="207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210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</row>
    <row r="97" ht="14.25" customHeight="1">
      <c r="A97" s="206"/>
      <c r="B97" s="207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210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</row>
    <row r="98" ht="14.25" customHeight="1">
      <c r="A98" s="206"/>
      <c r="B98" s="207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210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</row>
    <row r="99" ht="14.25" customHeight="1">
      <c r="A99" s="206"/>
      <c r="B99" s="207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210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</row>
    <row r="100" ht="14.25" customHeight="1">
      <c r="A100" s="206"/>
      <c r="B100" s="207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210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</row>
    <row r="101" ht="14.25" customHeight="1">
      <c r="A101" s="206"/>
      <c r="B101" s="207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210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</row>
    <row r="102" ht="14.25" customHeight="1">
      <c r="A102" s="206"/>
      <c r="B102" s="207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210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</row>
    <row r="103" ht="14.25" customHeight="1">
      <c r="A103" s="206"/>
      <c r="B103" s="207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210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</row>
    <row r="104" ht="14.25" customHeight="1">
      <c r="A104" s="206"/>
      <c r="B104" s="207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210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</row>
    <row r="105" ht="14.25" customHeight="1">
      <c r="A105" s="206"/>
      <c r="B105" s="207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210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</row>
    <row r="106" ht="14.25" customHeight="1">
      <c r="A106" s="206"/>
      <c r="B106" s="207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210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 ht="14.25" customHeight="1">
      <c r="A107" s="206"/>
      <c r="B107" s="207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210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</row>
    <row r="108" ht="14.25" customHeight="1">
      <c r="A108" s="206"/>
      <c r="B108" s="207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210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</row>
    <row r="109" ht="14.25" customHeight="1">
      <c r="A109" s="206"/>
      <c r="B109" s="207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210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</row>
    <row r="110" ht="14.25" customHeight="1">
      <c r="A110" s="206"/>
      <c r="B110" s="207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210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</row>
    <row r="111" ht="14.25" customHeight="1">
      <c r="A111" s="206"/>
      <c r="B111" s="207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210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</row>
    <row r="112" ht="14.25" customHeight="1">
      <c r="A112" s="206"/>
      <c r="B112" s="207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210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 ht="14.25" customHeight="1">
      <c r="A113" s="206"/>
      <c r="B113" s="207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210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 ht="14.25" customHeight="1">
      <c r="A114" s="206"/>
      <c r="B114" s="207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210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 ht="14.25" customHeight="1">
      <c r="A115" s="206"/>
      <c r="B115" s="207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210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</row>
    <row r="116" ht="14.25" customHeight="1">
      <c r="A116" s="206"/>
      <c r="B116" s="207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210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</row>
    <row r="117" ht="14.25" customHeight="1">
      <c r="A117" s="206"/>
      <c r="B117" s="207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210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</row>
    <row r="118" ht="14.25" customHeight="1">
      <c r="A118" s="206"/>
      <c r="B118" s="207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210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</row>
    <row r="119" ht="14.25" customHeight="1">
      <c r="A119" s="206"/>
      <c r="B119" s="207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210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</row>
    <row r="120" ht="14.25" customHeight="1">
      <c r="A120" s="206"/>
      <c r="B120" s="207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210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</row>
    <row r="121" ht="14.25" customHeight="1">
      <c r="A121" s="206"/>
      <c r="B121" s="207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210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 ht="14.25" customHeight="1">
      <c r="A122" s="206"/>
      <c r="B122" s="207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210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</row>
    <row r="123" ht="14.25" customHeight="1">
      <c r="A123" s="206"/>
      <c r="B123" s="207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210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 ht="14.25" customHeight="1">
      <c r="A124" s="206"/>
      <c r="B124" s="207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210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 ht="14.25" customHeight="1">
      <c r="A125" s="206"/>
      <c r="B125" s="207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210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</row>
    <row r="126" ht="14.25" customHeight="1">
      <c r="A126" s="206"/>
      <c r="B126" s="207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210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</row>
    <row r="127" ht="14.25" customHeight="1">
      <c r="A127" s="206"/>
      <c r="B127" s="207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210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</row>
    <row r="128" ht="14.25" customHeight="1">
      <c r="A128" s="206"/>
      <c r="B128" s="207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210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</row>
    <row r="129" ht="14.25" customHeight="1">
      <c r="A129" s="206"/>
      <c r="B129" s="207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210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</row>
    <row r="130" ht="14.25" customHeight="1">
      <c r="A130" s="206"/>
      <c r="B130" s="207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210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</row>
    <row r="131" ht="14.25" customHeight="1">
      <c r="A131" s="206"/>
      <c r="B131" s="207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210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</row>
    <row r="132" ht="14.25" customHeight="1">
      <c r="A132" s="206"/>
      <c r="B132" s="207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210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</row>
    <row r="133" ht="14.25" customHeight="1">
      <c r="A133" s="206"/>
      <c r="B133" s="207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210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</row>
    <row r="134" ht="14.25" customHeight="1">
      <c r="A134" s="206"/>
      <c r="B134" s="207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210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</row>
    <row r="135" ht="14.25" customHeight="1">
      <c r="A135" s="206"/>
      <c r="B135" s="207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210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</row>
    <row r="136" ht="14.25" customHeight="1">
      <c r="A136" s="206"/>
      <c r="B136" s="207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210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</row>
    <row r="137" ht="14.25" customHeight="1">
      <c r="A137" s="206"/>
      <c r="B137" s="207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210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</row>
    <row r="138" ht="14.25" customHeight="1">
      <c r="A138" s="206"/>
      <c r="B138" s="207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210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</row>
    <row r="139" ht="14.25" customHeight="1">
      <c r="A139" s="206"/>
      <c r="B139" s="207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210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</row>
    <row r="140" ht="14.25" customHeight="1">
      <c r="A140" s="206"/>
      <c r="B140" s="207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210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</row>
    <row r="141" ht="14.25" customHeight="1">
      <c r="A141" s="206"/>
      <c r="B141" s="207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210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</row>
    <row r="142" ht="14.25" customHeight="1">
      <c r="A142" s="206"/>
      <c r="B142" s="207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210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</row>
    <row r="143" ht="14.25" customHeight="1">
      <c r="A143" s="206"/>
      <c r="B143" s="207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210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</row>
    <row r="144" ht="14.25" customHeight="1">
      <c r="A144" s="206"/>
      <c r="B144" s="207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210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</row>
    <row r="145" ht="14.25" customHeight="1">
      <c r="A145" s="206"/>
      <c r="B145" s="207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210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</row>
    <row r="146" ht="14.25" customHeight="1">
      <c r="A146" s="206"/>
      <c r="B146" s="207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210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</row>
    <row r="147" ht="14.25" customHeight="1">
      <c r="A147" s="206"/>
      <c r="B147" s="207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210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</row>
    <row r="148" ht="14.25" customHeight="1">
      <c r="A148" s="206"/>
      <c r="B148" s="207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210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</row>
    <row r="149" ht="14.25" customHeight="1">
      <c r="A149" s="206"/>
      <c r="B149" s="207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210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</row>
    <row r="150" ht="14.25" customHeight="1">
      <c r="A150" s="206"/>
      <c r="B150" s="207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210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</row>
    <row r="151" ht="14.25" customHeight="1">
      <c r="A151" s="206"/>
      <c r="B151" s="207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210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</row>
    <row r="152" ht="14.25" customHeight="1">
      <c r="A152" s="206"/>
      <c r="B152" s="207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210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</row>
    <row r="153" ht="14.25" customHeight="1">
      <c r="A153" s="206"/>
      <c r="B153" s="207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210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</row>
    <row r="154" ht="14.25" customHeight="1">
      <c r="A154" s="206"/>
      <c r="B154" s="207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210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</row>
    <row r="155" ht="14.25" customHeight="1">
      <c r="A155" s="206"/>
      <c r="B155" s="207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210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</row>
    <row r="156" ht="14.25" customHeight="1">
      <c r="A156" s="206"/>
      <c r="B156" s="207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210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</row>
    <row r="157" ht="14.25" customHeight="1">
      <c r="A157" s="206"/>
      <c r="B157" s="207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210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 ht="14.25" customHeight="1">
      <c r="A158" s="206"/>
      <c r="B158" s="207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210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</row>
    <row r="159" ht="14.25" customHeight="1">
      <c r="A159" s="206"/>
      <c r="B159" s="207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210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</row>
    <row r="160" ht="14.25" customHeight="1">
      <c r="A160" s="206"/>
      <c r="B160" s="207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210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</row>
    <row r="161" ht="14.25" customHeight="1">
      <c r="A161" s="206"/>
      <c r="B161" s="207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210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</row>
    <row r="162" ht="14.25" customHeight="1">
      <c r="A162" s="206"/>
      <c r="B162" s="207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210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</row>
    <row r="163" ht="14.25" customHeight="1">
      <c r="A163" s="206"/>
      <c r="B163" s="207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210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</row>
    <row r="164" ht="14.25" customHeight="1">
      <c r="A164" s="206"/>
      <c r="B164" s="207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210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</row>
    <row r="165" ht="14.25" customHeight="1">
      <c r="A165" s="206"/>
      <c r="B165" s="207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210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</row>
    <row r="166" ht="14.25" customHeight="1">
      <c r="A166" s="206"/>
      <c r="B166" s="207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210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</row>
    <row r="167" ht="14.25" customHeight="1">
      <c r="A167" s="206"/>
      <c r="B167" s="207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210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</row>
    <row r="168" ht="14.25" customHeight="1">
      <c r="A168" s="206"/>
      <c r="B168" s="207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210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</row>
    <row r="169" ht="14.25" customHeight="1">
      <c r="A169" s="206"/>
      <c r="B169" s="207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210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</row>
    <row r="170" ht="14.25" customHeight="1">
      <c r="A170" s="206"/>
      <c r="B170" s="207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210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</row>
    <row r="171" ht="14.25" customHeight="1">
      <c r="A171" s="206"/>
      <c r="B171" s="207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210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</row>
    <row r="172" ht="14.25" customHeight="1">
      <c r="A172" s="206"/>
      <c r="B172" s="207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210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</row>
    <row r="173" ht="14.25" customHeight="1">
      <c r="A173" s="206"/>
      <c r="B173" s="207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210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</row>
    <row r="174" ht="14.25" customHeight="1">
      <c r="A174" s="206"/>
      <c r="B174" s="207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210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</row>
    <row r="175" ht="14.25" customHeight="1">
      <c r="A175" s="206"/>
      <c r="B175" s="207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210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</row>
    <row r="176" ht="14.25" customHeight="1">
      <c r="A176" s="206"/>
      <c r="B176" s="207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210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</row>
    <row r="177" ht="14.25" customHeight="1">
      <c r="A177" s="206"/>
      <c r="B177" s="207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210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</row>
    <row r="178" ht="14.25" customHeight="1">
      <c r="A178" s="206"/>
      <c r="B178" s="207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210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</row>
    <row r="179" ht="14.25" customHeight="1">
      <c r="A179" s="206"/>
      <c r="B179" s="207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210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</row>
    <row r="180" ht="14.25" customHeight="1">
      <c r="A180" s="206"/>
      <c r="B180" s="207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210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</row>
    <row r="181" ht="14.25" customHeight="1">
      <c r="A181" s="206"/>
      <c r="B181" s="207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210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</row>
    <row r="182" ht="14.25" customHeight="1">
      <c r="A182" s="206"/>
      <c r="B182" s="207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210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</row>
    <row r="183" ht="14.25" customHeight="1">
      <c r="A183" s="206"/>
      <c r="B183" s="207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210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</row>
    <row r="184" ht="14.25" customHeight="1">
      <c r="A184" s="206"/>
      <c r="B184" s="207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210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</row>
    <row r="185" ht="14.25" customHeight="1">
      <c r="A185" s="206"/>
      <c r="B185" s="207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210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</row>
    <row r="186" ht="14.25" customHeight="1">
      <c r="A186" s="206"/>
      <c r="B186" s="207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210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</row>
    <row r="187" ht="14.25" customHeight="1">
      <c r="A187" s="206"/>
      <c r="B187" s="207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210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</row>
    <row r="188" ht="14.25" customHeight="1">
      <c r="A188" s="206"/>
      <c r="B188" s="207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210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</row>
    <row r="189" ht="14.25" customHeight="1">
      <c r="A189" s="206"/>
      <c r="B189" s="207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210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</row>
    <row r="190" ht="14.25" customHeight="1">
      <c r="A190" s="206"/>
      <c r="B190" s="207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210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</row>
    <row r="191" ht="14.25" customHeight="1">
      <c r="A191" s="206"/>
      <c r="B191" s="207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210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</row>
    <row r="192" ht="14.25" customHeight="1">
      <c r="A192" s="206"/>
      <c r="B192" s="207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210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</row>
    <row r="193" ht="14.25" customHeight="1">
      <c r="A193" s="206"/>
      <c r="B193" s="207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210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</row>
    <row r="194" ht="14.25" customHeight="1">
      <c r="A194" s="206"/>
      <c r="B194" s="207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210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</row>
    <row r="195" ht="14.25" customHeight="1">
      <c r="A195" s="206"/>
      <c r="B195" s="207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210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</row>
    <row r="196" ht="14.25" customHeight="1">
      <c r="A196" s="206"/>
      <c r="B196" s="207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210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</row>
    <row r="197" ht="14.25" customHeight="1">
      <c r="A197" s="206"/>
      <c r="B197" s="207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210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</row>
    <row r="198" ht="14.25" customHeight="1">
      <c r="A198" s="206"/>
      <c r="B198" s="207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210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</row>
    <row r="199" ht="14.25" customHeight="1">
      <c r="A199" s="206"/>
      <c r="B199" s="207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210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</row>
    <row r="200" ht="14.25" customHeight="1">
      <c r="A200" s="206"/>
      <c r="B200" s="207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210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</row>
    <row r="201" ht="14.25" customHeight="1">
      <c r="A201" s="206"/>
      <c r="B201" s="207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210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</row>
    <row r="202" ht="14.25" customHeight="1">
      <c r="A202" s="206"/>
      <c r="B202" s="207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210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 ht="14.25" customHeight="1">
      <c r="A203" s="206"/>
      <c r="B203" s="207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210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</row>
    <row r="204" ht="14.25" customHeight="1">
      <c r="A204" s="206"/>
      <c r="B204" s="207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210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</row>
    <row r="205" ht="14.25" customHeight="1">
      <c r="A205" s="206"/>
      <c r="B205" s="207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210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</row>
    <row r="206" ht="14.25" customHeight="1">
      <c r="A206" s="206"/>
      <c r="B206" s="207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210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</row>
    <row r="207" ht="14.25" customHeight="1">
      <c r="A207" s="206"/>
      <c r="B207" s="207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210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</row>
    <row r="208" ht="14.25" customHeight="1">
      <c r="A208" s="206"/>
      <c r="B208" s="207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210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</row>
    <row r="209" ht="14.25" customHeight="1">
      <c r="A209" s="206"/>
      <c r="B209" s="207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210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</row>
    <row r="210" ht="14.25" customHeight="1">
      <c r="A210" s="206"/>
      <c r="B210" s="207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210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</row>
    <row r="211" ht="14.25" customHeight="1">
      <c r="A211" s="206"/>
      <c r="B211" s="207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210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</row>
    <row r="212" ht="14.25" customHeight="1">
      <c r="A212" s="206"/>
      <c r="B212" s="207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210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</row>
    <row r="213" ht="14.25" customHeight="1">
      <c r="A213" s="206"/>
      <c r="B213" s="207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210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</row>
    <row r="214" ht="14.25" customHeight="1">
      <c r="A214" s="206"/>
      <c r="B214" s="207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210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</row>
    <row r="215" ht="14.25" customHeight="1">
      <c r="A215" s="206"/>
      <c r="B215" s="207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210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</row>
    <row r="216" ht="14.25" customHeight="1">
      <c r="A216" s="206"/>
      <c r="B216" s="207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210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</row>
    <row r="217" ht="14.25" customHeight="1">
      <c r="A217" s="206"/>
      <c r="B217" s="207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210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</row>
    <row r="218" ht="14.25" customHeight="1">
      <c r="A218" s="206"/>
      <c r="B218" s="207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210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</row>
    <row r="219" ht="14.25" customHeight="1">
      <c r="A219" s="206"/>
      <c r="B219" s="207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210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</row>
    <row r="220" ht="14.25" customHeight="1">
      <c r="A220" s="206"/>
      <c r="B220" s="207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210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</row>
    <row r="221" ht="14.25" customHeight="1">
      <c r="A221" s="206"/>
      <c r="B221" s="207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210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</row>
    <row r="222" ht="14.25" customHeight="1">
      <c r="A222" s="206"/>
      <c r="B222" s="207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210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</row>
    <row r="223" ht="14.25" customHeight="1">
      <c r="A223" s="206"/>
      <c r="B223" s="207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210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</row>
    <row r="224" ht="14.25" customHeight="1">
      <c r="A224" s="206"/>
      <c r="B224" s="207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210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</row>
    <row r="225" ht="14.25" customHeight="1">
      <c r="A225" s="206"/>
      <c r="B225" s="207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210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</row>
    <row r="226" ht="14.25" customHeight="1">
      <c r="A226" s="206"/>
      <c r="B226" s="207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210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</row>
    <row r="227" ht="14.25" customHeight="1">
      <c r="A227" s="206"/>
      <c r="B227" s="207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210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</row>
    <row r="228" ht="14.25" customHeight="1">
      <c r="A228" s="206"/>
      <c r="B228" s="207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210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</row>
    <row r="229" ht="14.25" customHeight="1">
      <c r="A229" s="206"/>
      <c r="B229" s="207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210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</row>
    <row r="230" ht="14.25" customHeight="1">
      <c r="A230" s="206"/>
      <c r="B230" s="207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210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</row>
    <row r="231" ht="14.25" customHeight="1">
      <c r="A231" s="206"/>
      <c r="B231" s="207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210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</row>
    <row r="232" ht="14.25" customHeight="1">
      <c r="A232" s="206"/>
      <c r="B232" s="207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210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</row>
    <row r="233" ht="14.25" customHeight="1">
      <c r="A233" s="206"/>
      <c r="B233" s="207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210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</row>
    <row r="234" ht="14.25" customHeight="1">
      <c r="A234" s="206"/>
      <c r="B234" s="207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210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</row>
    <row r="235" ht="14.25" customHeight="1">
      <c r="A235" s="206"/>
      <c r="B235" s="207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210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</row>
    <row r="236" ht="14.25" customHeight="1">
      <c r="A236" s="206"/>
      <c r="B236" s="207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210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</row>
    <row r="237" ht="14.25" customHeight="1">
      <c r="A237" s="206"/>
      <c r="B237" s="207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210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</row>
    <row r="238" ht="14.25" customHeight="1">
      <c r="A238" s="206"/>
      <c r="B238" s="207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210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</row>
    <row r="239" ht="14.25" customHeight="1">
      <c r="A239" s="206"/>
      <c r="B239" s="207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210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</row>
    <row r="240" ht="14.25" customHeight="1">
      <c r="A240" s="206"/>
      <c r="B240" s="207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210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</row>
    <row r="241" ht="14.25" customHeight="1">
      <c r="A241" s="206"/>
      <c r="B241" s="207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210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</row>
    <row r="242" ht="14.25" customHeight="1">
      <c r="A242" s="206"/>
      <c r="B242" s="207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210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</row>
    <row r="243" ht="14.25" customHeight="1">
      <c r="A243" s="206"/>
      <c r="B243" s="207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210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</row>
    <row r="244" ht="14.25" customHeight="1">
      <c r="A244" s="206"/>
      <c r="B244" s="207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210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</row>
    <row r="245" ht="14.25" customHeight="1">
      <c r="A245" s="206"/>
      <c r="B245" s="207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210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</row>
    <row r="246" ht="14.25" customHeight="1">
      <c r="A246" s="206"/>
      <c r="B246" s="207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210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</row>
    <row r="247" ht="14.25" customHeight="1">
      <c r="A247" s="206"/>
      <c r="B247" s="207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210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</row>
    <row r="248" ht="14.25" customHeight="1">
      <c r="A248" s="206"/>
      <c r="B248" s="207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210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</row>
    <row r="249" ht="14.25" customHeight="1">
      <c r="A249" s="206"/>
      <c r="B249" s="207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210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</row>
    <row r="250" ht="14.25" customHeight="1">
      <c r="A250" s="206"/>
      <c r="B250" s="207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210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</row>
    <row r="251" ht="14.25" customHeight="1">
      <c r="A251" s="206"/>
      <c r="B251" s="207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210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</row>
    <row r="252" ht="14.25" customHeight="1">
      <c r="A252" s="206"/>
      <c r="B252" s="207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210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</row>
    <row r="253" ht="14.25" customHeight="1">
      <c r="A253" s="206"/>
      <c r="B253" s="207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210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</row>
    <row r="254" ht="14.25" customHeight="1">
      <c r="A254" s="206"/>
      <c r="B254" s="207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210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</row>
    <row r="255" ht="14.25" customHeight="1">
      <c r="A255" s="206"/>
      <c r="B255" s="207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210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</row>
    <row r="256" ht="14.25" customHeight="1">
      <c r="A256" s="206"/>
      <c r="B256" s="207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210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</row>
    <row r="257" ht="14.25" customHeight="1">
      <c r="A257" s="206"/>
      <c r="B257" s="207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210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</row>
    <row r="258" ht="14.25" customHeight="1">
      <c r="A258" s="206"/>
      <c r="B258" s="207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210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</row>
    <row r="259" ht="14.25" customHeight="1">
      <c r="A259" s="206"/>
      <c r="B259" s="207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210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</row>
    <row r="260" ht="14.25" customHeight="1">
      <c r="A260" s="206"/>
      <c r="B260" s="207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210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</row>
    <row r="261" ht="14.25" customHeight="1">
      <c r="A261" s="206"/>
      <c r="B261" s="207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210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</row>
    <row r="262" ht="14.25" customHeight="1">
      <c r="A262" s="206"/>
      <c r="B262" s="207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210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</row>
    <row r="263" ht="14.25" customHeight="1">
      <c r="A263" s="206"/>
      <c r="B263" s="207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210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</row>
    <row r="264" ht="14.25" customHeight="1">
      <c r="A264" s="206"/>
      <c r="B264" s="207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210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</row>
    <row r="265" ht="14.25" customHeight="1">
      <c r="A265" s="206"/>
      <c r="B265" s="207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210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</row>
    <row r="266" ht="14.25" customHeight="1">
      <c r="A266" s="206"/>
      <c r="B266" s="207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210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</row>
    <row r="267" ht="14.25" customHeight="1">
      <c r="A267" s="206"/>
      <c r="B267" s="207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210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</row>
    <row r="268" ht="14.25" customHeight="1">
      <c r="A268" s="206"/>
      <c r="B268" s="207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210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</row>
    <row r="269" ht="14.25" customHeight="1">
      <c r="A269" s="206"/>
      <c r="B269" s="207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210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</row>
    <row r="270" ht="14.25" customHeight="1">
      <c r="A270" s="206"/>
      <c r="B270" s="207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210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</row>
    <row r="271" ht="14.25" customHeight="1">
      <c r="A271" s="206"/>
      <c r="B271" s="207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210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</row>
    <row r="272" ht="14.25" customHeight="1">
      <c r="A272" s="206"/>
      <c r="B272" s="207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210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</row>
    <row r="273" ht="14.25" customHeight="1">
      <c r="A273" s="206"/>
      <c r="B273" s="207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210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</row>
    <row r="274" ht="14.25" customHeight="1">
      <c r="A274" s="206"/>
      <c r="B274" s="207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210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</row>
    <row r="275" ht="14.25" customHeight="1">
      <c r="A275" s="206"/>
      <c r="B275" s="207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210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</row>
    <row r="276" ht="14.25" customHeight="1">
      <c r="A276" s="206"/>
      <c r="B276" s="207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210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</row>
    <row r="277" ht="14.25" customHeight="1">
      <c r="A277" s="206"/>
      <c r="B277" s="207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210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</row>
    <row r="278" ht="15.75" customHeight="1">
      <c r="A278" s="207"/>
      <c r="B278" s="207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210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</row>
    <row r="279" ht="15.75" customHeight="1">
      <c r="A279" s="207"/>
      <c r="B279" s="207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210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</row>
    <row r="280" ht="15.75" customHeight="1">
      <c r="A280" s="207"/>
      <c r="B280" s="207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210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</row>
    <row r="281" ht="15.75" customHeight="1">
      <c r="A281" s="207"/>
      <c r="B281" s="207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210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</row>
    <row r="282" ht="15.75" customHeight="1">
      <c r="A282" s="207"/>
      <c r="B282" s="207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210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</row>
    <row r="283" ht="15.75" customHeight="1">
      <c r="A283" s="207"/>
      <c r="B283" s="207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210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</row>
    <row r="284" ht="15.75" customHeight="1">
      <c r="A284" s="207"/>
      <c r="B284" s="207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210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</row>
    <row r="285" ht="15.75" customHeight="1">
      <c r="A285" s="207"/>
      <c r="B285" s="207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210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</row>
    <row r="286" ht="15.75" customHeight="1">
      <c r="A286" s="207"/>
      <c r="B286" s="207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210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</row>
    <row r="287" ht="15.75" customHeight="1">
      <c r="A287" s="207"/>
      <c r="B287" s="207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210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</row>
    <row r="288" ht="15.75" customHeight="1">
      <c r="A288" s="207"/>
      <c r="B288" s="207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210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</row>
    <row r="289" ht="15.75" customHeight="1">
      <c r="A289" s="207"/>
      <c r="B289" s="207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210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</row>
    <row r="290" ht="15.75" customHeight="1">
      <c r="A290" s="207"/>
      <c r="B290" s="207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210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</row>
    <row r="291" ht="15.75" customHeight="1">
      <c r="A291" s="207"/>
      <c r="B291" s="207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210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</row>
    <row r="292" ht="15.75" customHeight="1">
      <c r="A292" s="207"/>
      <c r="B292" s="207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210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</row>
    <row r="293" ht="15.75" customHeight="1">
      <c r="A293" s="207"/>
      <c r="B293" s="207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210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</row>
    <row r="294" ht="15.75" customHeight="1">
      <c r="A294" s="207"/>
      <c r="B294" s="207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210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</row>
    <row r="295" ht="15.75" customHeight="1">
      <c r="A295" s="207"/>
      <c r="B295" s="207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210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</row>
    <row r="296" ht="15.75" customHeight="1">
      <c r="A296" s="207"/>
      <c r="B296" s="207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210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</row>
    <row r="297" ht="15.75" customHeight="1">
      <c r="A297" s="207"/>
      <c r="B297" s="207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210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</row>
    <row r="298" ht="15.75" customHeight="1">
      <c r="A298" s="207"/>
      <c r="B298" s="207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210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</row>
    <row r="299" ht="15.75" customHeight="1">
      <c r="A299" s="207"/>
      <c r="B299" s="207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210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</row>
    <row r="300" ht="15.75" customHeight="1">
      <c r="A300" s="207"/>
      <c r="B300" s="207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210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</row>
    <row r="301" ht="15.75" customHeight="1">
      <c r="A301" s="207"/>
      <c r="B301" s="207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210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</row>
    <row r="302" ht="15.75" customHeight="1">
      <c r="A302" s="207"/>
      <c r="B302" s="207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210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</row>
    <row r="303" ht="15.75" customHeight="1">
      <c r="A303" s="207"/>
      <c r="B303" s="207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210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</row>
    <row r="304" ht="15.75" customHeight="1">
      <c r="A304" s="207"/>
      <c r="B304" s="207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210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</row>
    <row r="305" ht="15.75" customHeight="1">
      <c r="A305" s="207"/>
      <c r="B305" s="207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210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</row>
    <row r="306" ht="15.75" customHeight="1">
      <c r="A306" s="207"/>
      <c r="B306" s="207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210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</row>
    <row r="307" ht="15.75" customHeight="1">
      <c r="A307" s="207"/>
      <c r="B307" s="207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210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</row>
    <row r="308" ht="15.75" customHeight="1">
      <c r="A308" s="207"/>
      <c r="B308" s="207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210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</row>
    <row r="309" ht="15.75" customHeight="1">
      <c r="A309" s="207"/>
      <c r="B309" s="207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210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</row>
    <row r="310" ht="15.75" customHeight="1">
      <c r="A310" s="207"/>
      <c r="B310" s="207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210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</row>
    <row r="311" ht="15.75" customHeight="1">
      <c r="A311" s="207"/>
      <c r="B311" s="207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210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</row>
    <row r="312" ht="15.75" customHeight="1">
      <c r="A312" s="207"/>
      <c r="B312" s="207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210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</row>
    <row r="313" ht="15.75" customHeight="1">
      <c r="A313" s="207"/>
      <c r="B313" s="207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210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</row>
    <row r="314" ht="15.75" customHeight="1">
      <c r="A314" s="207"/>
      <c r="B314" s="207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210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</row>
    <row r="315" ht="15.75" customHeight="1">
      <c r="A315" s="207"/>
      <c r="B315" s="207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210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</row>
    <row r="316" ht="15.75" customHeight="1">
      <c r="A316" s="207"/>
      <c r="B316" s="207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210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</row>
    <row r="317" ht="15.75" customHeight="1">
      <c r="A317" s="207"/>
      <c r="B317" s="207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210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</row>
    <row r="318" ht="15.75" customHeight="1">
      <c r="A318" s="207"/>
      <c r="B318" s="207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210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</row>
    <row r="319" ht="15.75" customHeight="1">
      <c r="A319" s="207"/>
      <c r="B319" s="207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210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</row>
    <row r="320" ht="15.75" customHeight="1">
      <c r="A320" s="207"/>
      <c r="B320" s="207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210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</row>
    <row r="321" ht="15.75" customHeight="1">
      <c r="A321" s="207"/>
      <c r="B321" s="207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210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</row>
    <row r="322" ht="15.75" customHeight="1">
      <c r="A322" s="207"/>
      <c r="B322" s="207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210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</row>
    <row r="323" ht="15.75" customHeight="1">
      <c r="A323" s="207"/>
      <c r="B323" s="207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210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</row>
    <row r="324" ht="15.75" customHeight="1">
      <c r="A324" s="207"/>
      <c r="B324" s="207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210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</row>
    <row r="325" ht="15.75" customHeight="1">
      <c r="A325" s="207"/>
      <c r="B325" s="207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210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</row>
    <row r="326" ht="15.75" customHeight="1">
      <c r="A326" s="207"/>
      <c r="B326" s="207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210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</row>
    <row r="327" ht="15.75" customHeight="1">
      <c r="A327" s="207"/>
      <c r="B327" s="207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210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</row>
    <row r="328" ht="15.75" customHeight="1">
      <c r="A328" s="207"/>
      <c r="B328" s="207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210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</row>
    <row r="329" ht="15.75" customHeight="1">
      <c r="A329" s="207"/>
      <c r="B329" s="207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210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</row>
    <row r="330" ht="15.75" customHeight="1">
      <c r="A330" s="207"/>
      <c r="B330" s="207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210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</row>
    <row r="331" ht="15.75" customHeight="1">
      <c r="A331" s="207"/>
      <c r="B331" s="207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210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</row>
    <row r="332" ht="15.75" customHeight="1">
      <c r="A332" s="207"/>
      <c r="B332" s="207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210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</row>
    <row r="333" ht="15.75" customHeight="1">
      <c r="A333" s="207"/>
      <c r="B333" s="207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210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</row>
    <row r="334" ht="15.75" customHeight="1">
      <c r="A334" s="207"/>
      <c r="B334" s="207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210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</row>
    <row r="335" ht="15.75" customHeight="1">
      <c r="A335" s="207"/>
      <c r="B335" s="207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210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</row>
    <row r="336" ht="15.75" customHeight="1">
      <c r="A336" s="207"/>
      <c r="B336" s="207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210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</row>
    <row r="337" ht="15.75" customHeight="1">
      <c r="A337" s="207"/>
      <c r="B337" s="207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210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</row>
    <row r="338" ht="15.75" customHeight="1">
      <c r="A338" s="207"/>
      <c r="B338" s="207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210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</row>
    <row r="339" ht="15.75" customHeight="1">
      <c r="A339" s="207"/>
      <c r="B339" s="207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210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</row>
    <row r="340" ht="15.75" customHeight="1">
      <c r="A340" s="207"/>
      <c r="B340" s="207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210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</row>
    <row r="341" ht="15.75" customHeight="1">
      <c r="A341" s="207"/>
      <c r="B341" s="207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210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</row>
    <row r="342" ht="15.75" customHeight="1">
      <c r="A342" s="207"/>
      <c r="B342" s="207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210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</row>
    <row r="343" ht="15.75" customHeight="1">
      <c r="A343" s="207"/>
      <c r="B343" s="207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210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</row>
    <row r="344" ht="15.75" customHeight="1">
      <c r="A344" s="207"/>
      <c r="B344" s="207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210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</row>
    <row r="345" ht="15.75" customHeight="1">
      <c r="A345" s="207"/>
      <c r="B345" s="207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210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</row>
    <row r="346" ht="15.75" customHeight="1">
      <c r="A346" s="207"/>
      <c r="B346" s="207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210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</row>
    <row r="347" ht="15.75" customHeight="1">
      <c r="A347" s="207"/>
      <c r="B347" s="207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210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</row>
    <row r="348" ht="15.75" customHeight="1">
      <c r="A348" s="207"/>
      <c r="B348" s="207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210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</row>
    <row r="349" ht="15.75" customHeight="1">
      <c r="A349" s="207"/>
      <c r="B349" s="207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210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</row>
    <row r="350" ht="15.75" customHeight="1">
      <c r="A350" s="207"/>
      <c r="B350" s="207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210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</row>
    <row r="351" ht="15.75" customHeight="1">
      <c r="A351" s="207"/>
      <c r="B351" s="207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210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</row>
    <row r="352" ht="15.75" customHeight="1">
      <c r="A352" s="207"/>
      <c r="B352" s="207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210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</row>
    <row r="353" ht="15.75" customHeight="1">
      <c r="A353" s="207"/>
      <c r="B353" s="207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210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</row>
    <row r="354" ht="15.75" customHeight="1">
      <c r="A354" s="207"/>
      <c r="B354" s="207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210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</row>
    <row r="355" ht="15.75" customHeight="1">
      <c r="A355" s="207"/>
      <c r="B355" s="207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210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</row>
    <row r="356" ht="15.75" customHeight="1">
      <c r="A356" s="207"/>
      <c r="B356" s="207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210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</row>
    <row r="357" ht="15.75" customHeight="1">
      <c r="A357" s="207"/>
      <c r="B357" s="207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210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</row>
    <row r="358" ht="15.75" customHeight="1">
      <c r="A358" s="207"/>
      <c r="B358" s="207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210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</row>
    <row r="359" ht="15.75" customHeight="1">
      <c r="A359" s="207"/>
      <c r="B359" s="207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210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</row>
    <row r="360" ht="15.75" customHeight="1">
      <c r="A360" s="207"/>
      <c r="B360" s="207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210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</row>
    <row r="361" ht="15.75" customHeight="1">
      <c r="A361" s="207"/>
      <c r="B361" s="207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210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</row>
    <row r="362" ht="15.75" customHeight="1">
      <c r="A362" s="207"/>
      <c r="B362" s="207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210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</row>
    <row r="363" ht="15.75" customHeight="1">
      <c r="A363" s="207"/>
      <c r="B363" s="207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210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</row>
    <row r="364" ht="15.75" customHeight="1">
      <c r="A364" s="207"/>
      <c r="B364" s="207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210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</row>
    <row r="365" ht="15.75" customHeight="1">
      <c r="A365" s="207"/>
      <c r="B365" s="207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210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</row>
    <row r="366" ht="15.75" customHeight="1">
      <c r="A366" s="207"/>
      <c r="B366" s="207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210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</row>
    <row r="367" ht="15.75" customHeight="1">
      <c r="A367" s="207"/>
      <c r="B367" s="207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210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</row>
    <row r="368" ht="15.75" customHeight="1">
      <c r="A368" s="207"/>
      <c r="B368" s="207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210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</row>
    <row r="369" ht="15.75" customHeight="1">
      <c r="A369" s="207"/>
      <c r="B369" s="207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210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</row>
    <row r="370" ht="15.75" customHeight="1">
      <c r="A370" s="207"/>
      <c r="B370" s="207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210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</row>
    <row r="371" ht="15.75" customHeight="1">
      <c r="A371" s="207"/>
      <c r="B371" s="207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210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</row>
    <row r="372" ht="15.75" customHeight="1">
      <c r="A372" s="207"/>
      <c r="B372" s="207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210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</row>
    <row r="373" ht="15.75" customHeight="1">
      <c r="A373" s="207"/>
      <c r="B373" s="207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210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</row>
    <row r="374" ht="15.75" customHeight="1">
      <c r="A374" s="207"/>
      <c r="B374" s="207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210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</row>
    <row r="375" ht="15.75" customHeight="1">
      <c r="A375" s="207"/>
      <c r="B375" s="207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210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</row>
    <row r="376" ht="15.75" customHeight="1">
      <c r="A376" s="207"/>
      <c r="B376" s="207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210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</row>
    <row r="377" ht="15.75" customHeight="1">
      <c r="A377" s="207"/>
      <c r="B377" s="207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210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</row>
    <row r="378" ht="15.75" customHeight="1">
      <c r="A378" s="207"/>
      <c r="B378" s="207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210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</row>
    <row r="379" ht="15.75" customHeight="1">
      <c r="A379" s="207"/>
      <c r="B379" s="207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210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</row>
    <row r="380" ht="15.75" customHeight="1">
      <c r="A380" s="207"/>
      <c r="B380" s="207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210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</row>
    <row r="381" ht="15.75" customHeight="1">
      <c r="A381" s="207"/>
      <c r="B381" s="207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210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</row>
    <row r="382" ht="15.75" customHeight="1">
      <c r="A382" s="207"/>
      <c r="B382" s="207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210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</row>
    <row r="383" ht="15.75" customHeight="1">
      <c r="A383" s="207"/>
      <c r="B383" s="207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210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</row>
    <row r="384" ht="15.75" customHeight="1">
      <c r="A384" s="207"/>
      <c r="B384" s="207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210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</row>
    <row r="385" ht="15.75" customHeight="1">
      <c r="A385" s="207"/>
      <c r="B385" s="207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210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</row>
    <row r="386" ht="15.75" customHeight="1">
      <c r="A386" s="207"/>
      <c r="B386" s="207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210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</row>
    <row r="387" ht="15.75" customHeight="1">
      <c r="A387" s="207"/>
      <c r="B387" s="207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210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</row>
    <row r="388" ht="15.75" customHeight="1">
      <c r="A388" s="207"/>
      <c r="B388" s="207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210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</row>
    <row r="389" ht="15.75" customHeight="1">
      <c r="A389" s="207"/>
      <c r="B389" s="207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210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</row>
    <row r="390" ht="15.75" customHeight="1">
      <c r="A390" s="207"/>
      <c r="B390" s="207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210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</row>
    <row r="391" ht="15.75" customHeight="1">
      <c r="A391" s="207"/>
      <c r="B391" s="207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210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</row>
    <row r="392" ht="15.75" customHeight="1">
      <c r="A392" s="207"/>
      <c r="B392" s="207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210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</row>
    <row r="393" ht="15.75" customHeight="1">
      <c r="A393" s="207"/>
      <c r="B393" s="207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210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</row>
    <row r="394" ht="15.75" customHeight="1">
      <c r="A394" s="207"/>
      <c r="B394" s="207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210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</row>
    <row r="395" ht="15.75" customHeight="1">
      <c r="A395" s="207"/>
      <c r="B395" s="207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210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</row>
    <row r="396" ht="15.75" customHeight="1">
      <c r="A396" s="207"/>
      <c r="B396" s="207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210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</row>
    <row r="397" ht="15.75" customHeight="1">
      <c r="A397" s="207"/>
      <c r="B397" s="207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210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</row>
    <row r="398" ht="15.75" customHeight="1">
      <c r="A398" s="207"/>
      <c r="B398" s="207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210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</row>
    <row r="399" ht="15.75" customHeight="1">
      <c r="A399" s="207"/>
      <c r="B399" s="207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210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</row>
    <row r="400" ht="15.75" customHeight="1">
      <c r="A400" s="207"/>
      <c r="B400" s="207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210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</row>
    <row r="401" ht="15.75" customHeight="1">
      <c r="A401" s="207"/>
      <c r="B401" s="207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210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</row>
    <row r="402" ht="15.75" customHeight="1">
      <c r="A402" s="207"/>
      <c r="B402" s="207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210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</row>
    <row r="403" ht="15.75" customHeight="1">
      <c r="A403" s="207"/>
      <c r="B403" s="207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210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</row>
    <row r="404" ht="15.75" customHeight="1">
      <c r="A404" s="207"/>
      <c r="B404" s="207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210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</row>
    <row r="405" ht="15.75" customHeight="1">
      <c r="A405" s="207"/>
      <c r="B405" s="207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210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</row>
    <row r="406" ht="15.75" customHeight="1">
      <c r="A406" s="207"/>
      <c r="B406" s="207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210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</row>
    <row r="407" ht="15.75" customHeight="1">
      <c r="A407" s="207"/>
      <c r="B407" s="207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210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</row>
    <row r="408" ht="15.75" customHeight="1">
      <c r="A408" s="207"/>
      <c r="B408" s="207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210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</row>
    <row r="409" ht="15.75" customHeight="1">
      <c r="A409" s="207"/>
      <c r="B409" s="207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210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</row>
    <row r="410" ht="15.75" customHeight="1">
      <c r="A410" s="207"/>
      <c r="B410" s="207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210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</row>
    <row r="411" ht="15.75" customHeight="1">
      <c r="A411" s="207"/>
      <c r="B411" s="207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210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</row>
    <row r="412" ht="15.75" customHeight="1">
      <c r="A412" s="207"/>
      <c r="B412" s="207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210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</row>
    <row r="413" ht="15.75" customHeight="1">
      <c r="A413" s="207"/>
      <c r="B413" s="207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210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</row>
    <row r="414" ht="15.75" customHeight="1">
      <c r="A414" s="207"/>
      <c r="B414" s="207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210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</row>
    <row r="415" ht="15.75" customHeight="1">
      <c r="A415" s="207"/>
      <c r="B415" s="207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210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</row>
    <row r="416" ht="15.75" customHeight="1">
      <c r="A416" s="207"/>
      <c r="B416" s="207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210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</row>
    <row r="417" ht="15.75" customHeight="1">
      <c r="A417" s="207"/>
      <c r="B417" s="207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210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</row>
    <row r="418" ht="15.75" customHeight="1">
      <c r="A418" s="207"/>
      <c r="B418" s="207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210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</row>
    <row r="419" ht="15.75" customHeight="1">
      <c r="A419" s="207"/>
      <c r="B419" s="207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210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</row>
    <row r="420" ht="15.75" customHeight="1">
      <c r="A420" s="207"/>
      <c r="B420" s="207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210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</row>
    <row r="421" ht="15.75" customHeight="1">
      <c r="A421" s="207"/>
      <c r="B421" s="207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210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</row>
    <row r="422" ht="15.75" customHeight="1">
      <c r="A422" s="207"/>
      <c r="B422" s="207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210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</row>
    <row r="423" ht="15.75" customHeight="1">
      <c r="A423" s="207"/>
      <c r="B423" s="207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210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</row>
    <row r="424" ht="15.75" customHeight="1">
      <c r="A424" s="207"/>
      <c r="B424" s="207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210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</row>
    <row r="425" ht="15.75" customHeight="1">
      <c r="A425" s="207"/>
      <c r="B425" s="207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210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</row>
    <row r="426" ht="15.75" customHeight="1">
      <c r="A426" s="207"/>
      <c r="B426" s="207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210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</row>
    <row r="427" ht="15.75" customHeight="1">
      <c r="A427" s="207"/>
      <c r="B427" s="207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210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</row>
    <row r="428" ht="15.75" customHeight="1">
      <c r="A428" s="207"/>
      <c r="B428" s="207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210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</row>
    <row r="429" ht="15.75" customHeight="1">
      <c r="A429" s="207"/>
      <c r="B429" s="207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210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</row>
    <row r="430" ht="15.75" customHeight="1">
      <c r="A430" s="207"/>
      <c r="B430" s="207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210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</row>
    <row r="431" ht="15.75" customHeight="1">
      <c r="A431" s="207"/>
      <c r="B431" s="207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210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</row>
    <row r="432" ht="15.75" customHeight="1">
      <c r="A432" s="207"/>
      <c r="B432" s="207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210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</row>
    <row r="433" ht="15.75" customHeight="1">
      <c r="A433" s="207"/>
      <c r="B433" s="207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210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</row>
    <row r="434" ht="15.75" customHeight="1">
      <c r="A434" s="207"/>
      <c r="B434" s="207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210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</row>
    <row r="435" ht="15.75" customHeight="1">
      <c r="A435" s="207"/>
      <c r="B435" s="207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210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</row>
    <row r="436" ht="15.75" customHeight="1">
      <c r="A436" s="207"/>
      <c r="B436" s="207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210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</row>
    <row r="437" ht="15.75" customHeight="1">
      <c r="A437" s="207"/>
      <c r="B437" s="207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210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</row>
    <row r="438" ht="15.75" customHeight="1">
      <c r="A438" s="207"/>
      <c r="B438" s="207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210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</row>
    <row r="439" ht="15.75" customHeight="1">
      <c r="A439" s="207"/>
      <c r="B439" s="207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210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</row>
    <row r="440" ht="15.75" customHeight="1">
      <c r="A440" s="207"/>
      <c r="B440" s="207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210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</row>
    <row r="441" ht="15.75" customHeight="1">
      <c r="A441" s="207"/>
      <c r="B441" s="207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210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</row>
    <row r="442" ht="15.75" customHeight="1">
      <c r="A442" s="207"/>
      <c r="B442" s="207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210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</row>
    <row r="443" ht="15.75" customHeight="1">
      <c r="A443" s="207"/>
      <c r="B443" s="207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210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</row>
    <row r="444" ht="15.75" customHeight="1">
      <c r="A444" s="207"/>
      <c r="B444" s="207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210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</row>
    <row r="445" ht="15.75" customHeight="1">
      <c r="A445" s="207"/>
      <c r="B445" s="207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210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</row>
    <row r="446" ht="15.75" customHeight="1">
      <c r="A446" s="207"/>
      <c r="B446" s="207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210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</row>
    <row r="447" ht="15.75" customHeight="1">
      <c r="A447" s="207"/>
      <c r="B447" s="207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210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</row>
    <row r="448" ht="15.75" customHeight="1">
      <c r="A448" s="207"/>
      <c r="B448" s="207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210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</row>
    <row r="449" ht="15.75" customHeight="1">
      <c r="A449" s="207"/>
      <c r="B449" s="207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210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</row>
    <row r="450" ht="15.75" customHeight="1">
      <c r="A450" s="207"/>
      <c r="B450" s="207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210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</row>
    <row r="451" ht="15.75" customHeight="1">
      <c r="A451" s="207"/>
      <c r="B451" s="207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210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</row>
    <row r="452" ht="15.75" customHeight="1">
      <c r="A452" s="207"/>
      <c r="B452" s="207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210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</row>
    <row r="453" ht="15.75" customHeight="1">
      <c r="A453" s="207"/>
      <c r="B453" s="207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210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</row>
    <row r="454" ht="15.75" customHeight="1">
      <c r="A454" s="207"/>
      <c r="B454" s="207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210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</row>
    <row r="455" ht="15.75" customHeight="1">
      <c r="A455" s="207"/>
      <c r="B455" s="207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210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</row>
    <row r="456" ht="15.75" customHeight="1">
      <c r="A456" s="207"/>
      <c r="B456" s="207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210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</row>
    <row r="457" ht="15.75" customHeight="1">
      <c r="A457" s="207"/>
      <c r="B457" s="207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210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</row>
    <row r="458" ht="15.75" customHeight="1">
      <c r="A458" s="207"/>
      <c r="B458" s="207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210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</row>
    <row r="459" ht="15.75" customHeight="1">
      <c r="A459" s="207"/>
      <c r="B459" s="207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210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</row>
    <row r="460" ht="15.75" customHeight="1">
      <c r="A460" s="207"/>
      <c r="B460" s="207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210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</row>
    <row r="461" ht="15.75" customHeight="1">
      <c r="A461" s="207"/>
      <c r="B461" s="207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210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</row>
    <row r="462" ht="15.75" customHeight="1">
      <c r="A462" s="207"/>
      <c r="B462" s="207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210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</row>
    <row r="463" ht="15.75" customHeight="1">
      <c r="A463" s="207"/>
      <c r="B463" s="207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210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</row>
    <row r="464" ht="15.75" customHeight="1">
      <c r="A464" s="207"/>
      <c r="B464" s="207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210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</row>
    <row r="465" ht="15.75" customHeight="1">
      <c r="A465" s="207"/>
      <c r="B465" s="207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210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</row>
    <row r="466" ht="15.75" customHeight="1">
      <c r="A466" s="207"/>
      <c r="B466" s="207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210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</row>
    <row r="467" ht="15.75" customHeight="1">
      <c r="A467" s="207"/>
      <c r="B467" s="207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210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</row>
    <row r="468" ht="15.75" customHeight="1">
      <c r="A468" s="207"/>
      <c r="B468" s="207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210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</row>
    <row r="469" ht="15.75" customHeight="1">
      <c r="A469" s="207"/>
      <c r="B469" s="207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210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</row>
    <row r="470" ht="15.75" customHeight="1">
      <c r="A470" s="207"/>
      <c r="B470" s="207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210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</row>
    <row r="471" ht="15.75" customHeight="1">
      <c r="A471" s="207"/>
      <c r="B471" s="207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210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</row>
    <row r="472" ht="15.75" customHeight="1">
      <c r="A472" s="207"/>
      <c r="B472" s="207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210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</row>
    <row r="473" ht="15.75" customHeight="1">
      <c r="A473" s="207"/>
      <c r="B473" s="207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210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</row>
    <row r="474" ht="15.75" customHeight="1">
      <c r="A474" s="207"/>
      <c r="B474" s="207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210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</row>
    <row r="475" ht="15.75" customHeight="1">
      <c r="A475" s="207"/>
      <c r="B475" s="207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210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</row>
    <row r="476" ht="15.75" customHeight="1">
      <c r="A476" s="207"/>
      <c r="B476" s="207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210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</row>
    <row r="477" ht="15.75" customHeight="1">
      <c r="A477" s="207"/>
      <c r="B477" s="207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210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</row>
    <row r="478" ht="15.75" customHeight="1">
      <c r="A478" s="207"/>
      <c r="B478" s="207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210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</row>
    <row r="479" ht="15.75" customHeight="1">
      <c r="A479" s="207"/>
      <c r="B479" s="207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210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</row>
    <row r="480" ht="15.75" customHeight="1">
      <c r="A480" s="207"/>
      <c r="B480" s="207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210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</row>
    <row r="481" ht="15.75" customHeight="1">
      <c r="A481" s="207"/>
      <c r="B481" s="207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210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</row>
    <row r="482" ht="15.75" customHeight="1">
      <c r="A482" s="207"/>
      <c r="B482" s="207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210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</row>
    <row r="483" ht="15.75" customHeight="1">
      <c r="A483" s="207"/>
      <c r="B483" s="207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210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</row>
    <row r="484" ht="15.75" customHeight="1">
      <c r="A484" s="207"/>
      <c r="B484" s="207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210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</row>
    <row r="485" ht="15.75" customHeight="1">
      <c r="A485" s="207"/>
      <c r="B485" s="207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210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</row>
    <row r="486" ht="15.75" customHeight="1">
      <c r="A486" s="207"/>
      <c r="B486" s="207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210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</row>
    <row r="487" ht="15.75" customHeight="1">
      <c r="A487" s="207"/>
      <c r="B487" s="207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210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</row>
    <row r="488" ht="15.75" customHeight="1">
      <c r="A488" s="207"/>
      <c r="B488" s="207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210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</row>
    <row r="489" ht="15.75" customHeight="1">
      <c r="A489" s="207"/>
      <c r="B489" s="207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210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</row>
    <row r="490" ht="15.75" customHeight="1">
      <c r="A490" s="207"/>
      <c r="B490" s="207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210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</row>
    <row r="491" ht="15.75" customHeight="1">
      <c r="A491" s="207"/>
      <c r="B491" s="207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210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</row>
    <row r="492" ht="15.75" customHeight="1">
      <c r="A492" s="207"/>
      <c r="B492" s="207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210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</row>
    <row r="493" ht="15.75" customHeight="1">
      <c r="A493" s="207"/>
      <c r="B493" s="207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210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</row>
    <row r="494" ht="15.75" customHeight="1">
      <c r="A494" s="207"/>
      <c r="B494" s="207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210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</row>
    <row r="495" ht="15.75" customHeight="1">
      <c r="A495" s="207"/>
      <c r="B495" s="207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210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</row>
    <row r="496" ht="15.75" customHeight="1">
      <c r="A496" s="207"/>
      <c r="B496" s="207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210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</row>
    <row r="497" ht="15.75" customHeight="1">
      <c r="A497" s="207"/>
      <c r="B497" s="207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210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</row>
    <row r="498" ht="15.75" customHeight="1">
      <c r="A498" s="207"/>
      <c r="B498" s="207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210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</row>
    <row r="499" ht="15.75" customHeight="1">
      <c r="A499" s="207"/>
      <c r="B499" s="207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210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</row>
    <row r="500" ht="15.75" customHeight="1">
      <c r="A500" s="207"/>
      <c r="B500" s="207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210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</row>
    <row r="501" ht="15.75" customHeight="1">
      <c r="A501" s="207"/>
      <c r="B501" s="207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210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</row>
    <row r="502" ht="15.75" customHeight="1">
      <c r="A502" s="207"/>
      <c r="B502" s="207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210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</row>
    <row r="503" ht="15.75" customHeight="1">
      <c r="A503" s="207"/>
      <c r="B503" s="207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210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</row>
    <row r="504" ht="15.75" customHeight="1">
      <c r="A504" s="207"/>
      <c r="B504" s="207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210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</row>
    <row r="505" ht="15.75" customHeight="1">
      <c r="A505" s="207"/>
      <c r="B505" s="207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210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</row>
    <row r="506" ht="15.75" customHeight="1">
      <c r="A506" s="207"/>
      <c r="B506" s="207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210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</row>
    <row r="507" ht="15.75" customHeight="1">
      <c r="A507" s="207"/>
      <c r="B507" s="207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210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</row>
    <row r="508" ht="15.75" customHeight="1">
      <c r="A508" s="207"/>
      <c r="B508" s="207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210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</row>
    <row r="509" ht="15.75" customHeight="1">
      <c r="A509" s="207"/>
      <c r="B509" s="207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210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</row>
    <row r="510" ht="15.75" customHeight="1">
      <c r="A510" s="207"/>
      <c r="B510" s="207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210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</row>
    <row r="511" ht="15.75" customHeight="1">
      <c r="A511" s="207"/>
      <c r="B511" s="207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210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</row>
    <row r="512" ht="15.75" customHeight="1">
      <c r="A512" s="207"/>
      <c r="B512" s="207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210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</row>
    <row r="513" ht="15.75" customHeight="1">
      <c r="A513" s="207"/>
      <c r="B513" s="207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210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</row>
    <row r="514" ht="15.75" customHeight="1">
      <c r="A514" s="207"/>
      <c r="B514" s="207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210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</row>
    <row r="515" ht="15.75" customHeight="1">
      <c r="A515" s="207"/>
      <c r="B515" s="207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210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</row>
    <row r="516" ht="15.75" customHeight="1">
      <c r="A516" s="207"/>
      <c r="B516" s="207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210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</row>
    <row r="517" ht="15.75" customHeight="1">
      <c r="A517" s="207"/>
      <c r="B517" s="207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210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</row>
    <row r="518" ht="15.75" customHeight="1">
      <c r="A518" s="207"/>
      <c r="B518" s="207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210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</row>
    <row r="519" ht="15.75" customHeight="1">
      <c r="A519" s="207"/>
      <c r="B519" s="207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210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</row>
    <row r="520" ht="15.75" customHeight="1">
      <c r="A520" s="207"/>
      <c r="B520" s="207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210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</row>
    <row r="521" ht="15.75" customHeight="1">
      <c r="A521" s="207"/>
      <c r="B521" s="207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210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</row>
    <row r="522" ht="15.75" customHeight="1">
      <c r="A522" s="207"/>
      <c r="B522" s="207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210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</row>
    <row r="523" ht="15.75" customHeight="1">
      <c r="A523" s="207"/>
      <c r="B523" s="207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210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</row>
    <row r="524" ht="15.75" customHeight="1">
      <c r="A524" s="207"/>
      <c r="B524" s="207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210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</row>
    <row r="525" ht="15.75" customHeight="1">
      <c r="A525" s="207"/>
      <c r="B525" s="207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210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</row>
    <row r="526" ht="15.75" customHeight="1">
      <c r="A526" s="207"/>
      <c r="B526" s="207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210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</row>
    <row r="527" ht="15.75" customHeight="1">
      <c r="A527" s="207"/>
      <c r="B527" s="207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210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</row>
    <row r="528" ht="15.75" customHeight="1">
      <c r="A528" s="207"/>
      <c r="B528" s="207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210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</row>
    <row r="529" ht="15.75" customHeight="1">
      <c r="A529" s="207"/>
      <c r="B529" s="207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210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</row>
    <row r="530" ht="15.75" customHeight="1">
      <c r="A530" s="207"/>
      <c r="B530" s="207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210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</row>
    <row r="531" ht="15.75" customHeight="1">
      <c r="A531" s="207"/>
      <c r="B531" s="207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210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</row>
    <row r="532" ht="15.75" customHeight="1">
      <c r="A532" s="207"/>
      <c r="B532" s="207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210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</row>
    <row r="533" ht="15.75" customHeight="1">
      <c r="A533" s="207"/>
      <c r="B533" s="207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210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</row>
    <row r="534" ht="15.75" customHeight="1">
      <c r="A534" s="207"/>
      <c r="B534" s="207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210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</row>
    <row r="535" ht="15.75" customHeight="1">
      <c r="A535" s="207"/>
      <c r="B535" s="207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210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</row>
    <row r="536" ht="15.75" customHeight="1">
      <c r="A536" s="207"/>
      <c r="B536" s="207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210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</row>
    <row r="537" ht="15.75" customHeight="1">
      <c r="A537" s="207"/>
      <c r="B537" s="207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210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</row>
    <row r="538" ht="15.75" customHeight="1">
      <c r="A538" s="207"/>
      <c r="B538" s="207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210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</row>
    <row r="539" ht="15.75" customHeight="1">
      <c r="A539" s="207"/>
      <c r="B539" s="207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210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</row>
    <row r="540" ht="15.75" customHeight="1">
      <c r="A540" s="207"/>
      <c r="B540" s="207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210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</row>
    <row r="541" ht="15.75" customHeight="1">
      <c r="A541" s="207"/>
      <c r="B541" s="207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210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</row>
    <row r="542" ht="15.75" customHeight="1">
      <c r="A542" s="207"/>
      <c r="B542" s="207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210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</row>
    <row r="543" ht="15.75" customHeight="1">
      <c r="A543" s="207"/>
      <c r="B543" s="207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210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</row>
    <row r="544" ht="15.75" customHeight="1">
      <c r="A544" s="207"/>
      <c r="B544" s="207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210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</row>
    <row r="545" ht="15.75" customHeight="1">
      <c r="A545" s="207"/>
      <c r="B545" s="207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210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</row>
    <row r="546" ht="15.75" customHeight="1">
      <c r="A546" s="207"/>
      <c r="B546" s="207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210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</row>
    <row r="547" ht="15.75" customHeight="1">
      <c r="A547" s="207"/>
      <c r="B547" s="207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210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</row>
    <row r="548" ht="15.75" customHeight="1">
      <c r="A548" s="207"/>
      <c r="B548" s="207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210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</row>
    <row r="549" ht="15.75" customHeight="1">
      <c r="A549" s="207"/>
      <c r="B549" s="207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210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</row>
    <row r="550" ht="15.75" customHeight="1">
      <c r="A550" s="207"/>
      <c r="B550" s="207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210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</row>
    <row r="551" ht="15.75" customHeight="1">
      <c r="A551" s="207"/>
      <c r="B551" s="207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210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</row>
    <row r="552" ht="15.75" customHeight="1">
      <c r="A552" s="207"/>
      <c r="B552" s="207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210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</row>
    <row r="553" ht="15.75" customHeight="1">
      <c r="A553" s="207"/>
      <c r="B553" s="207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210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</row>
    <row r="554" ht="15.75" customHeight="1">
      <c r="A554" s="207"/>
      <c r="B554" s="207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210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</row>
    <row r="555" ht="15.75" customHeight="1">
      <c r="A555" s="207"/>
      <c r="B555" s="207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210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</row>
    <row r="556" ht="15.75" customHeight="1">
      <c r="A556" s="207"/>
      <c r="B556" s="207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210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</row>
    <row r="557" ht="15.75" customHeight="1">
      <c r="A557" s="207"/>
      <c r="B557" s="207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210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</row>
    <row r="558" ht="15.75" customHeight="1">
      <c r="A558" s="207"/>
      <c r="B558" s="207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210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</row>
    <row r="559" ht="15.75" customHeight="1">
      <c r="A559" s="207"/>
      <c r="B559" s="207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210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</row>
    <row r="560" ht="15.75" customHeight="1">
      <c r="A560" s="207"/>
      <c r="B560" s="207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210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</row>
    <row r="561" ht="15.75" customHeight="1">
      <c r="A561" s="207"/>
      <c r="B561" s="207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210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</row>
    <row r="562" ht="15.75" customHeight="1">
      <c r="A562" s="207"/>
      <c r="B562" s="207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210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</row>
    <row r="563" ht="15.75" customHeight="1">
      <c r="A563" s="207"/>
      <c r="B563" s="207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210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</row>
    <row r="564" ht="15.75" customHeight="1">
      <c r="A564" s="207"/>
      <c r="B564" s="207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210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</row>
    <row r="565" ht="15.75" customHeight="1">
      <c r="A565" s="207"/>
      <c r="B565" s="207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210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</row>
    <row r="566" ht="15.75" customHeight="1">
      <c r="A566" s="207"/>
      <c r="B566" s="207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210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</row>
    <row r="567" ht="15.75" customHeight="1">
      <c r="A567" s="207"/>
      <c r="B567" s="207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210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</row>
    <row r="568" ht="15.75" customHeight="1">
      <c r="A568" s="207"/>
      <c r="B568" s="207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210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</row>
    <row r="569" ht="15.75" customHeight="1">
      <c r="A569" s="207"/>
      <c r="B569" s="207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210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</row>
    <row r="570" ht="15.75" customHeight="1">
      <c r="A570" s="207"/>
      <c r="B570" s="207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210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</row>
    <row r="571" ht="15.75" customHeight="1">
      <c r="A571" s="207"/>
      <c r="B571" s="207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210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</row>
    <row r="572" ht="15.75" customHeight="1">
      <c r="A572" s="207"/>
      <c r="B572" s="207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210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</row>
    <row r="573" ht="15.75" customHeight="1">
      <c r="A573" s="207"/>
      <c r="B573" s="207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210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</row>
    <row r="574" ht="15.75" customHeight="1">
      <c r="A574" s="207"/>
      <c r="B574" s="207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210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</row>
    <row r="575" ht="15.75" customHeight="1">
      <c r="A575" s="207"/>
      <c r="B575" s="207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210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</row>
    <row r="576" ht="15.75" customHeight="1">
      <c r="A576" s="207"/>
      <c r="B576" s="207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210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</row>
    <row r="577" ht="15.75" customHeight="1">
      <c r="A577" s="207"/>
      <c r="B577" s="207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210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</row>
    <row r="578" ht="15.75" customHeight="1">
      <c r="A578" s="207"/>
      <c r="B578" s="207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210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</row>
    <row r="579" ht="15.75" customHeight="1">
      <c r="A579" s="207"/>
      <c r="B579" s="207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210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</row>
    <row r="580" ht="15.75" customHeight="1">
      <c r="A580" s="207"/>
      <c r="B580" s="207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210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</row>
    <row r="581" ht="15.75" customHeight="1">
      <c r="A581" s="207"/>
      <c r="B581" s="207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210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</row>
    <row r="582" ht="15.75" customHeight="1">
      <c r="A582" s="207"/>
      <c r="B582" s="207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210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</row>
    <row r="583" ht="15.75" customHeight="1">
      <c r="A583" s="207"/>
      <c r="B583" s="207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210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</row>
    <row r="584" ht="15.75" customHeight="1">
      <c r="A584" s="207"/>
      <c r="B584" s="207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210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</row>
    <row r="585" ht="15.75" customHeight="1">
      <c r="A585" s="207"/>
      <c r="B585" s="207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210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</row>
    <row r="586" ht="15.75" customHeight="1">
      <c r="A586" s="207"/>
      <c r="B586" s="207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210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</row>
    <row r="587" ht="15.75" customHeight="1">
      <c r="A587" s="207"/>
      <c r="B587" s="207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210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</row>
    <row r="588" ht="15.75" customHeight="1">
      <c r="A588" s="207"/>
      <c r="B588" s="207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210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</row>
    <row r="589" ht="15.75" customHeight="1">
      <c r="A589" s="207"/>
      <c r="B589" s="207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210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</row>
    <row r="590" ht="15.75" customHeight="1">
      <c r="A590" s="207"/>
      <c r="B590" s="207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210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</row>
    <row r="591" ht="15.75" customHeight="1">
      <c r="A591" s="207"/>
      <c r="B591" s="207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210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</row>
    <row r="592" ht="15.75" customHeight="1">
      <c r="A592" s="207"/>
      <c r="B592" s="207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210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</row>
    <row r="593" ht="15.75" customHeight="1">
      <c r="A593" s="207"/>
      <c r="B593" s="207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210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</row>
    <row r="594" ht="15.75" customHeight="1">
      <c r="A594" s="207"/>
      <c r="B594" s="207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210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</row>
    <row r="595" ht="15.75" customHeight="1">
      <c r="A595" s="207"/>
      <c r="B595" s="207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210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</row>
    <row r="596" ht="15.75" customHeight="1">
      <c r="A596" s="207"/>
      <c r="B596" s="207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210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</row>
    <row r="597" ht="15.75" customHeight="1">
      <c r="A597" s="207"/>
      <c r="B597" s="207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210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</row>
    <row r="598" ht="15.75" customHeight="1">
      <c r="A598" s="207"/>
      <c r="B598" s="207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210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</row>
    <row r="599" ht="15.75" customHeight="1">
      <c r="A599" s="207"/>
      <c r="B599" s="207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210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</row>
    <row r="600" ht="15.75" customHeight="1">
      <c r="A600" s="207"/>
      <c r="B600" s="207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210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</row>
    <row r="601" ht="15.75" customHeight="1">
      <c r="A601" s="207"/>
      <c r="B601" s="207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210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</row>
    <row r="602" ht="15.75" customHeight="1">
      <c r="A602" s="207"/>
      <c r="B602" s="207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210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</row>
    <row r="603" ht="15.75" customHeight="1">
      <c r="A603" s="207"/>
      <c r="B603" s="207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210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</row>
    <row r="604" ht="15.75" customHeight="1">
      <c r="A604" s="207"/>
      <c r="B604" s="207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210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</row>
    <row r="605" ht="15.75" customHeight="1">
      <c r="A605" s="207"/>
      <c r="B605" s="207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210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</row>
    <row r="606" ht="15.75" customHeight="1">
      <c r="A606" s="207"/>
      <c r="B606" s="207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210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</row>
    <row r="607" ht="15.75" customHeight="1">
      <c r="A607" s="207"/>
      <c r="B607" s="207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210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</row>
    <row r="608" ht="15.75" customHeight="1">
      <c r="A608" s="207"/>
      <c r="B608" s="207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210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</row>
    <row r="609" ht="15.75" customHeight="1">
      <c r="A609" s="207"/>
      <c r="B609" s="207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210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</row>
    <row r="610" ht="15.75" customHeight="1">
      <c r="A610" s="207"/>
      <c r="B610" s="207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210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</row>
    <row r="611" ht="15.75" customHeight="1">
      <c r="A611" s="207"/>
      <c r="B611" s="207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210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</row>
    <row r="612" ht="15.75" customHeight="1">
      <c r="A612" s="207"/>
      <c r="B612" s="207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210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</row>
    <row r="613" ht="15.75" customHeight="1">
      <c r="A613" s="207"/>
      <c r="B613" s="207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210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</row>
    <row r="614" ht="15.75" customHeight="1">
      <c r="A614" s="207"/>
      <c r="B614" s="207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210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</row>
    <row r="615" ht="15.75" customHeight="1">
      <c r="A615" s="207"/>
      <c r="B615" s="207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210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</row>
    <row r="616" ht="15.75" customHeight="1">
      <c r="A616" s="207"/>
      <c r="B616" s="207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210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</row>
    <row r="617" ht="15.75" customHeight="1">
      <c r="A617" s="207"/>
      <c r="B617" s="207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210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</row>
    <row r="618" ht="15.75" customHeight="1">
      <c r="A618" s="207"/>
      <c r="B618" s="207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210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</row>
    <row r="619" ht="15.75" customHeight="1">
      <c r="A619" s="207"/>
      <c r="B619" s="207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210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</row>
    <row r="620" ht="15.75" customHeight="1">
      <c r="A620" s="207"/>
      <c r="B620" s="207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210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</row>
    <row r="621" ht="15.75" customHeight="1">
      <c r="A621" s="207"/>
      <c r="B621" s="207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210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</row>
    <row r="622" ht="15.75" customHeight="1">
      <c r="A622" s="207"/>
      <c r="B622" s="207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210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</row>
    <row r="623" ht="15.75" customHeight="1">
      <c r="A623" s="207"/>
      <c r="B623" s="207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210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</row>
    <row r="624" ht="15.75" customHeight="1">
      <c r="A624" s="207"/>
      <c r="B624" s="207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210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</row>
    <row r="625" ht="15.75" customHeight="1">
      <c r="A625" s="207"/>
      <c r="B625" s="207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210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</row>
    <row r="626" ht="15.75" customHeight="1">
      <c r="A626" s="207"/>
      <c r="B626" s="207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210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</row>
    <row r="627" ht="15.75" customHeight="1">
      <c r="A627" s="207"/>
      <c r="B627" s="207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210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</row>
    <row r="628" ht="15.75" customHeight="1">
      <c r="A628" s="207"/>
      <c r="B628" s="207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210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</row>
    <row r="629" ht="15.75" customHeight="1">
      <c r="A629" s="207"/>
      <c r="B629" s="207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210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</row>
    <row r="630" ht="15.75" customHeight="1">
      <c r="A630" s="207"/>
      <c r="B630" s="207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210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</row>
    <row r="631" ht="15.75" customHeight="1">
      <c r="A631" s="207"/>
      <c r="B631" s="207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210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</row>
    <row r="632" ht="15.75" customHeight="1">
      <c r="A632" s="207"/>
      <c r="B632" s="207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210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</row>
    <row r="633" ht="15.75" customHeight="1">
      <c r="A633" s="207"/>
      <c r="B633" s="207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210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</row>
    <row r="634" ht="15.75" customHeight="1">
      <c r="A634" s="207"/>
      <c r="B634" s="207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210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</row>
    <row r="635" ht="15.75" customHeight="1">
      <c r="A635" s="207"/>
      <c r="B635" s="207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210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</row>
    <row r="636" ht="15.75" customHeight="1">
      <c r="A636" s="207"/>
      <c r="B636" s="207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210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</row>
    <row r="637" ht="15.75" customHeight="1">
      <c r="A637" s="207"/>
      <c r="B637" s="207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210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</row>
    <row r="638" ht="15.75" customHeight="1">
      <c r="A638" s="207"/>
      <c r="B638" s="207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210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</row>
    <row r="639" ht="15.75" customHeight="1">
      <c r="A639" s="207"/>
      <c r="B639" s="207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210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</row>
    <row r="640" ht="15.75" customHeight="1">
      <c r="A640" s="207"/>
      <c r="B640" s="207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210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</row>
    <row r="641" ht="15.75" customHeight="1">
      <c r="A641" s="207"/>
      <c r="B641" s="207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210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</row>
    <row r="642" ht="15.75" customHeight="1">
      <c r="A642" s="207"/>
      <c r="B642" s="207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210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</row>
    <row r="643" ht="15.75" customHeight="1">
      <c r="A643" s="207"/>
      <c r="B643" s="207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210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</row>
    <row r="644" ht="15.75" customHeight="1">
      <c r="A644" s="207"/>
      <c r="B644" s="207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210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</row>
    <row r="645" ht="15.75" customHeight="1">
      <c r="A645" s="207"/>
      <c r="B645" s="207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210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</row>
    <row r="646" ht="15.75" customHeight="1">
      <c r="A646" s="207"/>
      <c r="B646" s="207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210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</row>
    <row r="647" ht="15.75" customHeight="1">
      <c r="A647" s="207"/>
      <c r="B647" s="207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210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</row>
    <row r="648" ht="15.75" customHeight="1">
      <c r="A648" s="207"/>
      <c r="B648" s="207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210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</row>
    <row r="649" ht="15.75" customHeight="1">
      <c r="A649" s="207"/>
      <c r="B649" s="207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210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</row>
    <row r="650" ht="15.75" customHeight="1">
      <c r="A650" s="207"/>
      <c r="B650" s="207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210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</row>
    <row r="651" ht="15.75" customHeight="1">
      <c r="A651" s="207"/>
      <c r="B651" s="207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210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</row>
    <row r="652" ht="15.75" customHeight="1">
      <c r="A652" s="207"/>
      <c r="B652" s="207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210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</row>
    <row r="653" ht="15.75" customHeight="1">
      <c r="A653" s="207"/>
      <c r="B653" s="207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210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</row>
    <row r="654" ht="15.75" customHeight="1">
      <c r="A654" s="207"/>
      <c r="B654" s="207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210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</row>
    <row r="655" ht="15.75" customHeight="1">
      <c r="A655" s="207"/>
      <c r="B655" s="207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210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</row>
    <row r="656" ht="15.75" customHeight="1">
      <c r="A656" s="207"/>
      <c r="B656" s="207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210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</row>
    <row r="657" ht="15.75" customHeight="1">
      <c r="A657" s="207"/>
      <c r="B657" s="207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210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</row>
    <row r="658" ht="15.75" customHeight="1">
      <c r="A658" s="207"/>
      <c r="B658" s="207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210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</row>
    <row r="659" ht="15.75" customHeight="1">
      <c r="A659" s="207"/>
      <c r="B659" s="207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210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</row>
    <row r="660" ht="15.75" customHeight="1">
      <c r="A660" s="207"/>
      <c r="B660" s="207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210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</row>
    <row r="661" ht="15.75" customHeight="1">
      <c r="A661" s="207"/>
      <c r="B661" s="207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210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</row>
    <row r="662" ht="15.75" customHeight="1">
      <c r="A662" s="207"/>
      <c r="B662" s="207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210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</row>
    <row r="663" ht="15.75" customHeight="1">
      <c r="A663" s="207"/>
      <c r="B663" s="207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210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</row>
    <row r="664" ht="15.75" customHeight="1">
      <c r="A664" s="207"/>
      <c r="B664" s="207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210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</row>
    <row r="665" ht="15.75" customHeight="1">
      <c r="A665" s="207"/>
      <c r="B665" s="207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210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</row>
    <row r="666" ht="15.75" customHeight="1">
      <c r="A666" s="207"/>
      <c r="B666" s="207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210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</row>
    <row r="667" ht="15.75" customHeight="1">
      <c r="A667" s="207"/>
      <c r="B667" s="207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210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</row>
    <row r="668" ht="15.75" customHeight="1">
      <c r="A668" s="207"/>
      <c r="B668" s="207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210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</row>
    <row r="669" ht="15.75" customHeight="1">
      <c r="A669" s="207"/>
      <c r="B669" s="207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210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</row>
    <row r="670" ht="15.75" customHeight="1">
      <c r="A670" s="207"/>
      <c r="B670" s="207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210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</row>
    <row r="671" ht="15.75" customHeight="1">
      <c r="A671" s="207"/>
      <c r="B671" s="207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210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</row>
    <row r="672" ht="15.75" customHeight="1">
      <c r="A672" s="207"/>
      <c r="B672" s="207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210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</row>
    <row r="673" ht="15.75" customHeight="1">
      <c r="A673" s="207"/>
      <c r="B673" s="207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210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</row>
    <row r="674" ht="15.75" customHeight="1">
      <c r="A674" s="207"/>
      <c r="B674" s="207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210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</row>
    <row r="675" ht="15.75" customHeight="1">
      <c r="A675" s="207"/>
      <c r="B675" s="207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210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</row>
    <row r="676" ht="15.75" customHeight="1">
      <c r="A676" s="207"/>
      <c r="B676" s="207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210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</row>
    <row r="677" ht="15.75" customHeight="1">
      <c r="A677" s="207"/>
      <c r="B677" s="207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210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</row>
    <row r="678" ht="15.75" customHeight="1">
      <c r="A678" s="207"/>
      <c r="B678" s="207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210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</row>
    <row r="679" ht="15.75" customHeight="1">
      <c r="A679" s="207"/>
      <c r="B679" s="207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210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</row>
    <row r="680" ht="15.75" customHeight="1">
      <c r="A680" s="207"/>
      <c r="B680" s="207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210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</row>
    <row r="681" ht="15.75" customHeight="1">
      <c r="A681" s="207"/>
      <c r="B681" s="207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210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</row>
    <row r="682" ht="15.75" customHeight="1">
      <c r="A682" s="207"/>
      <c r="B682" s="207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210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</row>
    <row r="683" ht="15.75" customHeight="1">
      <c r="A683" s="207"/>
      <c r="B683" s="207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210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</row>
    <row r="684" ht="15.75" customHeight="1">
      <c r="A684" s="207"/>
      <c r="B684" s="207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210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</row>
    <row r="685" ht="15.75" customHeight="1">
      <c r="A685" s="207"/>
      <c r="B685" s="207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210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</row>
    <row r="686" ht="15.75" customHeight="1">
      <c r="A686" s="207"/>
      <c r="B686" s="207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210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</row>
    <row r="687" ht="15.75" customHeight="1">
      <c r="A687" s="207"/>
      <c r="B687" s="207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210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</row>
    <row r="688" ht="15.75" customHeight="1">
      <c r="A688" s="207"/>
      <c r="B688" s="207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210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</row>
    <row r="689" ht="15.75" customHeight="1">
      <c r="A689" s="207"/>
      <c r="B689" s="207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210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</row>
    <row r="690" ht="15.75" customHeight="1">
      <c r="A690" s="207"/>
      <c r="B690" s="207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210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</row>
    <row r="691" ht="15.75" customHeight="1">
      <c r="A691" s="207"/>
      <c r="B691" s="207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210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</row>
    <row r="692" ht="15.75" customHeight="1">
      <c r="A692" s="207"/>
      <c r="B692" s="207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210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</row>
    <row r="693" ht="15.75" customHeight="1">
      <c r="A693" s="207"/>
      <c r="B693" s="207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210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</row>
    <row r="694" ht="15.75" customHeight="1">
      <c r="A694" s="207"/>
      <c r="B694" s="207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210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</row>
    <row r="695" ht="15.75" customHeight="1">
      <c r="A695" s="207"/>
      <c r="B695" s="207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210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</row>
    <row r="696" ht="15.75" customHeight="1">
      <c r="A696" s="207"/>
      <c r="B696" s="207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210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</row>
    <row r="697" ht="15.75" customHeight="1">
      <c r="A697" s="207"/>
      <c r="B697" s="207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210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</row>
    <row r="698" ht="15.75" customHeight="1">
      <c r="A698" s="207"/>
      <c r="B698" s="207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210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</row>
    <row r="699" ht="15.75" customHeight="1">
      <c r="A699" s="207"/>
      <c r="B699" s="207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210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</row>
    <row r="700" ht="15.75" customHeight="1">
      <c r="A700" s="207"/>
      <c r="B700" s="207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210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</row>
    <row r="701" ht="15.75" customHeight="1">
      <c r="A701" s="207"/>
      <c r="B701" s="207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210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</row>
    <row r="702" ht="15.75" customHeight="1">
      <c r="A702" s="207"/>
      <c r="B702" s="207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210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</row>
    <row r="703" ht="15.75" customHeight="1">
      <c r="A703" s="207"/>
      <c r="B703" s="207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210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</row>
    <row r="704" ht="15.75" customHeight="1">
      <c r="A704" s="207"/>
      <c r="B704" s="207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210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</row>
    <row r="705" ht="15.75" customHeight="1">
      <c r="A705" s="207"/>
      <c r="B705" s="207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210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</row>
    <row r="706" ht="15.75" customHeight="1">
      <c r="A706" s="207"/>
      <c r="B706" s="207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210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</row>
    <row r="707" ht="15.75" customHeight="1">
      <c r="A707" s="207"/>
      <c r="B707" s="207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210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</row>
    <row r="708" ht="15.75" customHeight="1">
      <c r="A708" s="207"/>
      <c r="B708" s="207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210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</row>
    <row r="709" ht="15.75" customHeight="1">
      <c r="A709" s="207"/>
      <c r="B709" s="207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210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</row>
    <row r="710" ht="15.75" customHeight="1">
      <c r="A710" s="207"/>
      <c r="B710" s="207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210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</row>
    <row r="711" ht="15.75" customHeight="1">
      <c r="A711" s="207"/>
      <c r="B711" s="207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210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</row>
    <row r="712" ht="15.75" customHeight="1">
      <c r="A712" s="207"/>
      <c r="B712" s="207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210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</row>
    <row r="713" ht="15.75" customHeight="1">
      <c r="A713" s="207"/>
      <c r="B713" s="207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210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</row>
    <row r="714" ht="15.75" customHeight="1">
      <c r="A714" s="207"/>
      <c r="B714" s="207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210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</row>
    <row r="715" ht="15.75" customHeight="1">
      <c r="A715" s="207"/>
      <c r="B715" s="207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210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</row>
    <row r="716" ht="15.75" customHeight="1">
      <c r="A716" s="207"/>
      <c r="B716" s="207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210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</row>
    <row r="717" ht="15.75" customHeight="1">
      <c r="A717" s="207"/>
      <c r="B717" s="207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210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</row>
    <row r="718" ht="15.75" customHeight="1">
      <c r="A718" s="207"/>
      <c r="B718" s="207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210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</row>
    <row r="719" ht="15.75" customHeight="1">
      <c r="A719" s="207"/>
      <c r="B719" s="207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210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</row>
    <row r="720" ht="15.75" customHeight="1">
      <c r="A720" s="207"/>
      <c r="B720" s="207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210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</row>
    <row r="721" ht="15.75" customHeight="1">
      <c r="A721" s="207"/>
      <c r="B721" s="207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210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</row>
    <row r="722" ht="15.75" customHeight="1">
      <c r="A722" s="207"/>
      <c r="B722" s="207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210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</row>
    <row r="723" ht="15.75" customHeight="1">
      <c r="A723" s="207"/>
      <c r="B723" s="207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210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</row>
    <row r="724" ht="15.75" customHeight="1">
      <c r="A724" s="207"/>
      <c r="B724" s="207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210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</row>
    <row r="725" ht="15.75" customHeight="1">
      <c r="A725" s="207"/>
      <c r="B725" s="207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210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</row>
    <row r="726" ht="15.75" customHeight="1">
      <c r="A726" s="207"/>
      <c r="B726" s="207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210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</row>
    <row r="727" ht="15.75" customHeight="1">
      <c r="A727" s="207"/>
      <c r="B727" s="207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210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</row>
    <row r="728" ht="15.75" customHeight="1">
      <c r="A728" s="207"/>
      <c r="B728" s="207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210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</row>
    <row r="729" ht="15.75" customHeight="1">
      <c r="A729" s="207"/>
      <c r="B729" s="207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210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</row>
    <row r="730" ht="15.75" customHeight="1">
      <c r="A730" s="207"/>
      <c r="B730" s="207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210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</row>
    <row r="731" ht="15.75" customHeight="1">
      <c r="A731" s="207"/>
      <c r="B731" s="207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210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</row>
    <row r="732" ht="15.75" customHeight="1">
      <c r="A732" s="207"/>
      <c r="B732" s="207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210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</row>
    <row r="733" ht="15.75" customHeight="1">
      <c r="A733" s="207"/>
      <c r="B733" s="207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210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</row>
    <row r="734" ht="15.75" customHeight="1">
      <c r="A734" s="207"/>
      <c r="B734" s="207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210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</row>
    <row r="735" ht="15.75" customHeight="1">
      <c r="A735" s="207"/>
      <c r="B735" s="207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210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</row>
    <row r="736" ht="15.75" customHeight="1">
      <c r="A736" s="207"/>
      <c r="B736" s="207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210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</row>
    <row r="737" ht="15.75" customHeight="1">
      <c r="A737" s="207"/>
      <c r="B737" s="207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210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</row>
    <row r="738" ht="15.75" customHeight="1">
      <c r="A738" s="207"/>
      <c r="B738" s="207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210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</row>
    <row r="739" ht="15.75" customHeight="1">
      <c r="A739" s="207"/>
      <c r="B739" s="207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210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</row>
    <row r="740" ht="15.75" customHeight="1">
      <c r="A740" s="207"/>
      <c r="B740" s="207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210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</row>
    <row r="741" ht="15.75" customHeight="1">
      <c r="A741" s="207"/>
      <c r="B741" s="207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210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</row>
    <row r="742" ht="15.75" customHeight="1">
      <c r="A742" s="207"/>
      <c r="B742" s="207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210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</row>
    <row r="743" ht="15.75" customHeight="1">
      <c r="A743" s="207"/>
      <c r="B743" s="207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210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</row>
    <row r="744" ht="15.75" customHeight="1">
      <c r="A744" s="207"/>
      <c r="B744" s="207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210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</row>
    <row r="745" ht="15.75" customHeight="1">
      <c r="A745" s="207"/>
      <c r="B745" s="207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210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</row>
    <row r="746" ht="15.75" customHeight="1">
      <c r="A746" s="207"/>
      <c r="B746" s="207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210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</row>
    <row r="747" ht="15.75" customHeight="1">
      <c r="A747" s="207"/>
      <c r="B747" s="207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210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</row>
    <row r="748" ht="15.75" customHeight="1">
      <c r="A748" s="207"/>
      <c r="B748" s="207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210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</row>
    <row r="749" ht="15.75" customHeight="1">
      <c r="A749" s="207"/>
      <c r="B749" s="207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210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</row>
    <row r="750" ht="15.75" customHeight="1">
      <c r="A750" s="207"/>
      <c r="B750" s="207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210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</row>
    <row r="751" ht="15.75" customHeight="1">
      <c r="A751" s="207"/>
      <c r="B751" s="207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210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</row>
    <row r="752" ht="15.75" customHeight="1">
      <c r="A752" s="207"/>
      <c r="B752" s="207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210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</row>
    <row r="753" ht="15.75" customHeight="1">
      <c r="A753" s="207"/>
      <c r="B753" s="207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210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</row>
    <row r="754" ht="15.75" customHeight="1">
      <c r="A754" s="207"/>
      <c r="B754" s="207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210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</row>
    <row r="755" ht="15.75" customHeight="1">
      <c r="A755" s="207"/>
      <c r="B755" s="207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210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</row>
    <row r="756" ht="15.75" customHeight="1">
      <c r="A756" s="207"/>
      <c r="B756" s="207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210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</row>
    <row r="757" ht="15.75" customHeight="1">
      <c r="A757" s="207"/>
      <c r="B757" s="207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210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</row>
    <row r="758" ht="15.75" customHeight="1">
      <c r="A758" s="207"/>
      <c r="B758" s="207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210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</row>
    <row r="759" ht="15.75" customHeight="1">
      <c r="A759" s="207"/>
      <c r="B759" s="207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210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</row>
    <row r="760" ht="15.75" customHeight="1">
      <c r="A760" s="207"/>
      <c r="B760" s="207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210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</row>
    <row r="761" ht="15.75" customHeight="1">
      <c r="A761" s="207"/>
      <c r="B761" s="207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210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</row>
    <row r="762" ht="15.75" customHeight="1">
      <c r="A762" s="207"/>
      <c r="B762" s="207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210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</row>
    <row r="763" ht="15.75" customHeight="1">
      <c r="A763" s="207"/>
      <c r="B763" s="207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210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</row>
    <row r="764" ht="15.75" customHeight="1">
      <c r="A764" s="207"/>
      <c r="B764" s="207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210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</row>
    <row r="765" ht="15.75" customHeight="1">
      <c r="A765" s="207"/>
      <c r="B765" s="207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210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</row>
    <row r="766" ht="15.75" customHeight="1">
      <c r="A766" s="207"/>
      <c r="B766" s="207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210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</row>
    <row r="767" ht="15.75" customHeight="1">
      <c r="A767" s="207"/>
      <c r="B767" s="207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210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</row>
    <row r="768" ht="15.75" customHeight="1">
      <c r="A768" s="207"/>
      <c r="B768" s="207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210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</row>
    <row r="769" ht="15.75" customHeight="1">
      <c r="A769" s="207"/>
      <c r="B769" s="207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210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</row>
    <row r="770" ht="15.75" customHeight="1">
      <c r="A770" s="207"/>
      <c r="B770" s="207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210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</row>
    <row r="771" ht="15.75" customHeight="1">
      <c r="A771" s="207"/>
      <c r="B771" s="207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210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</row>
    <row r="772" ht="15.75" customHeight="1">
      <c r="A772" s="207"/>
      <c r="B772" s="207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210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</row>
    <row r="773" ht="15.75" customHeight="1">
      <c r="A773" s="207"/>
      <c r="B773" s="207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210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</row>
    <row r="774" ht="15.75" customHeight="1">
      <c r="A774" s="207"/>
      <c r="B774" s="207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210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</row>
    <row r="775" ht="15.75" customHeight="1">
      <c r="A775" s="207"/>
      <c r="B775" s="207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210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</row>
    <row r="776" ht="15.75" customHeight="1">
      <c r="A776" s="207"/>
      <c r="B776" s="207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210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</row>
    <row r="777" ht="15.75" customHeight="1">
      <c r="A777" s="207"/>
      <c r="B777" s="207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210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</row>
    <row r="778" ht="15.75" customHeight="1">
      <c r="A778" s="207"/>
      <c r="B778" s="207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210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</row>
    <row r="779" ht="15.75" customHeight="1">
      <c r="A779" s="207"/>
      <c r="B779" s="207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210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</row>
    <row r="780" ht="15.75" customHeight="1">
      <c r="A780" s="207"/>
      <c r="B780" s="207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210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</row>
    <row r="781" ht="15.75" customHeight="1">
      <c r="A781" s="207"/>
      <c r="B781" s="207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210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</row>
    <row r="782" ht="15.75" customHeight="1">
      <c r="A782" s="207"/>
      <c r="B782" s="207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210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</row>
    <row r="783" ht="15.75" customHeight="1">
      <c r="A783" s="207"/>
      <c r="B783" s="207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210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</row>
    <row r="784" ht="15.75" customHeight="1">
      <c r="A784" s="207"/>
      <c r="B784" s="207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210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</row>
    <row r="785" ht="15.75" customHeight="1">
      <c r="A785" s="207"/>
      <c r="B785" s="207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210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</row>
    <row r="786" ht="15.75" customHeight="1">
      <c r="A786" s="207"/>
      <c r="B786" s="207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210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</row>
    <row r="787" ht="15.75" customHeight="1">
      <c r="A787" s="207"/>
      <c r="B787" s="207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210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</row>
    <row r="788" ht="15.75" customHeight="1">
      <c r="A788" s="207"/>
      <c r="B788" s="207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210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</row>
    <row r="789" ht="15.75" customHeight="1">
      <c r="A789" s="207"/>
      <c r="B789" s="207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210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</row>
    <row r="790" ht="15.75" customHeight="1">
      <c r="A790" s="207"/>
      <c r="B790" s="207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210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</row>
    <row r="791" ht="15.75" customHeight="1">
      <c r="A791" s="207"/>
      <c r="B791" s="207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210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</row>
    <row r="792" ht="15.75" customHeight="1">
      <c r="A792" s="207"/>
      <c r="B792" s="207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210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</row>
    <row r="793" ht="15.75" customHeight="1">
      <c r="A793" s="207"/>
      <c r="B793" s="207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210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</row>
    <row r="794" ht="15.75" customHeight="1">
      <c r="A794" s="207"/>
      <c r="B794" s="207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210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</row>
    <row r="795" ht="15.75" customHeight="1">
      <c r="A795" s="207"/>
      <c r="B795" s="207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210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</row>
    <row r="796" ht="15.75" customHeight="1">
      <c r="A796" s="207"/>
      <c r="B796" s="207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210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</row>
    <row r="797" ht="15.75" customHeight="1">
      <c r="A797" s="207"/>
      <c r="B797" s="207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210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</row>
    <row r="798" ht="15.75" customHeight="1">
      <c r="A798" s="207"/>
      <c r="B798" s="207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210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</row>
    <row r="799" ht="15.75" customHeight="1">
      <c r="A799" s="207"/>
      <c r="B799" s="207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210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</row>
    <row r="800" ht="15.75" customHeight="1">
      <c r="A800" s="207"/>
      <c r="B800" s="207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210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</row>
    <row r="801" ht="15.75" customHeight="1">
      <c r="A801" s="207"/>
      <c r="B801" s="207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210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</row>
    <row r="802" ht="15.75" customHeight="1">
      <c r="A802" s="207"/>
      <c r="B802" s="207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210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</row>
    <row r="803" ht="15.75" customHeight="1">
      <c r="A803" s="207"/>
      <c r="B803" s="207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210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</row>
    <row r="804" ht="15.75" customHeight="1">
      <c r="A804" s="207"/>
      <c r="B804" s="207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210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</row>
    <row r="805" ht="15.75" customHeight="1">
      <c r="A805" s="207"/>
      <c r="B805" s="207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210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</row>
    <row r="806" ht="15.75" customHeight="1">
      <c r="A806" s="207"/>
      <c r="B806" s="207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210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</row>
    <row r="807" ht="15.75" customHeight="1">
      <c r="A807" s="207"/>
      <c r="B807" s="207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210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</row>
    <row r="808" ht="15.75" customHeight="1">
      <c r="A808" s="207"/>
      <c r="B808" s="207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210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</row>
    <row r="809" ht="15.75" customHeight="1">
      <c r="A809" s="207"/>
      <c r="B809" s="207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210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</row>
    <row r="810" ht="15.75" customHeight="1">
      <c r="A810" s="207"/>
      <c r="B810" s="207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210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</row>
    <row r="811" ht="15.75" customHeight="1">
      <c r="A811" s="207"/>
      <c r="B811" s="207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210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</row>
    <row r="812" ht="15.75" customHeight="1">
      <c r="A812" s="207"/>
      <c r="B812" s="207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210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</row>
    <row r="813" ht="15.75" customHeight="1">
      <c r="A813" s="207"/>
      <c r="B813" s="207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210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</row>
    <row r="814" ht="15.75" customHeight="1">
      <c r="A814" s="207"/>
      <c r="B814" s="207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210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</row>
    <row r="815" ht="15.75" customHeight="1">
      <c r="A815" s="207"/>
      <c r="B815" s="207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210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</row>
    <row r="816" ht="15.75" customHeight="1">
      <c r="A816" s="207"/>
      <c r="B816" s="207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210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</row>
    <row r="817" ht="15.75" customHeight="1">
      <c r="A817" s="207"/>
      <c r="B817" s="207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210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</row>
    <row r="818" ht="15.75" customHeight="1">
      <c r="A818" s="207"/>
      <c r="B818" s="207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210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</row>
    <row r="819" ht="15.75" customHeight="1">
      <c r="A819" s="207"/>
      <c r="B819" s="207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210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</row>
    <row r="820" ht="15.75" customHeight="1">
      <c r="A820" s="207"/>
      <c r="B820" s="207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210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</row>
    <row r="821" ht="15.75" customHeight="1">
      <c r="A821" s="207"/>
      <c r="B821" s="207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210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</row>
    <row r="822" ht="15.75" customHeight="1">
      <c r="A822" s="207"/>
      <c r="B822" s="207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210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</row>
    <row r="823" ht="15.75" customHeight="1">
      <c r="A823" s="207"/>
      <c r="B823" s="207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210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</row>
    <row r="824" ht="15.75" customHeight="1">
      <c r="A824" s="207"/>
      <c r="B824" s="207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210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</row>
    <row r="825" ht="15.75" customHeight="1">
      <c r="A825" s="207"/>
      <c r="B825" s="207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210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</row>
    <row r="826" ht="15.75" customHeight="1">
      <c r="A826" s="207"/>
      <c r="B826" s="207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210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</row>
    <row r="827" ht="15.75" customHeight="1">
      <c r="A827" s="207"/>
      <c r="B827" s="207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210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</row>
    <row r="828" ht="15.75" customHeight="1">
      <c r="A828" s="207"/>
      <c r="B828" s="207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210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</row>
    <row r="829" ht="15.75" customHeight="1">
      <c r="A829" s="207"/>
      <c r="B829" s="207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210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</row>
    <row r="830" ht="15.75" customHeight="1">
      <c r="A830" s="207"/>
      <c r="B830" s="207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210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</row>
    <row r="831" ht="15.75" customHeight="1">
      <c r="A831" s="207"/>
      <c r="B831" s="207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210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</row>
    <row r="832" ht="15.75" customHeight="1">
      <c r="A832" s="207"/>
      <c r="B832" s="207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210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</row>
    <row r="833" ht="15.75" customHeight="1">
      <c r="A833" s="207"/>
      <c r="B833" s="207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210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</row>
    <row r="834" ht="15.75" customHeight="1">
      <c r="A834" s="207"/>
      <c r="B834" s="207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210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</row>
    <row r="835" ht="15.75" customHeight="1">
      <c r="A835" s="207"/>
      <c r="B835" s="207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210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</row>
    <row r="836" ht="15.75" customHeight="1">
      <c r="A836" s="207"/>
      <c r="B836" s="207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210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</row>
    <row r="837" ht="15.75" customHeight="1">
      <c r="A837" s="207"/>
      <c r="B837" s="207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210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</row>
    <row r="838" ht="15.75" customHeight="1">
      <c r="A838" s="207"/>
      <c r="B838" s="207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210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</row>
    <row r="839" ht="15.75" customHeight="1">
      <c r="A839" s="207"/>
      <c r="B839" s="207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210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</row>
    <row r="840" ht="15.75" customHeight="1">
      <c r="A840" s="207"/>
      <c r="B840" s="207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210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</row>
    <row r="841" ht="15.75" customHeight="1">
      <c r="A841" s="207"/>
      <c r="B841" s="207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210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</row>
    <row r="842" ht="15.75" customHeight="1">
      <c r="A842" s="207"/>
      <c r="B842" s="207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210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</row>
    <row r="843" ht="15.75" customHeight="1">
      <c r="A843" s="207"/>
      <c r="B843" s="207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210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</row>
    <row r="844" ht="15.75" customHeight="1">
      <c r="A844" s="207"/>
      <c r="B844" s="207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210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</row>
    <row r="845" ht="15.75" customHeight="1">
      <c r="A845" s="207"/>
      <c r="B845" s="207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210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</row>
    <row r="846" ht="15.75" customHeight="1">
      <c r="A846" s="207"/>
      <c r="B846" s="207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210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</row>
    <row r="847" ht="15.75" customHeight="1">
      <c r="A847" s="207"/>
      <c r="B847" s="207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210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</row>
    <row r="848" ht="15.75" customHeight="1">
      <c r="A848" s="207"/>
      <c r="B848" s="207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210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</row>
    <row r="849" ht="15.75" customHeight="1">
      <c r="A849" s="207"/>
      <c r="B849" s="207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210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</row>
    <row r="850" ht="15.75" customHeight="1">
      <c r="A850" s="207"/>
      <c r="B850" s="207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210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</row>
    <row r="851" ht="15.75" customHeight="1">
      <c r="A851" s="207"/>
      <c r="B851" s="207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210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</row>
    <row r="852" ht="15.75" customHeight="1">
      <c r="A852" s="207"/>
      <c r="B852" s="207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210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</row>
    <row r="853" ht="15.75" customHeight="1">
      <c r="A853" s="207"/>
      <c r="B853" s="207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210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</row>
    <row r="854" ht="15.75" customHeight="1">
      <c r="A854" s="207"/>
      <c r="B854" s="207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210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</row>
    <row r="855" ht="15.75" customHeight="1">
      <c r="A855" s="207"/>
      <c r="B855" s="207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210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</row>
    <row r="856" ht="15.75" customHeight="1">
      <c r="A856" s="207"/>
      <c r="B856" s="207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210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</row>
    <row r="857" ht="15.75" customHeight="1">
      <c r="A857" s="207"/>
      <c r="B857" s="207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210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</row>
    <row r="858" ht="15.75" customHeight="1">
      <c r="A858" s="207"/>
      <c r="B858" s="207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210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</row>
    <row r="859" ht="15.75" customHeight="1">
      <c r="A859" s="207"/>
      <c r="B859" s="207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210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</row>
    <row r="860" ht="15.75" customHeight="1">
      <c r="A860" s="207"/>
      <c r="B860" s="207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210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</row>
    <row r="861" ht="15.75" customHeight="1">
      <c r="A861" s="207"/>
      <c r="B861" s="207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210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</row>
    <row r="862" ht="15.75" customHeight="1">
      <c r="A862" s="207"/>
      <c r="B862" s="207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210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</row>
    <row r="863" ht="15.75" customHeight="1">
      <c r="A863" s="207"/>
      <c r="B863" s="207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210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</row>
    <row r="864" ht="15.75" customHeight="1">
      <c r="A864" s="207"/>
      <c r="B864" s="207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210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</row>
    <row r="865" ht="15.75" customHeight="1">
      <c r="A865" s="207"/>
      <c r="B865" s="207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210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</row>
    <row r="866" ht="15.75" customHeight="1">
      <c r="A866" s="207"/>
      <c r="B866" s="207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210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</row>
    <row r="867" ht="15.75" customHeight="1">
      <c r="A867" s="207"/>
      <c r="B867" s="207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210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</row>
    <row r="868" ht="15.75" customHeight="1">
      <c r="A868" s="207"/>
      <c r="B868" s="207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210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</row>
    <row r="869" ht="15.75" customHeight="1">
      <c r="A869" s="207"/>
      <c r="B869" s="207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210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</row>
    <row r="870" ht="15.75" customHeight="1">
      <c r="A870" s="207"/>
      <c r="B870" s="207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210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</row>
    <row r="871" ht="15.75" customHeight="1">
      <c r="A871" s="207"/>
      <c r="B871" s="207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210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</row>
    <row r="872" ht="15.75" customHeight="1">
      <c r="A872" s="207"/>
      <c r="B872" s="207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210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</row>
    <row r="873" ht="15.75" customHeight="1">
      <c r="A873" s="207"/>
      <c r="B873" s="207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210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</row>
    <row r="874" ht="15.75" customHeight="1">
      <c r="A874" s="207"/>
      <c r="B874" s="207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210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</row>
    <row r="875" ht="15.75" customHeight="1">
      <c r="A875" s="207"/>
      <c r="B875" s="207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210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</row>
    <row r="876" ht="15.75" customHeight="1">
      <c r="A876" s="207"/>
      <c r="B876" s="207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210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</row>
    <row r="877" ht="15.75" customHeight="1">
      <c r="A877" s="207"/>
      <c r="B877" s="207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210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</row>
    <row r="878" ht="15.75" customHeight="1">
      <c r="A878" s="207"/>
      <c r="B878" s="207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210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</row>
    <row r="879" ht="15.75" customHeight="1">
      <c r="A879" s="207"/>
      <c r="B879" s="207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210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</row>
    <row r="880" ht="15.75" customHeight="1">
      <c r="A880" s="207"/>
      <c r="B880" s="207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210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</row>
    <row r="881" ht="15.75" customHeight="1">
      <c r="A881" s="207"/>
      <c r="B881" s="207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210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</row>
    <row r="882" ht="15.75" customHeight="1">
      <c r="A882" s="207"/>
      <c r="B882" s="207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210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</row>
    <row r="883" ht="15.75" customHeight="1">
      <c r="A883" s="207"/>
      <c r="B883" s="207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210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</row>
    <row r="884" ht="15.75" customHeight="1">
      <c r="A884" s="207"/>
      <c r="B884" s="207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210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</row>
    <row r="885" ht="15.75" customHeight="1">
      <c r="A885" s="207"/>
      <c r="B885" s="207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210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</row>
    <row r="886" ht="15.75" customHeight="1">
      <c r="A886" s="207"/>
      <c r="B886" s="207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210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</row>
    <row r="887" ht="15.75" customHeight="1">
      <c r="A887" s="207"/>
      <c r="B887" s="207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210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</row>
    <row r="888" ht="15.75" customHeight="1">
      <c r="A888" s="207"/>
      <c r="B888" s="207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210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</row>
    <row r="889" ht="15.75" customHeight="1">
      <c r="A889" s="207"/>
      <c r="B889" s="207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210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</row>
    <row r="890" ht="15.75" customHeight="1">
      <c r="A890" s="207"/>
      <c r="B890" s="207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210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</row>
    <row r="891" ht="15.75" customHeight="1">
      <c r="A891" s="207"/>
      <c r="B891" s="207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210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</row>
    <row r="892" ht="15.75" customHeight="1">
      <c r="A892" s="207"/>
      <c r="B892" s="207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210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</row>
    <row r="893" ht="15.75" customHeight="1">
      <c r="A893" s="207"/>
      <c r="B893" s="207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210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</row>
    <row r="894" ht="15.75" customHeight="1">
      <c r="A894" s="207"/>
      <c r="B894" s="207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210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</row>
    <row r="895" ht="15.75" customHeight="1">
      <c r="A895" s="207"/>
      <c r="B895" s="207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210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</row>
    <row r="896" ht="15.75" customHeight="1">
      <c r="A896" s="207"/>
      <c r="B896" s="207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210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</row>
    <row r="897" ht="15.75" customHeight="1">
      <c r="A897" s="207"/>
      <c r="B897" s="207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210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</row>
    <row r="898" ht="15.75" customHeight="1">
      <c r="A898" s="207"/>
      <c r="B898" s="207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210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</row>
    <row r="899" ht="15.75" customHeight="1">
      <c r="A899" s="207"/>
      <c r="B899" s="207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210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</row>
    <row r="900" ht="15.75" customHeight="1">
      <c r="A900" s="207"/>
      <c r="B900" s="207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210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</row>
    <row r="901" ht="15.75" customHeight="1">
      <c r="A901" s="207"/>
      <c r="B901" s="207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210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</row>
    <row r="902" ht="15.75" customHeight="1">
      <c r="A902" s="207"/>
      <c r="B902" s="207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210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</row>
    <row r="903" ht="15.75" customHeight="1">
      <c r="A903" s="207"/>
      <c r="B903" s="207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210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</row>
    <row r="904" ht="15.75" customHeight="1">
      <c r="A904" s="207"/>
      <c r="B904" s="207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210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</row>
    <row r="905" ht="15.75" customHeight="1">
      <c r="A905" s="207"/>
      <c r="B905" s="207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210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</row>
    <row r="906" ht="15.75" customHeight="1">
      <c r="A906" s="207"/>
      <c r="B906" s="207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210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</row>
    <row r="907" ht="15.75" customHeight="1">
      <c r="A907" s="207"/>
      <c r="B907" s="207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210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</row>
    <row r="908" ht="15.75" customHeight="1">
      <c r="A908" s="207"/>
      <c r="B908" s="207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210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</row>
    <row r="909" ht="15.75" customHeight="1">
      <c r="A909" s="207"/>
      <c r="B909" s="207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210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</row>
    <row r="910" ht="15.75" customHeight="1">
      <c r="A910" s="207"/>
      <c r="B910" s="207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210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</row>
    <row r="911" ht="15.75" customHeight="1">
      <c r="A911" s="207"/>
      <c r="B911" s="207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210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</row>
    <row r="912" ht="15.75" customHeight="1">
      <c r="A912" s="207"/>
      <c r="B912" s="207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210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</row>
    <row r="913" ht="15.75" customHeight="1">
      <c r="A913" s="207"/>
      <c r="B913" s="207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210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</row>
    <row r="914" ht="15.75" customHeight="1">
      <c r="A914" s="207"/>
      <c r="B914" s="207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210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</row>
    <row r="915" ht="15.75" customHeight="1">
      <c r="A915" s="207"/>
      <c r="B915" s="207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210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</row>
    <row r="916" ht="15.75" customHeight="1">
      <c r="A916" s="207"/>
      <c r="B916" s="207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210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</row>
    <row r="917" ht="15.75" customHeight="1">
      <c r="A917" s="207"/>
      <c r="B917" s="207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210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</row>
    <row r="918" ht="15.75" customHeight="1">
      <c r="A918" s="207"/>
      <c r="B918" s="207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210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</row>
    <row r="919" ht="15.75" customHeight="1">
      <c r="A919" s="207"/>
      <c r="B919" s="207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210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</row>
    <row r="920" ht="15.75" customHeight="1">
      <c r="A920" s="207"/>
      <c r="B920" s="207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210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</row>
    <row r="921" ht="15.75" customHeight="1">
      <c r="A921" s="207"/>
      <c r="B921" s="207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210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</row>
    <row r="922" ht="15.75" customHeight="1">
      <c r="A922" s="207"/>
      <c r="B922" s="207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210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</row>
    <row r="923" ht="15.75" customHeight="1">
      <c r="A923" s="207"/>
      <c r="B923" s="207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210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</row>
    <row r="924" ht="15.75" customHeight="1">
      <c r="A924" s="207"/>
      <c r="B924" s="207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210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</row>
    <row r="925" ht="15.75" customHeight="1">
      <c r="A925" s="207"/>
      <c r="B925" s="207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210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</row>
    <row r="926" ht="15.75" customHeight="1">
      <c r="A926" s="207"/>
      <c r="B926" s="207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210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</row>
    <row r="927" ht="15.75" customHeight="1">
      <c r="A927" s="207"/>
      <c r="B927" s="207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210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</row>
    <row r="928" ht="15.75" customHeight="1">
      <c r="A928" s="207"/>
      <c r="B928" s="207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210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</row>
    <row r="929" ht="15.75" customHeight="1">
      <c r="A929" s="207"/>
      <c r="B929" s="207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210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</row>
    <row r="930" ht="15.75" customHeight="1">
      <c r="A930" s="207"/>
      <c r="B930" s="207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210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</row>
    <row r="931" ht="15.75" customHeight="1">
      <c r="A931" s="207"/>
      <c r="B931" s="207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210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</row>
    <row r="932" ht="15.75" customHeight="1">
      <c r="A932" s="207"/>
      <c r="B932" s="207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210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</row>
    <row r="933" ht="15.75" customHeight="1">
      <c r="A933" s="207"/>
      <c r="B933" s="207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210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</row>
    <row r="934" ht="15.75" customHeight="1">
      <c r="A934" s="207"/>
      <c r="B934" s="207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210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</row>
    <row r="935" ht="15.75" customHeight="1">
      <c r="A935" s="207"/>
      <c r="B935" s="207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210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</row>
    <row r="936" ht="15.75" customHeight="1">
      <c r="A936" s="207"/>
      <c r="B936" s="207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210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</row>
    <row r="937" ht="15.75" customHeight="1">
      <c r="A937" s="207"/>
      <c r="B937" s="207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210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</row>
    <row r="938" ht="15.75" customHeight="1">
      <c r="A938" s="207"/>
      <c r="B938" s="207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210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</row>
    <row r="939" ht="15.75" customHeight="1">
      <c r="A939" s="207"/>
      <c r="B939" s="207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210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</row>
    <row r="940" ht="15.75" customHeight="1">
      <c r="A940" s="207"/>
      <c r="B940" s="207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210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</row>
    <row r="941" ht="15.75" customHeight="1">
      <c r="A941" s="207"/>
      <c r="B941" s="207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210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</row>
    <row r="942" ht="15.75" customHeight="1">
      <c r="A942" s="207"/>
      <c r="B942" s="207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210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</row>
    <row r="943" ht="15.75" customHeight="1">
      <c r="A943" s="207"/>
      <c r="B943" s="207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210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</row>
    <row r="944" ht="15.75" customHeight="1">
      <c r="A944" s="207"/>
      <c r="B944" s="207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210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</row>
    <row r="945" ht="15.75" customHeight="1">
      <c r="A945" s="207"/>
      <c r="B945" s="207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210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</row>
    <row r="946" ht="15.75" customHeight="1">
      <c r="A946" s="207"/>
      <c r="B946" s="207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210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</row>
    <row r="947" ht="15.75" customHeight="1">
      <c r="A947" s="207"/>
      <c r="B947" s="207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210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</row>
    <row r="948" ht="15.75" customHeight="1">
      <c r="A948" s="207"/>
      <c r="B948" s="207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210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</row>
    <row r="949" ht="15.75" customHeight="1">
      <c r="A949" s="207"/>
      <c r="B949" s="207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210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</row>
    <row r="950" ht="15.75" customHeight="1">
      <c r="A950" s="207"/>
      <c r="B950" s="207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210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</row>
    <row r="951" ht="15.75" customHeight="1">
      <c r="A951" s="207"/>
      <c r="B951" s="207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210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</row>
    <row r="952" ht="15.75" customHeight="1">
      <c r="A952" s="207"/>
      <c r="B952" s="207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210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</row>
    <row r="953" ht="15.75" customHeight="1">
      <c r="A953" s="207"/>
      <c r="B953" s="207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210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</row>
    <row r="954" ht="15.75" customHeight="1">
      <c r="A954" s="207"/>
      <c r="B954" s="207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210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</row>
    <row r="955" ht="15.75" customHeight="1">
      <c r="A955" s="207"/>
      <c r="B955" s="207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210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</row>
    <row r="956" ht="15.75" customHeight="1">
      <c r="A956" s="207"/>
      <c r="B956" s="207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210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</row>
    <row r="957" ht="15.75" customHeight="1">
      <c r="A957" s="207"/>
      <c r="B957" s="207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210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</row>
    <row r="958" ht="15.75" customHeight="1">
      <c r="A958" s="207"/>
      <c r="B958" s="207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210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</row>
    <row r="959" ht="15.75" customHeight="1">
      <c r="A959" s="207"/>
      <c r="B959" s="207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210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</row>
    <row r="960" ht="15.75" customHeight="1">
      <c r="A960" s="207"/>
      <c r="B960" s="207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210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</row>
    <row r="961" ht="15.75" customHeight="1">
      <c r="A961" s="207"/>
      <c r="B961" s="207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210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</row>
    <row r="962" ht="15.75" customHeight="1">
      <c r="A962" s="207"/>
      <c r="B962" s="207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210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</row>
    <row r="963" ht="15.75" customHeight="1">
      <c r="A963" s="207"/>
      <c r="B963" s="207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210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</row>
    <row r="964" ht="15.75" customHeight="1">
      <c r="A964" s="207"/>
      <c r="B964" s="207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210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</row>
    <row r="965" ht="15.75" customHeight="1">
      <c r="A965" s="207"/>
      <c r="B965" s="207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210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</row>
    <row r="966" ht="15.75" customHeight="1">
      <c r="A966" s="207"/>
      <c r="B966" s="207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210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</row>
    <row r="967" ht="15.75" customHeight="1">
      <c r="A967" s="207"/>
      <c r="B967" s="207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210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</row>
    <row r="968" ht="15.75" customHeight="1">
      <c r="A968" s="207"/>
      <c r="B968" s="207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210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</row>
    <row r="969" ht="15.75" customHeight="1">
      <c r="A969" s="207"/>
      <c r="B969" s="207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210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</row>
    <row r="970" ht="15.75" customHeight="1">
      <c r="A970" s="207"/>
      <c r="B970" s="207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210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</row>
    <row r="971" ht="15.75" customHeight="1">
      <c r="A971" s="207"/>
      <c r="B971" s="207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210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</row>
    <row r="972" ht="15.75" customHeight="1">
      <c r="A972" s="207"/>
      <c r="B972" s="207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210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</row>
    <row r="973" ht="15.75" customHeight="1">
      <c r="A973" s="207"/>
      <c r="B973" s="207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210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</row>
    <row r="974" ht="15.75" customHeight="1">
      <c r="A974" s="207"/>
      <c r="B974" s="207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210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</row>
    <row r="975" ht="15.75" customHeight="1">
      <c r="A975" s="207"/>
      <c r="B975" s="207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210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</row>
    <row r="976" ht="15.75" customHeight="1">
      <c r="A976" s="207"/>
      <c r="B976" s="207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210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</row>
    <row r="977" ht="15.75" customHeight="1">
      <c r="A977" s="207"/>
      <c r="B977" s="207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210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</row>
    <row r="978" ht="15.75" customHeight="1">
      <c r="A978" s="207"/>
      <c r="B978" s="207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210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</row>
    <row r="979" ht="15.75" customHeight="1">
      <c r="A979" s="207"/>
      <c r="B979" s="207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210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</row>
    <row r="980" ht="15.75" customHeight="1">
      <c r="A980" s="207"/>
      <c r="B980" s="207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210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</row>
    <row r="981" ht="15.75" customHeight="1">
      <c r="A981" s="207"/>
      <c r="B981" s="207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210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</row>
    <row r="982" ht="15.75" customHeight="1">
      <c r="A982" s="207"/>
      <c r="B982" s="207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210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</row>
    <row r="983" ht="15.75" customHeight="1">
      <c r="A983" s="207"/>
      <c r="B983" s="207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210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</row>
    <row r="984" ht="15.75" customHeight="1">
      <c r="A984" s="207"/>
      <c r="B984" s="207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210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</row>
    <row r="985" ht="15.75" customHeight="1">
      <c r="A985" s="207"/>
      <c r="B985" s="207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210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</row>
    <row r="986" ht="15.75" customHeight="1">
      <c r="A986" s="207"/>
      <c r="B986" s="207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210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</row>
    <row r="987" ht="15.75" customHeight="1">
      <c r="A987" s="207"/>
      <c r="B987" s="207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210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</row>
    <row r="988" ht="15.75" customHeight="1">
      <c r="A988" s="207"/>
      <c r="B988" s="207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210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</row>
    <row r="989" ht="15.75" customHeight="1">
      <c r="A989" s="207"/>
      <c r="B989" s="207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210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</row>
    <row r="990" ht="15.75" customHeight="1">
      <c r="A990" s="207"/>
      <c r="B990" s="207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210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</row>
    <row r="991" ht="15.75" customHeight="1">
      <c r="A991" s="207"/>
      <c r="B991" s="207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210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</row>
    <row r="992" ht="15.75" customHeight="1">
      <c r="A992" s="207"/>
      <c r="B992" s="207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210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</row>
    <row r="993" ht="15.75" customHeight="1">
      <c r="A993" s="207"/>
      <c r="B993" s="207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210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</row>
    <row r="994" ht="15.75" customHeight="1">
      <c r="A994" s="207"/>
      <c r="B994" s="207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210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</row>
    <row r="995" ht="15.75" customHeight="1">
      <c r="A995" s="207"/>
      <c r="B995" s="207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210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</row>
    <row r="996" ht="15.75" customHeight="1">
      <c r="A996" s="207"/>
      <c r="B996" s="207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210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</row>
    <row r="997" ht="15.75" customHeight="1">
      <c r="A997" s="207"/>
      <c r="B997" s="207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210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</row>
    <row r="998" ht="15.75" customHeight="1">
      <c r="A998" s="207"/>
      <c r="B998" s="207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210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</row>
    <row r="999" ht="15.75" customHeight="1">
      <c r="A999" s="207"/>
      <c r="B999" s="207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210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</row>
    <row r="1000" ht="15.75" customHeight="1">
      <c r="A1000" s="207"/>
      <c r="B1000" s="207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210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3.57"/>
    <col customWidth="1" min="2" max="2" width="5.71"/>
    <col customWidth="1" min="3" max="3" width="12.43"/>
    <col customWidth="1" min="4" max="5" width="18.57"/>
    <col customWidth="1" min="6" max="6" width="12.29"/>
    <col customWidth="1" min="7" max="10" width="8.71"/>
    <col customWidth="1" min="11" max="11" width="8.29"/>
    <col customWidth="1" min="12" max="12" width="9.71"/>
    <col customWidth="1" min="13" max="13" width="12.57"/>
    <col customWidth="1" min="14" max="14" width="31.0"/>
    <col customWidth="1" min="15" max="15" width="7.86"/>
    <col customWidth="1" min="16" max="16" width="7.57"/>
    <col customWidth="1" min="17" max="28" width="8.71"/>
  </cols>
  <sheetData>
    <row r="1" ht="29.25" customHeight="1">
      <c r="A1" s="152" t="s">
        <v>0</v>
      </c>
      <c r="B1" s="152" t="s">
        <v>1</v>
      </c>
      <c r="C1" s="153" t="s">
        <v>2</v>
      </c>
      <c r="D1" s="153" t="s">
        <v>3</v>
      </c>
      <c r="E1" s="153" t="s">
        <v>4</v>
      </c>
      <c r="F1" s="153" t="s">
        <v>6</v>
      </c>
      <c r="G1" s="153" t="s">
        <v>7</v>
      </c>
      <c r="H1" s="153" t="s">
        <v>8</v>
      </c>
      <c r="I1" s="153" t="s">
        <v>9</v>
      </c>
      <c r="J1" s="153" t="s">
        <v>10</v>
      </c>
      <c r="K1" s="154" t="s">
        <v>11</v>
      </c>
      <c r="L1" s="154" t="s">
        <v>12</v>
      </c>
      <c r="M1" s="153" t="s">
        <v>13</v>
      </c>
      <c r="N1" s="153" t="s">
        <v>14</v>
      </c>
      <c r="O1" s="153" t="s">
        <v>15</v>
      </c>
      <c r="P1" s="153" t="s">
        <v>16</v>
      </c>
      <c r="Q1" s="153" t="s">
        <v>18</v>
      </c>
      <c r="R1" s="155" t="s">
        <v>19</v>
      </c>
      <c r="S1" s="156" t="s">
        <v>20</v>
      </c>
      <c r="T1" s="156" t="s">
        <v>21</v>
      </c>
      <c r="U1" s="156" t="s">
        <v>22</v>
      </c>
      <c r="V1" s="157" t="s">
        <v>23</v>
      </c>
      <c r="W1" s="157" t="s">
        <v>24</v>
      </c>
      <c r="X1" s="158"/>
      <c r="Y1" s="159"/>
      <c r="Z1" s="159"/>
      <c r="AA1" s="159"/>
      <c r="AB1" s="159"/>
    </row>
    <row r="2" ht="14.25" customHeight="1">
      <c r="A2" s="160">
        <v>1.0</v>
      </c>
      <c r="B2" s="160" t="s">
        <v>25</v>
      </c>
      <c r="C2" s="161" t="s">
        <v>26</v>
      </c>
      <c r="D2" s="164">
        <v>6.0</v>
      </c>
      <c r="E2" s="164">
        <v>6.0</v>
      </c>
      <c r="F2" s="161"/>
      <c r="G2" s="164">
        <v>59.0</v>
      </c>
      <c r="H2" s="161"/>
      <c r="I2" s="161">
        <f t="shared" ref="I2:I61" si="1">max(0,K2-G2)</f>
        <v>86</v>
      </c>
      <c r="J2" s="165"/>
      <c r="K2" s="166">
        <v>145.0</v>
      </c>
      <c r="L2" s="161">
        <f t="shared" ref="L2:L61" si="2">J2+H2</f>
        <v>0</v>
      </c>
      <c r="M2" s="161">
        <f t="shared" ref="M2:M14" si="3">G2+H2+I2+J2</f>
        <v>145</v>
      </c>
      <c r="N2" s="167"/>
      <c r="O2" s="161">
        <v>16.904</v>
      </c>
      <c r="P2" s="161">
        <v>12.699</v>
      </c>
      <c r="Q2" s="161">
        <f t="shared" ref="Q2:Q61" si="4">(D2*O2)+(E2*P2)</f>
        <v>177.618</v>
      </c>
      <c r="R2" s="168">
        <v>504763.0</v>
      </c>
      <c r="S2" s="222"/>
      <c r="T2" s="222"/>
      <c r="U2" s="169">
        <v>504951.0</v>
      </c>
      <c r="V2" s="170">
        <f t="shared" ref="V2:V61" si="5">S2-R2</f>
        <v>-504763</v>
      </c>
      <c r="W2" s="170">
        <f t="shared" ref="W2:W61" si="6">U2-T2</f>
        <v>504951</v>
      </c>
      <c r="X2" s="42"/>
      <c r="Y2" s="42"/>
      <c r="Z2" s="42"/>
      <c r="AA2" s="42"/>
      <c r="AB2" s="42"/>
    </row>
    <row r="3" ht="14.25" customHeight="1">
      <c r="A3" s="160">
        <v>2.0</v>
      </c>
      <c r="B3" s="160" t="s">
        <v>25</v>
      </c>
      <c r="C3" s="161" t="s">
        <v>27</v>
      </c>
      <c r="D3" s="171">
        <v>6.0</v>
      </c>
      <c r="E3" s="163">
        <v>6.0</v>
      </c>
      <c r="F3" s="161"/>
      <c r="G3" s="164">
        <v>47.0</v>
      </c>
      <c r="H3" s="161"/>
      <c r="I3" s="161">
        <f t="shared" si="1"/>
        <v>98</v>
      </c>
      <c r="J3" s="165"/>
      <c r="K3" s="166">
        <v>145.0</v>
      </c>
      <c r="L3" s="161">
        <f t="shared" si="2"/>
        <v>0</v>
      </c>
      <c r="M3" s="161">
        <f t="shared" si="3"/>
        <v>145</v>
      </c>
      <c r="N3" s="167"/>
      <c r="O3" s="161">
        <v>16.904</v>
      </c>
      <c r="P3" s="161">
        <v>12.699</v>
      </c>
      <c r="Q3" s="161">
        <f t="shared" si="4"/>
        <v>177.618</v>
      </c>
      <c r="R3" s="168">
        <v>507387.0</v>
      </c>
      <c r="S3" s="222"/>
      <c r="T3" s="222"/>
      <c r="U3" s="169">
        <v>507568.0</v>
      </c>
      <c r="V3" s="170">
        <f t="shared" si="5"/>
        <v>-507387</v>
      </c>
      <c r="W3" s="170">
        <f t="shared" si="6"/>
        <v>507568</v>
      </c>
      <c r="X3" s="42"/>
      <c r="Y3" s="42"/>
      <c r="Z3" s="42"/>
      <c r="AA3" s="42"/>
      <c r="AB3" s="42"/>
    </row>
    <row r="4" ht="14.25" customHeight="1">
      <c r="A4" s="160">
        <v>3.0</v>
      </c>
      <c r="B4" s="160" t="s">
        <v>25</v>
      </c>
      <c r="C4" s="161" t="s">
        <v>28</v>
      </c>
      <c r="D4" s="164">
        <v>7.0</v>
      </c>
      <c r="E4" s="164">
        <v>7.0</v>
      </c>
      <c r="F4" s="161"/>
      <c r="G4" s="164">
        <v>30.0</v>
      </c>
      <c r="H4" s="161"/>
      <c r="I4" s="161">
        <f t="shared" si="1"/>
        <v>64</v>
      </c>
      <c r="J4" s="165"/>
      <c r="K4" s="166">
        <v>94.0</v>
      </c>
      <c r="L4" s="161">
        <f t="shared" si="2"/>
        <v>0</v>
      </c>
      <c r="M4" s="161">
        <f t="shared" si="3"/>
        <v>94</v>
      </c>
      <c r="N4" s="167"/>
      <c r="O4" s="161">
        <v>16.904</v>
      </c>
      <c r="P4" s="161">
        <v>12.699</v>
      </c>
      <c r="Q4" s="161">
        <f t="shared" si="4"/>
        <v>207.221</v>
      </c>
      <c r="R4" s="168">
        <v>513235.0</v>
      </c>
      <c r="S4" s="223"/>
      <c r="T4" s="223"/>
      <c r="U4" s="169">
        <v>513445.0</v>
      </c>
      <c r="V4" s="170">
        <f t="shared" si="5"/>
        <v>-513235</v>
      </c>
      <c r="W4" s="170">
        <f t="shared" si="6"/>
        <v>513445</v>
      </c>
      <c r="X4" s="42"/>
      <c r="Y4" s="42"/>
      <c r="Z4" s="42"/>
      <c r="AA4" s="42"/>
      <c r="AB4" s="42"/>
    </row>
    <row r="5" ht="14.25" customHeight="1">
      <c r="A5" s="160">
        <v>4.0</v>
      </c>
      <c r="B5" s="160" t="s">
        <v>25</v>
      </c>
      <c r="C5" s="161" t="s">
        <v>29</v>
      </c>
      <c r="D5" s="164">
        <v>7.0</v>
      </c>
      <c r="E5" s="164">
        <v>7.0</v>
      </c>
      <c r="F5" s="161"/>
      <c r="G5" s="164">
        <v>51.0</v>
      </c>
      <c r="H5" s="161"/>
      <c r="I5" s="161">
        <f t="shared" si="1"/>
        <v>90</v>
      </c>
      <c r="J5" s="165"/>
      <c r="K5" s="166">
        <v>141.0</v>
      </c>
      <c r="L5" s="161">
        <f t="shared" si="2"/>
        <v>0</v>
      </c>
      <c r="M5" s="161">
        <f t="shared" si="3"/>
        <v>141</v>
      </c>
      <c r="N5" s="167"/>
      <c r="O5" s="161">
        <v>16.904</v>
      </c>
      <c r="P5" s="161">
        <v>12.699</v>
      </c>
      <c r="Q5" s="161">
        <f t="shared" si="4"/>
        <v>207.221</v>
      </c>
      <c r="R5" s="168">
        <v>202601.0</v>
      </c>
      <c r="S5" s="223"/>
      <c r="T5" s="223"/>
      <c r="U5" s="169">
        <v>202811.0</v>
      </c>
      <c r="V5" s="170">
        <f t="shared" si="5"/>
        <v>-202601</v>
      </c>
      <c r="W5" s="170">
        <f t="shared" si="6"/>
        <v>202811</v>
      </c>
      <c r="X5" s="42"/>
      <c r="Y5" s="42"/>
      <c r="Z5" s="42"/>
      <c r="AA5" s="42"/>
      <c r="AB5" s="42"/>
    </row>
    <row r="6" ht="14.25" customHeight="1">
      <c r="A6" s="160">
        <v>5.0</v>
      </c>
      <c r="B6" s="160" t="s">
        <v>25</v>
      </c>
      <c r="C6" s="161" t="s">
        <v>30</v>
      </c>
      <c r="D6" s="164">
        <v>7.0</v>
      </c>
      <c r="E6" s="164">
        <v>7.0</v>
      </c>
      <c r="F6" s="161"/>
      <c r="G6" s="164">
        <v>45.0</v>
      </c>
      <c r="H6" s="161"/>
      <c r="I6" s="161">
        <f t="shared" si="1"/>
        <v>95</v>
      </c>
      <c r="J6" s="165"/>
      <c r="K6" s="166">
        <v>140.0</v>
      </c>
      <c r="L6" s="161">
        <f t="shared" si="2"/>
        <v>0</v>
      </c>
      <c r="M6" s="161">
        <f t="shared" si="3"/>
        <v>140</v>
      </c>
      <c r="N6" s="167"/>
      <c r="O6" s="161">
        <v>16.904</v>
      </c>
      <c r="P6" s="161">
        <v>12.699</v>
      </c>
      <c r="Q6" s="161">
        <f t="shared" si="4"/>
        <v>207.221</v>
      </c>
      <c r="R6" s="168">
        <v>485177.0</v>
      </c>
      <c r="S6" s="223"/>
      <c r="T6" s="223"/>
      <c r="U6" s="169">
        <v>485387.0</v>
      </c>
      <c r="V6" s="170">
        <f t="shared" si="5"/>
        <v>-485177</v>
      </c>
      <c r="W6" s="170">
        <f t="shared" si="6"/>
        <v>485387</v>
      </c>
      <c r="X6" s="42"/>
      <c r="Y6" s="42"/>
      <c r="Z6" s="42"/>
      <c r="AA6" s="42"/>
      <c r="AB6" s="42"/>
    </row>
    <row r="7" ht="14.25" customHeight="1">
      <c r="A7" s="160">
        <v>6.0</v>
      </c>
      <c r="B7" s="160" t="s">
        <v>25</v>
      </c>
      <c r="C7" s="161" t="s">
        <v>31</v>
      </c>
      <c r="D7" s="164">
        <v>7.0</v>
      </c>
      <c r="E7" s="164">
        <v>7.0</v>
      </c>
      <c r="F7" s="161"/>
      <c r="G7" s="164">
        <v>42.0</v>
      </c>
      <c r="H7" s="161"/>
      <c r="I7" s="161">
        <f t="shared" si="1"/>
        <v>109</v>
      </c>
      <c r="J7" s="165"/>
      <c r="K7" s="166">
        <v>151.0</v>
      </c>
      <c r="L7" s="161">
        <f t="shared" si="2"/>
        <v>0</v>
      </c>
      <c r="M7" s="161">
        <f t="shared" si="3"/>
        <v>151</v>
      </c>
      <c r="N7" s="167"/>
      <c r="O7" s="161">
        <v>16.904</v>
      </c>
      <c r="P7" s="161">
        <v>12.699</v>
      </c>
      <c r="Q7" s="161">
        <f t="shared" si="4"/>
        <v>207.221</v>
      </c>
      <c r="R7" s="168">
        <v>181926.0</v>
      </c>
      <c r="S7" s="223"/>
      <c r="T7" s="223"/>
      <c r="U7" s="169">
        <v>182237.0</v>
      </c>
      <c r="V7" s="170">
        <f t="shared" si="5"/>
        <v>-181926</v>
      </c>
      <c r="W7" s="170">
        <f t="shared" si="6"/>
        <v>182237</v>
      </c>
      <c r="X7" s="42"/>
      <c r="Y7" s="42"/>
      <c r="Z7" s="42"/>
      <c r="AA7" s="42"/>
      <c r="AB7" s="42"/>
    </row>
    <row r="8" ht="14.25" customHeight="1">
      <c r="A8" s="160">
        <v>7.0</v>
      </c>
      <c r="B8" s="160" t="s">
        <v>25</v>
      </c>
      <c r="C8" s="161" t="s">
        <v>32</v>
      </c>
      <c r="D8" s="164">
        <v>7.0</v>
      </c>
      <c r="E8" s="164">
        <v>7.0</v>
      </c>
      <c r="F8" s="161"/>
      <c r="G8" s="164">
        <v>29.0</v>
      </c>
      <c r="H8" s="161"/>
      <c r="I8" s="161">
        <f t="shared" si="1"/>
        <v>120</v>
      </c>
      <c r="J8" s="165"/>
      <c r="K8" s="166">
        <v>149.0</v>
      </c>
      <c r="L8" s="161">
        <f t="shared" si="2"/>
        <v>0</v>
      </c>
      <c r="M8" s="161">
        <f t="shared" si="3"/>
        <v>149</v>
      </c>
      <c r="N8" s="167"/>
      <c r="O8" s="161">
        <v>16.904</v>
      </c>
      <c r="P8" s="161">
        <v>12.699</v>
      </c>
      <c r="Q8" s="161">
        <f t="shared" si="4"/>
        <v>207.221</v>
      </c>
      <c r="R8" s="168">
        <v>199873.0</v>
      </c>
      <c r="S8" s="223"/>
      <c r="T8" s="223"/>
      <c r="U8" s="169">
        <v>200092.0</v>
      </c>
      <c r="V8" s="170">
        <f t="shared" si="5"/>
        <v>-199873</v>
      </c>
      <c r="W8" s="170">
        <f t="shared" si="6"/>
        <v>200092</v>
      </c>
      <c r="X8" s="42"/>
      <c r="Y8" s="42"/>
      <c r="Z8" s="42"/>
      <c r="AA8" s="42"/>
      <c r="AB8" s="42"/>
    </row>
    <row r="9" ht="14.25" customHeight="1">
      <c r="A9" s="160">
        <v>8.0</v>
      </c>
      <c r="B9" s="160" t="s">
        <v>25</v>
      </c>
      <c r="C9" s="161" t="s">
        <v>33</v>
      </c>
      <c r="D9" s="164">
        <v>7.0</v>
      </c>
      <c r="E9" s="164">
        <v>7.0</v>
      </c>
      <c r="F9" s="161"/>
      <c r="G9" s="164">
        <v>50.0</v>
      </c>
      <c r="H9" s="161"/>
      <c r="I9" s="161">
        <f t="shared" si="1"/>
        <v>115</v>
      </c>
      <c r="J9" s="165"/>
      <c r="K9" s="166">
        <v>165.0</v>
      </c>
      <c r="L9" s="161">
        <f t="shared" si="2"/>
        <v>0</v>
      </c>
      <c r="M9" s="161">
        <f t="shared" si="3"/>
        <v>165</v>
      </c>
      <c r="N9" s="167"/>
      <c r="O9" s="161">
        <v>16.904</v>
      </c>
      <c r="P9" s="161">
        <v>12.699</v>
      </c>
      <c r="Q9" s="161">
        <f t="shared" si="4"/>
        <v>207.221</v>
      </c>
      <c r="R9" s="168">
        <v>195935.0</v>
      </c>
      <c r="S9" s="223"/>
      <c r="T9" s="223"/>
      <c r="U9" s="169">
        <v>196160.0</v>
      </c>
      <c r="V9" s="170">
        <f t="shared" si="5"/>
        <v>-195935</v>
      </c>
      <c r="W9" s="170">
        <f t="shared" si="6"/>
        <v>196160</v>
      </c>
      <c r="X9" s="42"/>
      <c r="Y9" s="42"/>
      <c r="Z9" s="42"/>
      <c r="AA9" s="42"/>
      <c r="AB9" s="42"/>
    </row>
    <row r="10" ht="14.25" customHeight="1">
      <c r="A10" s="160">
        <v>9.0</v>
      </c>
      <c r="B10" s="160" t="s">
        <v>25</v>
      </c>
      <c r="C10" s="161" t="s">
        <v>34</v>
      </c>
      <c r="D10" s="164">
        <v>6.0</v>
      </c>
      <c r="E10" s="164">
        <v>6.0</v>
      </c>
      <c r="F10" s="161"/>
      <c r="G10" s="164">
        <v>62.0</v>
      </c>
      <c r="H10" s="161"/>
      <c r="I10" s="161">
        <f t="shared" si="1"/>
        <v>101</v>
      </c>
      <c r="J10" s="165"/>
      <c r="K10" s="166">
        <v>163.0</v>
      </c>
      <c r="L10" s="161">
        <f t="shared" si="2"/>
        <v>0</v>
      </c>
      <c r="M10" s="161">
        <f t="shared" si="3"/>
        <v>163</v>
      </c>
      <c r="N10" s="167"/>
      <c r="O10" s="161">
        <v>16.904</v>
      </c>
      <c r="P10" s="161">
        <v>12.699</v>
      </c>
      <c r="Q10" s="161">
        <f t="shared" si="4"/>
        <v>177.618</v>
      </c>
      <c r="R10" s="168">
        <v>538368.0</v>
      </c>
      <c r="S10" s="223"/>
      <c r="T10" s="223"/>
      <c r="U10" s="169">
        <v>538548.0</v>
      </c>
      <c r="V10" s="170">
        <f t="shared" si="5"/>
        <v>-538368</v>
      </c>
      <c r="W10" s="170">
        <f t="shared" si="6"/>
        <v>538548</v>
      </c>
      <c r="X10" s="42"/>
      <c r="Y10" s="42"/>
      <c r="Z10" s="42"/>
      <c r="AA10" s="42"/>
      <c r="AB10" s="42"/>
    </row>
    <row r="11" ht="14.25" customHeight="1">
      <c r="A11" s="160">
        <v>10.0</v>
      </c>
      <c r="B11" s="160" t="s">
        <v>25</v>
      </c>
      <c r="C11" s="161" t="s">
        <v>35</v>
      </c>
      <c r="D11" s="164">
        <v>7.0</v>
      </c>
      <c r="E11" s="164">
        <v>7.0</v>
      </c>
      <c r="F11" s="161"/>
      <c r="G11" s="164">
        <v>48.0</v>
      </c>
      <c r="H11" s="161"/>
      <c r="I11" s="161">
        <f t="shared" si="1"/>
        <v>92</v>
      </c>
      <c r="J11" s="165"/>
      <c r="K11" s="166">
        <v>140.0</v>
      </c>
      <c r="L11" s="161">
        <f t="shared" si="2"/>
        <v>0</v>
      </c>
      <c r="M11" s="161">
        <f t="shared" si="3"/>
        <v>140</v>
      </c>
      <c r="N11" s="167"/>
      <c r="O11" s="161">
        <v>16.904</v>
      </c>
      <c r="P11" s="161">
        <v>12.699</v>
      </c>
      <c r="Q11" s="161">
        <f t="shared" si="4"/>
        <v>207.221</v>
      </c>
      <c r="R11" s="168">
        <v>196436.0</v>
      </c>
      <c r="S11" s="223"/>
      <c r="T11" s="223"/>
      <c r="U11" s="169">
        <v>196646.0</v>
      </c>
      <c r="V11" s="170">
        <f t="shared" si="5"/>
        <v>-196436</v>
      </c>
      <c r="W11" s="170">
        <f t="shared" si="6"/>
        <v>196646</v>
      </c>
      <c r="X11" s="42"/>
      <c r="Y11" s="42"/>
      <c r="Z11" s="42"/>
      <c r="AA11" s="42"/>
      <c r="AB11" s="42"/>
    </row>
    <row r="12" ht="14.25" customHeight="1">
      <c r="A12" s="160">
        <v>11.0</v>
      </c>
      <c r="B12" s="160" t="s">
        <v>25</v>
      </c>
      <c r="C12" s="161" t="s">
        <v>36</v>
      </c>
      <c r="D12" s="164">
        <v>7.0</v>
      </c>
      <c r="E12" s="164">
        <v>7.0</v>
      </c>
      <c r="F12" s="161"/>
      <c r="G12" s="164">
        <v>57.0</v>
      </c>
      <c r="H12" s="161"/>
      <c r="I12" s="161">
        <f t="shared" si="1"/>
        <v>73</v>
      </c>
      <c r="J12" s="165"/>
      <c r="K12" s="166">
        <v>130.0</v>
      </c>
      <c r="L12" s="161">
        <f t="shared" si="2"/>
        <v>0</v>
      </c>
      <c r="M12" s="161">
        <f t="shared" si="3"/>
        <v>130</v>
      </c>
      <c r="N12" s="167"/>
      <c r="O12" s="161">
        <v>16.904</v>
      </c>
      <c r="P12" s="161">
        <v>12.699</v>
      </c>
      <c r="Q12" s="161">
        <f t="shared" si="4"/>
        <v>207.221</v>
      </c>
      <c r="R12" s="168">
        <v>587274.0</v>
      </c>
      <c r="S12" s="223"/>
      <c r="T12" s="223"/>
      <c r="U12" s="169">
        <v>587488.0</v>
      </c>
      <c r="V12" s="170">
        <f t="shared" si="5"/>
        <v>-587274</v>
      </c>
      <c r="W12" s="170">
        <f t="shared" si="6"/>
        <v>587488</v>
      </c>
      <c r="X12" s="42"/>
      <c r="Y12" s="42"/>
      <c r="Z12" s="42"/>
      <c r="AA12" s="42"/>
      <c r="AB12" s="42"/>
    </row>
    <row r="13" ht="14.25" customHeight="1">
      <c r="A13" s="160">
        <v>12.0</v>
      </c>
      <c r="B13" s="160" t="s">
        <v>25</v>
      </c>
      <c r="C13" s="161" t="s">
        <v>37</v>
      </c>
      <c r="D13" s="164">
        <v>7.0</v>
      </c>
      <c r="E13" s="164">
        <v>7.0</v>
      </c>
      <c r="F13" s="161"/>
      <c r="G13" s="164">
        <v>36.0</v>
      </c>
      <c r="H13" s="161"/>
      <c r="I13" s="161">
        <f t="shared" si="1"/>
        <v>100</v>
      </c>
      <c r="J13" s="165"/>
      <c r="K13" s="166">
        <v>136.0</v>
      </c>
      <c r="L13" s="161">
        <f t="shared" si="2"/>
        <v>0</v>
      </c>
      <c r="M13" s="161">
        <f t="shared" si="3"/>
        <v>136</v>
      </c>
      <c r="N13" s="167"/>
      <c r="O13" s="161">
        <v>16.904</v>
      </c>
      <c r="P13" s="161">
        <v>12.699</v>
      </c>
      <c r="Q13" s="161">
        <f t="shared" si="4"/>
        <v>207.221</v>
      </c>
      <c r="R13" s="168">
        <v>584145.0</v>
      </c>
      <c r="S13" s="223"/>
      <c r="T13" s="223"/>
      <c r="U13" s="169">
        <v>584366.0</v>
      </c>
      <c r="V13" s="170">
        <f t="shared" si="5"/>
        <v>-584145</v>
      </c>
      <c r="W13" s="170">
        <f t="shared" si="6"/>
        <v>584366</v>
      </c>
      <c r="X13" s="42"/>
      <c r="Y13" s="42"/>
      <c r="Z13" s="42"/>
      <c r="AA13" s="42"/>
      <c r="AB13" s="42"/>
    </row>
    <row r="14" ht="14.25" customHeight="1">
      <c r="A14" s="160">
        <v>13.0</v>
      </c>
      <c r="B14" s="160" t="s">
        <v>25</v>
      </c>
      <c r="C14" s="161" t="s">
        <v>38</v>
      </c>
      <c r="D14" s="164">
        <v>7.0</v>
      </c>
      <c r="E14" s="164">
        <v>7.0</v>
      </c>
      <c r="F14" s="161"/>
      <c r="G14" s="164">
        <v>49.0</v>
      </c>
      <c r="H14" s="161"/>
      <c r="I14" s="161">
        <f t="shared" si="1"/>
        <v>45</v>
      </c>
      <c r="J14" s="165"/>
      <c r="K14" s="166">
        <v>94.0</v>
      </c>
      <c r="L14" s="161">
        <f t="shared" si="2"/>
        <v>0</v>
      </c>
      <c r="M14" s="161">
        <f t="shared" si="3"/>
        <v>94</v>
      </c>
      <c r="N14" s="167"/>
      <c r="O14" s="161">
        <v>16.904</v>
      </c>
      <c r="P14" s="161">
        <v>12.699</v>
      </c>
      <c r="Q14" s="161">
        <f t="shared" si="4"/>
        <v>207.221</v>
      </c>
      <c r="R14" s="168">
        <v>199711.0</v>
      </c>
      <c r="S14" s="223"/>
      <c r="T14" s="223"/>
      <c r="U14" s="169">
        <v>199922.0</v>
      </c>
      <c r="V14" s="170">
        <f t="shared" si="5"/>
        <v>-199711</v>
      </c>
      <c r="W14" s="170">
        <f t="shared" si="6"/>
        <v>199922</v>
      </c>
      <c r="X14" s="42"/>
      <c r="Y14" s="42"/>
      <c r="Z14" s="42"/>
      <c r="AA14" s="42"/>
      <c r="AB14" s="42"/>
    </row>
    <row r="15" ht="14.25" customHeight="1">
      <c r="A15" s="160">
        <v>14.0</v>
      </c>
      <c r="B15" s="160" t="s">
        <v>25</v>
      </c>
      <c r="C15" s="161" t="s">
        <v>39</v>
      </c>
      <c r="D15" s="164">
        <v>7.0</v>
      </c>
      <c r="E15" s="164">
        <v>7.0</v>
      </c>
      <c r="F15" s="161"/>
      <c r="G15" s="164">
        <v>44.0</v>
      </c>
      <c r="H15" s="161"/>
      <c r="I15" s="161">
        <f t="shared" si="1"/>
        <v>46</v>
      </c>
      <c r="J15" s="165"/>
      <c r="K15" s="166">
        <v>90.0</v>
      </c>
      <c r="L15" s="161">
        <f t="shared" si="2"/>
        <v>0</v>
      </c>
      <c r="M15" s="164">
        <v>90.0</v>
      </c>
      <c r="N15" s="167"/>
      <c r="O15" s="161">
        <v>16.904</v>
      </c>
      <c r="P15" s="161">
        <v>12.699</v>
      </c>
      <c r="Q15" s="161">
        <f t="shared" si="4"/>
        <v>207.221</v>
      </c>
      <c r="R15" s="168">
        <v>240957.0</v>
      </c>
      <c r="S15" s="223"/>
      <c r="T15" s="223"/>
      <c r="U15" s="169">
        <v>541164.0</v>
      </c>
      <c r="V15" s="170">
        <f t="shared" si="5"/>
        <v>-240957</v>
      </c>
      <c r="W15" s="170">
        <f t="shared" si="6"/>
        <v>541164</v>
      </c>
      <c r="X15" s="42"/>
      <c r="Y15" s="42"/>
      <c r="Z15" s="42"/>
      <c r="AA15" s="42"/>
      <c r="AB15" s="42"/>
    </row>
    <row r="16" ht="14.25" customHeight="1">
      <c r="A16" s="160">
        <v>15.0</v>
      </c>
      <c r="B16" s="160" t="s">
        <v>25</v>
      </c>
      <c r="C16" s="161" t="s">
        <v>40</v>
      </c>
      <c r="D16" s="164">
        <v>7.0</v>
      </c>
      <c r="E16" s="164">
        <v>7.0</v>
      </c>
      <c r="F16" s="161"/>
      <c r="G16" s="164">
        <v>59.0</v>
      </c>
      <c r="H16" s="161"/>
      <c r="I16" s="161">
        <f t="shared" si="1"/>
        <v>62</v>
      </c>
      <c r="J16" s="165"/>
      <c r="K16" s="166">
        <v>121.0</v>
      </c>
      <c r="L16" s="161">
        <f t="shared" si="2"/>
        <v>0</v>
      </c>
      <c r="M16" s="161">
        <f t="shared" ref="M16:M61" si="7">G16+H16+I16+J16</f>
        <v>121</v>
      </c>
      <c r="N16" s="167"/>
      <c r="O16" s="161">
        <v>16.904</v>
      </c>
      <c r="P16" s="161">
        <v>12.699</v>
      </c>
      <c r="Q16" s="161">
        <f t="shared" si="4"/>
        <v>207.221</v>
      </c>
      <c r="R16" s="168">
        <v>552767.0</v>
      </c>
      <c r="S16" s="223"/>
      <c r="T16" s="223"/>
      <c r="U16" s="169">
        <v>552982.0</v>
      </c>
      <c r="V16" s="170">
        <f t="shared" si="5"/>
        <v>-552767</v>
      </c>
      <c r="W16" s="170">
        <f t="shared" si="6"/>
        <v>552982</v>
      </c>
      <c r="X16" s="42"/>
      <c r="Y16" s="42"/>
      <c r="Z16" s="42"/>
      <c r="AA16" s="42"/>
      <c r="AB16" s="42"/>
    </row>
    <row r="17" ht="14.25" customHeight="1">
      <c r="A17" s="160">
        <v>16.0</v>
      </c>
      <c r="B17" s="160" t="s">
        <v>25</v>
      </c>
      <c r="C17" s="161" t="s">
        <v>41</v>
      </c>
      <c r="D17" s="164">
        <v>7.0</v>
      </c>
      <c r="E17" s="164">
        <v>7.0</v>
      </c>
      <c r="F17" s="161"/>
      <c r="G17" s="164">
        <v>65.0</v>
      </c>
      <c r="H17" s="161"/>
      <c r="I17" s="161">
        <f t="shared" si="1"/>
        <v>92</v>
      </c>
      <c r="J17" s="165"/>
      <c r="K17" s="166">
        <v>157.0</v>
      </c>
      <c r="L17" s="161">
        <f t="shared" si="2"/>
        <v>0</v>
      </c>
      <c r="M17" s="161">
        <f t="shared" si="7"/>
        <v>157</v>
      </c>
      <c r="N17" s="167"/>
      <c r="O17" s="161">
        <v>16.904</v>
      </c>
      <c r="P17" s="161">
        <v>12.699</v>
      </c>
      <c r="Q17" s="161">
        <f t="shared" si="4"/>
        <v>207.221</v>
      </c>
      <c r="R17" s="168">
        <v>177211.0</v>
      </c>
      <c r="S17" s="223"/>
      <c r="T17" s="223"/>
      <c r="U17" s="169">
        <v>177427.0</v>
      </c>
      <c r="V17" s="170">
        <f t="shared" si="5"/>
        <v>-177211</v>
      </c>
      <c r="W17" s="170">
        <f t="shared" si="6"/>
        <v>177427</v>
      </c>
      <c r="X17" s="42"/>
      <c r="Y17" s="42"/>
      <c r="Z17" s="42"/>
      <c r="AA17" s="42"/>
      <c r="AB17" s="42"/>
    </row>
    <row r="18" ht="14.25" customHeight="1">
      <c r="A18" s="160">
        <v>17.0</v>
      </c>
      <c r="B18" s="160" t="s">
        <v>25</v>
      </c>
      <c r="C18" s="161" t="s">
        <v>42</v>
      </c>
      <c r="D18" s="164">
        <v>7.0</v>
      </c>
      <c r="E18" s="164">
        <v>7.0</v>
      </c>
      <c r="F18" s="161"/>
      <c r="G18" s="164">
        <v>71.0</v>
      </c>
      <c r="H18" s="161"/>
      <c r="I18" s="161">
        <f t="shared" si="1"/>
        <v>136</v>
      </c>
      <c r="J18" s="165"/>
      <c r="K18" s="166">
        <v>207.0</v>
      </c>
      <c r="L18" s="161">
        <f t="shared" si="2"/>
        <v>0</v>
      </c>
      <c r="M18" s="161">
        <f t="shared" si="7"/>
        <v>207</v>
      </c>
      <c r="N18" s="167"/>
      <c r="O18" s="161">
        <v>16.904</v>
      </c>
      <c r="P18" s="161">
        <v>12.699</v>
      </c>
      <c r="Q18" s="161">
        <f t="shared" si="4"/>
        <v>207.221</v>
      </c>
      <c r="R18" s="168">
        <v>173028.0</v>
      </c>
      <c r="S18" s="223"/>
      <c r="T18" s="223"/>
      <c r="U18" s="169">
        <v>173241.0</v>
      </c>
      <c r="V18" s="170">
        <f t="shared" si="5"/>
        <v>-173028</v>
      </c>
      <c r="W18" s="170">
        <f t="shared" si="6"/>
        <v>173241</v>
      </c>
      <c r="X18" s="42"/>
      <c r="Y18" s="42"/>
      <c r="Z18" s="42"/>
      <c r="AA18" s="42"/>
      <c r="AB18" s="42"/>
    </row>
    <row r="19" ht="14.25" customHeight="1">
      <c r="A19" s="160">
        <v>18.0</v>
      </c>
      <c r="B19" s="160" t="s">
        <v>25</v>
      </c>
      <c r="C19" s="161" t="s">
        <v>43</v>
      </c>
      <c r="D19" s="171">
        <v>6.0</v>
      </c>
      <c r="E19" s="163">
        <v>6.0</v>
      </c>
      <c r="F19" s="161"/>
      <c r="G19" s="164">
        <v>50.0</v>
      </c>
      <c r="H19" s="161"/>
      <c r="I19" s="161">
        <f t="shared" si="1"/>
        <v>72</v>
      </c>
      <c r="J19" s="165"/>
      <c r="K19" s="166">
        <v>122.0</v>
      </c>
      <c r="L19" s="161">
        <f t="shared" si="2"/>
        <v>0</v>
      </c>
      <c r="M19" s="161">
        <f t="shared" si="7"/>
        <v>122</v>
      </c>
      <c r="N19" s="167"/>
      <c r="O19" s="161">
        <v>16.904</v>
      </c>
      <c r="P19" s="161">
        <v>12.699</v>
      </c>
      <c r="Q19" s="161">
        <f t="shared" si="4"/>
        <v>177.618</v>
      </c>
      <c r="R19" s="168">
        <v>200753.0</v>
      </c>
      <c r="S19" s="223"/>
      <c r="T19" s="223"/>
      <c r="U19" s="169">
        <v>200933.0</v>
      </c>
      <c r="V19" s="170">
        <f t="shared" si="5"/>
        <v>-200753</v>
      </c>
      <c r="W19" s="170">
        <f t="shared" si="6"/>
        <v>200933</v>
      </c>
      <c r="X19" s="42"/>
      <c r="Y19" s="42"/>
      <c r="Z19" s="42"/>
      <c r="AA19" s="42"/>
      <c r="AB19" s="42"/>
    </row>
    <row r="20" ht="14.25" customHeight="1">
      <c r="A20" s="160">
        <v>19.0</v>
      </c>
      <c r="B20" s="160" t="s">
        <v>25</v>
      </c>
      <c r="C20" s="161" t="s">
        <v>44</v>
      </c>
      <c r="D20" s="164">
        <v>7.0</v>
      </c>
      <c r="E20" s="164">
        <v>7.0</v>
      </c>
      <c r="F20" s="161"/>
      <c r="G20" s="164">
        <v>52.0</v>
      </c>
      <c r="H20" s="161"/>
      <c r="I20" s="161">
        <f t="shared" si="1"/>
        <v>106</v>
      </c>
      <c r="J20" s="165"/>
      <c r="K20" s="166">
        <v>158.0</v>
      </c>
      <c r="L20" s="161">
        <f t="shared" si="2"/>
        <v>0</v>
      </c>
      <c r="M20" s="161">
        <f t="shared" si="7"/>
        <v>158</v>
      </c>
      <c r="N20" s="167"/>
      <c r="O20" s="161">
        <v>16.904</v>
      </c>
      <c r="P20" s="161">
        <v>12.699</v>
      </c>
      <c r="Q20" s="161">
        <f t="shared" si="4"/>
        <v>207.221</v>
      </c>
      <c r="R20" s="168">
        <v>200081.0</v>
      </c>
      <c r="S20" s="223"/>
      <c r="T20" s="223"/>
      <c r="U20" s="169">
        <v>200294.0</v>
      </c>
      <c r="V20" s="170">
        <f t="shared" si="5"/>
        <v>-200081</v>
      </c>
      <c r="W20" s="170">
        <f t="shared" si="6"/>
        <v>200294</v>
      </c>
      <c r="X20" s="42"/>
      <c r="Y20" s="42"/>
      <c r="Z20" s="42"/>
      <c r="AA20" s="42"/>
      <c r="AB20" s="42"/>
    </row>
    <row r="21" ht="14.25" customHeight="1">
      <c r="A21" s="160">
        <v>20.0</v>
      </c>
      <c r="B21" s="160" t="s">
        <v>25</v>
      </c>
      <c r="C21" s="161" t="s">
        <v>45</v>
      </c>
      <c r="D21" s="164">
        <v>7.0</v>
      </c>
      <c r="E21" s="164">
        <v>7.0</v>
      </c>
      <c r="F21" s="161"/>
      <c r="G21" s="164">
        <v>41.0</v>
      </c>
      <c r="H21" s="161"/>
      <c r="I21" s="161">
        <f t="shared" si="1"/>
        <v>108</v>
      </c>
      <c r="J21" s="165"/>
      <c r="K21" s="166">
        <v>149.0</v>
      </c>
      <c r="L21" s="161">
        <f t="shared" si="2"/>
        <v>0</v>
      </c>
      <c r="M21" s="161">
        <f t="shared" si="7"/>
        <v>149</v>
      </c>
      <c r="N21" s="167"/>
      <c r="O21" s="161">
        <v>16.904</v>
      </c>
      <c r="P21" s="161">
        <v>12.699</v>
      </c>
      <c r="Q21" s="161">
        <f t="shared" si="4"/>
        <v>207.221</v>
      </c>
      <c r="R21" s="168">
        <v>176209.0</v>
      </c>
      <c r="S21" s="223"/>
      <c r="T21" s="223"/>
      <c r="U21" s="169">
        <v>176425.0</v>
      </c>
      <c r="V21" s="170">
        <f t="shared" si="5"/>
        <v>-176209</v>
      </c>
      <c r="W21" s="170">
        <f t="shared" si="6"/>
        <v>176425</v>
      </c>
      <c r="X21" s="42"/>
      <c r="Y21" s="42"/>
      <c r="Z21" s="42"/>
      <c r="AA21" s="42"/>
      <c r="AB21" s="42"/>
    </row>
    <row r="22" ht="14.25" customHeight="1">
      <c r="A22" s="160">
        <v>21.0</v>
      </c>
      <c r="B22" s="160" t="s">
        <v>25</v>
      </c>
      <c r="C22" s="161" t="s">
        <v>46</v>
      </c>
      <c r="D22" s="164">
        <v>7.0</v>
      </c>
      <c r="E22" s="164">
        <v>7.0</v>
      </c>
      <c r="F22" s="161"/>
      <c r="G22" s="164">
        <v>46.0</v>
      </c>
      <c r="H22" s="161"/>
      <c r="I22" s="161">
        <f t="shared" si="1"/>
        <v>103</v>
      </c>
      <c r="J22" s="165"/>
      <c r="K22" s="166">
        <v>149.0</v>
      </c>
      <c r="L22" s="161">
        <f t="shared" si="2"/>
        <v>0</v>
      </c>
      <c r="M22" s="161">
        <f t="shared" si="7"/>
        <v>149</v>
      </c>
      <c r="N22" s="167"/>
      <c r="O22" s="161">
        <v>16.904</v>
      </c>
      <c r="P22" s="161">
        <v>12.699</v>
      </c>
      <c r="Q22" s="161">
        <f t="shared" si="4"/>
        <v>207.221</v>
      </c>
      <c r="R22" s="168">
        <v>200610.0</v>
      </c>
      <c r="S22" s="223"/>
      <c r="T22" s="223"/>
      <c r="U22" s="169">
        <v>200831.0</v>
      </c>
      <c r="V22" s="170">
        <f t="shared" si="5"/>
        <v>-200610</v>
      </c>
      <c r="W22" s="170">
        <f t="shared" si="6"/>
        <v>200831</v>
      </c>
      <c r="X22" s="42"/>
      <c r="Y22" s="42"/>
      <c r="Z22" s="42"/>
      <c r="AA22" s="42"/>
      <c r="AB22" s="42"/>
    </row>
    <row r="23" ht="14.25" customHeight="1">
      <c r="A23" s="160">
        <v>22.0</v>
      </c>
      <c r="B23" s="160" t="s">
        <v>25</v>
      </c>
      <c r="C23" s="161" t="s">
        <v>47</v>
      </c>
      <c r="D23" s="164">
        <v>7.0</v>
      </c>
      <c r="E23" s="164">
        <v>7.0</v>
      </c>
      <c r="F23" s="161"/>
      <c r="G23" s="164">
        <v>48.0</v>
      </c>
      <c r="H23" s="161"/>
      <c r="I23" s="161">
        <f t="shared" si="1"/>
        <v>99</v>
      </c>
      <c r="J23" s="165"/>
      <c r="K23" s="166">
        <v>147.0</v>
      </c>
      <c r="L23" s="161">
        <f t="shared" si="2"/>
        <v>0</v>
      </c>
      <c r="M23" s="161">
        <f t="shared" si="7"/>
        <v>147</v>
      </c>
      <c r="N23" s="167"/>
      <c r="O23" s="161">
        <v>16.904</v>
      </c>
      <c r="P23" s="161">
        <v>12.699</v>
      </c>
      <c r="Q23" s="161">
        <f t="shared" si="4"/>
        <v>207.221</v>
      </c>
      <c r="R23" s="168">
        <v>455272.0</v>
      </c>
      <c r="S23" s="223"/>
      <c r="T23" s="223"/>
      <c r="U23" s="169">
        <v>455482.0</v>
      </c>
      <c r="V23" s="170">
        <f t="shared" si="5"/>
        <v>-455272</v>
      </c>
      <c r="W23" s="170">
        <f t="shared" si="6"/>
        <v>455482</v>
      </c>
      <c r="X23" s="42"/>
      <c r="Y23" s="42"/>
      <c r="Z23" s="42"/>
      <c r="AA23" s="42"/>
      <c r="AB23" s="42"/>
    </row>
    <row r="24" ht="14.25" customHeight="1">
      <c r="A24" s="160">
        <v>23.0</v>
      </c>
      <c r="B24" s="160" t="s">
        <v>25</v>
      </c>
      <c r="C24" s="209" t="s">
        <v>48</v>
      </c>
      <c r="D24" s="224">
        <v>3.0</v>
      </c>
      <c r="E24" s="224">
        <v>3.0</v>
      </c>
      <c r="F24" s="209"/>
      <c r="G24" s="224">
        <v>45.0</v>
      </c>
      <c r="H24" s="209"/>
      <c r="I24" s="209">
        <f t="shared" si="1"/>
        <v>0</v>
      </c>
      <c r="J24" s="225"/>
      <c r="K24" s="225"/>
      <c r="L24" s="209">
        <f t="shared" si="2"/>
        <v>0</v>
      </c>
      <c r="M24" s="209">
        <f t="shared" si="7"/>
        <v>45</v>
      </c>
      <c r="N24" s="226" t="s">
        <v>111</v>
      </c>
      <c r="O24" s="209">
        <v>16.904</v>
      </c>
      <c r="P24" s="209">
        <v>12.699</v>
      </c>
      <c r="Q24" s="209">
        <f t="shared" si="4"/>
        <v>88.809</v>
      </c>
      <c r="R24" s="227">
        <v>550996.0</v>
      </c>
      <c r="S24" s="228"/>
      <c r="T24" s="228"/>
      <c r="U24" s="229"/>
      <c r="V24" s="230">
        <f t="shared" si="5"/>
        <v>-550996</v>
      </c>
      <c r="W24" s="230">
        <f t="shared" si="6"/>
        <v>0</v>
      </c>
      <c r="X24" s="42"/>
      <c r="Y24" s="42"/>
      <c r="Z24" s="42"/>
      <c r="AA24" s="42"/>
      <c r="AB24" s="42"/>
    </row>
    <row r="25" ht="14.25" customHeight="1">
      <c r="A25" s="160">
        <v>24.0</v>
      </c>
      <c r="B25" s="160" t="s">
        <v>25</v>
      </c>
      <c r="C25" s="161" t="s">
        <v>49</v>
      </c>
      <c r="D25" s="164">
        <v>7.0</v>
      </c>
      <c r="E25" s="164">
        <v>7.0</v>
      </c>
      <c r="F25" s="161"/>
      <c r="G25" s="164">
        <v>40.0</v>
      </c>
      <c r="H25" s="161"/>
      <c r="I25" s="161">
        <f t="shared" si="1"/>
        <v>143</v>
      </c>
      <c r="J25" s="165"/>
      <c r="K25" s="166">
        <v>183.0</v>
      </c>
      <c r="L25" s="161">
        <f t="shared" si="2"/>
        <v>0</v>
      </c>
      <c r="M25" s="161">
        <f t="shared" si="7"/>
        <v>183</v>
      </c>
      <c r="N25" s="167"/>
      <c r="O25" s="161">
        <v>16.904</v>
      </c>
      <c r="P25" s="161">
        <v>12.699</v>
      </c>
      <c r="Q25" s="161">
        <f t="shared" si="4"/>
        <v>207.221</v>
      </c>
      <c r="R25" s="168">
        <v>376028.0</v>
      </c>
      <c r="S25" s="223"/>
      <c r="T25" s="223"/>
      <c r="U25" s="169">
        <v>376241.0</v>
      </c>
      <c r="V25" s="170">
        <f t="shared" si="5"/>
        <v>-376028</v>
      </c>
      <c r="W25" s="170">
        <f t="shared" si="6"/>
        <v>376241</v>
      </c>
      <c r="X25" s="42"/>
      <c r="Y25" s="42"/>
      <c r="Z25" s="42"/>
      <c r="AA25" s="42"/>
      <c r="AB25" s="42"/>
    </row>
    <row r="26" ht="14.25" customHeight="1">
      <c r="A26" s="160">
        <v>25.0</v>
      </c>
      <c r="B26" s="160" t="s">
        <v>25</v>
      </c>
      <c r="C26" s="161" t="s">
        <v>50</v>
      </c>
      <c r="D26" s="164">
        <v>7.0</v>
      </c>
      <c r="E26" s="164">
        <v>7.0</v>
      </c>
      <c r="F26" s="161"/>
      <c r="G26" s="164">
        <v>49.0</v>
      </c>
      <c r="H26" s="161"/>
      <c r="I26" s="161">
        <f t="shared" si="1"/>
        <v>89</v>
      </c>
      <c r="J26" s="165"/>
      <c r="K26" s="166">
        <v>138.0</v>
      </c>
      <c r="L26" s="161">
        <f t="shared" si="2"/>
        <v>0</v>
      </c>
      <c r="M26" s="161">
        <f t="shared" si="7"/>
        <v>138</v>
      </c>
      <c r="N26" s="167"/>
      <c r="O26" s="161">
        <v>16.904</v>
      </c>
      <c r="P26" s="161">
        <v>12.699</v>
      </c>
      <c r="Q26" s="161">
        <f t="shared" si="4"/>
        <v>207.221</v>
      </c>
      <c r="R26" s="168">
        <v>194370.0</v>
      </c>
      <c r="S26" s="223"/>
      <c r="T26" s="223"/>
      <c r="U26" s="169">
        <v>194576.0</v>
      </c>
      <c r="V26" s="170">
        <f t="shared" si="5"/>
        <v>-194370</v>
      </c>
      <c r="W26" s="170">
        <f t="shared" si="6"/>
        <v>194576</v>
      </c>
      <c r="X26" s="42"/>
      <c r="Y26" s="42"/>
      <c r="Z26" s="42"/>
      <c r="AA26" s="42"/>
      <c r="AB26" s="42"/>
    </row>
    <row r="27" ht="14.25" customHeight="1">
      <c r="A27" s="160">
        <v>26.0</v>
      </c>
      <c r="B27" s="160" t="s">
        <v>25</v>
      </c>
      <c r="C27" s="161" t="s">
        <v>51</v>
      </c>
      <c r="D27" s="164">
        <v>7.0</v>
      </c>
      <c r="E27" s="164">
        <v>7.0</v>
      </c>
      <c r="F27" s="161"/>
      <c r="G27" s="164">
        <v>48.0</v>
      </c>
      <c r="H27" s="161"/>
      <c r="I27" s="161">
        <f t="shared" si="1"/>
        <v>97</v>
      </c>
      <c r="J27" s="165"/>
      <c r="K27" s="166">
        <v>145.0</v>
      </c>
      <c r="L27" s="161">
        <f t="shared" si="2"/>
        <v>0</v>
      </c>
      <c r="M27" s="161">
        <f t="shared" si="7"/>
        <v>145</v>
      </c>
      <c r="N27" s="167"/>
      <c r="O27" s="161">
        <v>16.904</v>
      </c>
      <c r="P27" s="161">
        <v>12.699</v>
      </c>
      <c r="Q27" s="161">
        <f t="shared" si="4"/>
        <v>207.221</v>
      </c>
      <c r="R27" s="168">
        <v>190522.0</v>
      </c>
      <c r="S27" s="223"/>
      <c r="T27" s="223"/>
      <c r="U27" s="169">
        <v>190737.0</v>
      </c>
      <c r="V27" s="170">
        <f t="shared" si="5"/>
        <v>-190522</v>
      </c>
      <c r="W27" s="170">
        <f t="shared" si="6"/>
        <v>190737</v>
      </c>
      <c r="X27" s="42"/>
      <c r="Y27" s="42"/>
      <c r="Z27" s="42"/>
      <c r="AA27" s="42"/>
      <c r="AB27" s="42"/>
    </row>
    <row r="28" ht="14.25" customHeight="1">
      <c r="A28" s="160">
        <v>27.0</v>
      </c>
      <c r="B28" s="160" t="s">
        <v>25</v>
      </c>
      <c r="C28" s="161" t="s">
        <v>52</v>
      </c>
      <c r="D28" s="164">
        <v>7.0</v>
      </c>
      <c r="E28" s="164">
        <v>7.0</v>
      </c>
      <c r="F28" s="161"/>
      <c r="G28" s="164">
        <v>32.0</v>
      </c>
      <c r="H28" s="161"/>
      <c r="I28" s="161">
        <f t="shared" si="1"/>
        <v>112</v>
      </c>
      <c r="J28" s="165"/>
      <c r="K28" s="166">
        <v>144.0</v>
      </c>
      <c r="L28" s="161">
        <f t="shared" si="2"/>
        <v>0</v>
      </c>
      <c r="M28" s="161">
        <f t="shared" si="7"/>
        <v>144</v>
      </c>
      <c r="N28" s="167"/>
      <c r="O28" s="161">
        <v>16.904</v>
      </c>
      <c r="P28" s="161">
        <v>12.699</v>
      </c>
      <c r="Q28" s="161">
        <f t="shared" si="4"/>
        <v>207.221</v>
      </c>
      <c r="R28" s="168">
        <v>184040.0</v>
      </c>
      <c r="S28" s="223"/>
      <c r="T28" s="223"/>
      <c r="U28" s="169">
        <v>184248.0</v>
      </c>
      <c r="V28" s="170">
        <f t="shared" si="5"/>
        <v>-184040</v>
      </c>
      <c r="W28" s="170">
        <f t="shared" si="6"/>
        <v>184248</v>
      </c>
      <c r="X28" s="42"/>
      <c r="Y28" s="42"/>
      <c r="Z28" s="42"/>
      <c r="AA28" s="42"/>
      <c r="AB28" s="42"/>
    </row>
    <row r="29" ht="14.25" customHeight="1">
      <c r="A29" s="160">
        <v>28.0</v>
      </c>
      <c r="B29" s="160" t="s">
        <v>25</v>
      </c>
      <c r="C29" s="161" t="s">
        <v>53</v>
      </c>
      <c r="D29" s="164">
        <v>7.0</v>
      </c>
      <c r="E29" s="164">
        <v>7.0</v>
      </c>
      <c r="F29" s="161"/>
      <c r="G29" s="164">
        <v>23.0</v>
      </c>
      <c r="H29" s="161"/>
      <c r="I29" s="161">
        <f t="shared" si="1"/>
        <v>125</v>
      </c>
      <c r="J29" s="165"/>
      <c r="K29" s="166">
        <v>148.0</v>
      </c>
      <c r="L29" s="161">
        <f t="shared" si="2"/>
        <v>0</v>
      </c>
      <c r="M29" s="161">
        <f t="shared" si="7"/>
        <v>148</v>
      </c>
      <c r="N29" s="167"/>
      <c r="O29" s="161">
        <v>16.904</v>
      </c>
      <c r="P29" s="161">
        <v>12.699</v>
      </c>
      <c r="Q29" s="161">
        <f t="shared" si="4"/>
        <v>207.221</v>
      </c>
      <c r="R29" s="168">
        <v>181353.0</v>
      </c>
      <c r="S29" s="223"/>
      <c r="T29" s="223"/>
      <c r="U29" s="169">
        <v>181563.0</v>
      </c>
      <c r="V29" s="170">
        <f t="shared" si="5"/>
        <v>-181353</v>
      </c>
      <c r="W29" s="170">
        <f t="shared" si="6"/>
        <v>181563</v>
      </c>
      <c r="X29" s="42"/>
      <c r="Y29" s="42"/>
      <c r="Z29" s="42"/>
      <c r="AA29" s="42"/>
      <c r="AB29" s="42"/>
    </row>
    <row r="30" ht="14.25" customHeight="1">
      <c r="A30" s="160">
        <v>29.0</v>
      </c>
      <c r="B30" s="160" t="s">
        <v>25</v>
      </c>
      <c r="C30" s="161" t="s">
        <v>54</v>
      </c>
      <c r="D30" s="171">
        <v>6.0</v>
      </c>
      <c r="E30" s="163">
        <v>6.0</v>
      </c>
      <c r="F30" s="161"/>
      <c r="G30" s="164">
        <v>46.0</v>
      </c>
      <c r="H30" s="161"/>
      <c r="I30" s="161">
        <f t="shared" si="1"/>
        <v>73</v>
      </c>
      <c r="J30" s="165"/>
      <c r="K30" s="166">
        <v>119.0</v>
      </c>
      <c r="L30" s="161">
        <f t="shared" si="2"/>
        <v>0</v>
      </c>
      <c r="M30" s="161">
        <f t="shared" si="7"/>
        <v>119</v>
      </c>
      <c r="N30" s="167"/>
      <c r="O30" s="161">
        <v>16.904</v>
      </c>
      <c r="P30" s="161">
        <v>12.699</v>
      </c>
      <c r="Q30" s="161">
        <f t="shared" si="4"/>
        <v>177.618</v>
      </c>
      <c r="R30" s="168">
        <v>200623.0</v>
      </c>
      <c r="S30" s="223"/>
      <c r="T30" s="223"/>
      <c r="U30" s="169">
        <v>200807.0</v>
      </c>
      <c r="V30" s="170">
        <f t="shared" si="5"/>
        <v>-200623</v>
      </c>
      <c r="W30" s="170">
        <f t="shared" si="6"/>
        <v>200807</v>
      </c>
      <c r="X30" s="42"/>
      <c r="Y30" s="42"/>
      <c r="Z30" s="42"/>
      <c r="AA30" s="42"/>
      <c r="AB30" s="42"/>
    </row>
    <row r="31" ht="14.25" customHeight="1">
      <c r="A31" s="160">
        <v>30.0</v>
      </c>
      <c r="B31" s="160" t="s">
        <v>25</v>
      </c>
      <c r="C31" s="161" t="s">
        <v>55</v>
      </c>
      <c r="D31" s="164">
        <v>7.0</v>
      </c>
      <c r="E31" s="164">
        <v>7.0</v>
      </c>
      <c r="F31" s="161"/>
      <c r="G31" s="164">
        <v>52.0</v>
      </c>
      <c r="H31" s="161"/>
      <c r="I31" s="161">
        <f t="shared" si="1"/>
        <v>95</v>
      </c>
      <c r="J31" s="165"/>
      <c r="K31" s="166">
        <v>147.0</v>
      </c>
      <c r="L31" s="161">
        <f t="shared" si="2"/>
        <v>0</v>
      </c>
      <c r="M31" s="161">
        <f t="shared" si="7"/>
        <v>147</v>
      </c>
      <c r="N31" s="167"/>
      <c r="O31" s="161">
        <v>16.904</v>
      </c>
      <c r="P31" s="161">
        <v>12.699</v>
      </c>
      <c r="Q31" s="161">
        <f t="shared" si="4"/>
        <v>207.221</v>
      </c>
      <c r="R31" s="168">
        <v>204171.0</v>
      </c>
      <c r="S31" s="223"/>
      <c r="T31" s="223"/>
      <c r="U31" s="169">
        <v>204383.0</v>
      </c>
      <c r="V31" s="170">
        <f t="shared" si="5"/>
        <v>-204171</v>
      </c>
      <c r="W31" s="170">
        <f t="shared" si="6"/>
        <v>204383</v>
      </c>
      <c r="X31" s="42"/>
      <c r="Y31" s="42"/>
      <c r="Z31" s="42"/>
      <c r="AA31" s="42"/>
      <c r="AB31" s="42"/>
    </row>
    <row r="32" ht="14.25" customHeight="1">
      <c r="A32" s="160">
        <v>31.0</v>
      </c>
      <c r="B32" s="160" t="s">
        <v>25</v>
      </c>
      <c r="C32" s="161" t="s">
        <v>56</v>
      </c>
      <c r="D32" s="164">
        <v>7.0</v>
      </c>
      <c r="E32" s="164">
        <v>7.0</v>
      </c>
      <c r="F32" s="161"/>
      <c r="G32" s="164">
        <v>37.0</v>
      </c>
      <c r="H32" s="161"/>
      <c r="I32" s="161">
        <f t="shared" si="1"/>
        <v>97</v>
      </c>
      <c r="J32" s="165"/>
      <c r="K32" s="166">
        <v>134.0</v>
      </c>
      <c r="L32" s="161">
        <f t="shared" si="2"/>
        <v>0</v>
      </c>
      <c r="M32" s="161">
        <f t="shared" si="7"/>
        <v>134</v>
      </c>
      <c r="N32" s="167"/>
      <c r="O32" s="161">
        <v>16.904</v>
      </c>
      <c r="P32" s="161">
        <v>12.699</v>
      </c>
      <c r="Q32" s="161">
        <f t="shared" si="4"/>
        <v>207.221</v>
      </c>
      <c r="R32" s="168">
        <v>184250.0</v>
      </c>
      <c r="S32" s="223"/>
      <c r="T32" s="223"/>
      <c r="U32" s="169">
        <v>184453.0</v>
      </c>
      <c r="V32" s="170">
        <f t="shared" si="5"/>
        <v>-184250</v>
      </c>
      <c r="W32" s="170">
        <f t="shared" si="6"/>
        <v>184453</v>
      </c>
      <c r="X32" s="42"/>
      <c r="Y32" s="42"/>
      <c r="Z32" s="42"/>
      <c r="AA32" s="42"/>
      <c r="AB32" s="42"/>
    </row>
    <row r="33" ht="14.25" customHeight="1">
      <c r="A33" s="160">
        <v>32.0</v>
      </c>
      <c r="B33" s="160" t="s">
        <v>25</v>
      </c>
      <c r="C33" s="161" t="s">
        <v>57</v>
      </c>
      <c r="D33" s="171">
        <v>6.0</v>
      </c>
      <c r="E33" s="163">
        <v>6.0</v>
      </c>
      <c r="F33" s="161"/>
      <c r="G33" s="164">
        <v>43.0</v>
      </c>
      <c r="H33" s="161"/>
      <c r="I33" s="161">
        <f t="shared" si="1"/>
        <v>78</v>
      </c>
      <c r="J33" s="165"/>
      <c r="K33" s="166">
        <v>121.0</v>
      </c>
      <c r="L33" s="161">
        <f t="shared" si="2"/>
        <v>0</v>
      </c>
      <c r="M33" s="161">
        <f t="shared" si="7"/>
        <v>121</v>
      </c>
      <c r="N33" s="167"/>
      <c r="O33" s="161">
        <v>16.904</v>
      </c>
      <c r="P33" s="161">
        <v>12.699</v>
      </c>
      <c r="Q33" s="161">
        <f t="shared" si="4"/>
        <v>177.618</v>
      </c>
      <c r="R33" s="168">
        <v>184180.0</v>
      </c>
      <c r="S33" s="223"/>
      <c r="T33" s="223"/>
      <c r="U33" s="169">
        <v>184357.0</v>
      </c>
      <c r="V33" s="170">
        <f t="shared" si="5"/>
        <v>-184180</v>
      </c>
      <c r="W33" s="170">
        <f t="shared" si="6"/>
        <v>184357</v>
      </c>
      <c r="X33" s="42"/>
      <c r="Y33" s="42"/>
      <c r="Z33" s="42"/>
      <c r="AA33" s="42"/>
      <c r="AB33" s="42"/>
    </row>
    <row r="34" ht="14.25" customHeight="1">
      <c r="A34" s="160">
        <v>33.0</v>
      </c>
      <c r="B34" s="160" t="s">
        <v>25</v>
      </c>
      <c r="C34" s="161" t="s">
        <v>58</v>
      </c>
      <c r="D34" s="164">
        <v>7.0</v>
      </c>
      <c r="E34" s="164">
        <v>7.0</v>
      </c>
      <c r="F34" s="161"/>
      <c r="G34" s="164">
        <v>45.0</v>
      </c>
      <c r="H34" s="161"/>
      <c r="I34" s="161">
        <f t="shared" si="1"/>
        <v>72</v>
      </c>
      <c r="J34" s="165"/>
      <c r="K34" s="166">
        <v>117.0</v>
      </c>
      <c r="L34" s="161">
        <f t="shared" si="2"/>
        <v>0</v>
      </c>
      <c r="M34" s="161">
        <f t="shared" si="7"/>
        <v>117</v>
      </c>
      <c r="N34" s="167"/>
      <c r="O34" s="161">
        <v>16.904</v>
      </c>
      <c r="P34" s="161">
        <v>12.699</v>
      </c>
      <c r="Q34" s="161">
        <f t="shared" si="4"/>
        <v>207.221</v>
      </c>
      <c r="R34" s="168">
        <v>573515.0</v>
      </c>
      <c r="S34" s="223"/>
      <c r="T34" s="223"/>
      <c r="U34" s="169">
        <v>573732.0</v>
      </c>
      <c r="V34" s="170">
        <f t="shared" si="5"/>
        <v>-573515</v>
      </c>
      <c r="W34" s="170">
        <f t="shared" si="6"/>
        <v>573732</v>
      </c>
      <c r="X34" s="42"/>
      <c r="Y34" s="42"/>
      <c r="Z34" s="42"/>
      <c r="AA34" s="42"/>
      <c r="AB34" s="42"/>
    </row>
    <row r="35" ht="14.25" customHeight="1">
      <c r="A35" s="160">
        <v>34.0</v>
      </c>
      <c r="B35" s="160" t="s">
        <v>25</v>
      </c>
      <c r="C35" s="161" t="s">
        <v>59</v>
      </c>
      <c r="D35" s="164">
        <v>7.0</v>
      </c>
      <c r="E35" s="164">
        <v>7.0</v>
      </c>
      <c r="F35" s="161"/>
      <c r="G35" s="164">
        <v>46.0</v>
      </c>
      <c r="H35" s="161"/>
      <c r="I35" s="161">
        <f t="shared" si="1"/>
        <v>113</v>
      </c>
      <c r="J35" s="165"/>
      <c r="K35" s="166">
        <v>159.0</v>
      </c>
      <c r="L35" s="161">
        <f t="shared" si="2"/>
        <v>0</v>
      </c>
      <c r="M35" s="161">
        <f t="shared" si="7"/>
        <v>159</v>
      </c>
      <c r="N35" s="167"/>
      <c r="O35" s="161">
        <v>16.904</v>
      </c>
      <c r="P35" s="161">
        <v>12.699</v>
      </c>
      <c r="Q35" s="161">
        <f t="shared" si="4"/>
        <v>207.221</v>
      </c>
      <c r="R35" s="168">
        <v>189569.0</v>
      </c>
      <c r="S35" s="223"/>
      <c r="T35" s="223"/>
      <c r="U35" s="169">
        <v>189783.0</v>
      </c>
      <c r="V35" s="170">
        <f t="shared" si="5"/>
        <v>-189569</v>
      </c>
      <c r="W35" s="170">
        <f t="shared" si="6"/>
        <v>189783</v>
      </c>
      <c r="X35" s="42"/>
      <c r="Y35" s="42"/>
      <c r="Z35" s="42"/>
      <c r="AA35" s="42"/>
      <c r="AB35" s="42"/>
    </row>
    <row r="36" ht="14.25" customHeight="1">
      <c r="A36" s="160">
        <v>35.0</v>
      </c>
      <c r="B36" s="160" t="s">
        <v>25</v>
      </c>
      <c r="C36" s="193" t="s">
        <v>60</v>
      </c>
      <c r="D36" s="193"/>
      <c r="E36" s="193"/>
      <c r="F36" s="193"/>
      <c r="G36" s="193"/>
      <c r="H36" s="193"/>
      <c r="I36" s="193">
        <f t="shared" si="1"/>
        <v>0</v>
      </c>
      <c r="J36" s="194"/>
      <c r="K36" s="194"/>
      <c r="L36" s="193">
        <f t="shared" si="2"/>
        <v>0</v>
      </c>
      <c r="M36" s="193">
        <f t="shared" si="7"/>
        <v>0</v>
      </c>
      <c r="N36" s="195" t="s">
        <v>112</v>
      </c>
      <c r="O36" s="193">
        <v>16.904</v>
      </c>
      <c r="P36" s="193">
        <v>12.699</v>
      </c>
      <c r="Q36" s="193">
        <f t="shared" si="4"/>
        <v>0</v>
      </c>
      <c r="R36" s="196"/>
      <c r="S36" s="196"/>
      <c r="T36" s="196"/>
      <c r="U36" s="197"/>
      <c r="V36" s="198">
        <f t="shared" si="5"/>
        <v>0</v>
      </c>
      <c r="W36" s="198">
        <f t="shared" si="6"/>
        <v>0</v>
      </c>
      <c r="X36" s="42"/>
      <c r="Y36" s="42"/>
      <c r="Z36" s="42"/>
      <c r="AA36" s="42"/>
      <c r="AB36" s="42"/>
    </row>
    <row r="37" ht="14.25" customHeight="1">
      <c r="A37" s="160">
        <v>36.0</v>
      </c>
      <c r="B37" s="160" t="s">
        <v>25</v>
      </c>
      <c r="C37" s="193" t="s">
        <v>61</v>
      </c>
      <c r="D37" s="193"/>
      <c r="E37" s="193"/>
      <c r="F37" s="193"/>
      <c r="G37" s="193"/>
      <c r="H37" s="193"/>
      <c r="I37" s="193">
        <f t="shared" si="1"/>
        <v>0</v>
      </c>
      <c r="J37" s="194"/>
      <c r="K37" s="194"/>
      <c r="L37" s="193">
        <f t="shared" si="2"/>
        <v>0</v>
      </c>
      <c r="M37" s="193">
        <f t="shared" si="7"/>
        <v>0</v>
      </c>
      <c r="N37" s="195" t="s">
        <v>112</v>
      </c>
      <c r="O37" s="193">
        <v>16.904</v>
      </c>
      <c r="P37" s="193">
        <v>12.699</v>
      </c>
      <c r="Q37" s="193">
        <f t="shared" si="4"/>
        <v>0</v>
      </c>
      <c r="R37" s="196"/>
      <c r="S37" s="196"/>
      <c r="T37" s="196"/>
      <c r="U37" s="197"/>
      <c r="V37" s="198">
        <f t="shared" si="5"/>
        <v>0</v>
      </c>
      <c r="W37" s="198">
        <f t="shared" si="6"/>
        <v>0</v>
      </c>
      <c r="X37" s="42"/>
      <c r="Y37" s="42"/>
      <c r="Z37" s="42"/>
      <c r="AA37" s="42"/>
      <c r="AB37" s="42"/>
    </row>
    <row r="38" ht="14.25" customHeight="1">
      <c r="A38" s="160">
        <v>37.0</v>
      </c>
      <c r="B38" s="160" t="s">
        <v>25</v>
      </c>
      <c r="C38" s="161" t="s">
        <v>62</v>
      </c>
      <c r="D38" s="164">
        <v>7.0</v>
      </c>
      <c r="E38" s="164">
        <v>7.0</v>
      </c>
      <c r="F38" s="161"/>
      <c r="G38" s="164">
        <v>52.0</v>
      </c>
      <c r="H38" s="161"/>
      <c r="I38" s="161">
        <f t="shared" si="1"/>
        <v>114</v>
      </c>
      <c r="J38" s="165"/>
      <c r="K38" s="166">
        <v>166.0</v>
      </c>
      <c r="L38" s="161">
        <f t="shared" si="2"/>
        <v>0</v>
      </c>
      <c r="M38" s="161">
        <f t="shared" si="7"/>
        <v>166</v>
      </c>
      <c r="N38" s="167"/>
      <c r="O38" s="161">
        <v>16.904</v>
      </c>
      <c r="P38" s="161">
        <v>12.699</v>
      </c>
      <c r="Q38" s="161">
        <f t="shared" si="4"/>
        <v>207.221</v>
      </c>
      <c r="R38" s="168">
        <v>199910.0</v>
      </c>
      <c r="S38" s="223"/>
      <c r="T38" s="223"/>
      <c r="U38" s="169">
        <v>200125.0</v>
      </c>
      <c r="V38" s="170">
        <f t="shared" si="5"/>
        <v>-199910</v>
      </c>
      <c r="W38" s="170">
        <f t="shared" si="6"/>
        <v>200125</v>
      </c>
      <c r="X38" s="42"/>
      <c r="Y38" s="42"/>
      <c r="Z38" s="42"/>
      <c r="AA38" s="42"/>
      <c r="AB38" s="42"/>
    </row>
    <row r="39" ht="14.25" customHeight="1">
      <c r="A39" s="160">
        <v>38.0</v>
      </c>
      <c r="B39" s="160" t="s">
        <v>25</v>
      </c>
      <c r="C39" s="193" t="s">
        <v>63</v>
      </c>
      <c r="D39" s="193"/>
      <c r="E39" s="193"/>
      <c r="F39" s="193"/>
      <c r="G39" s="193"/>
      <c r="H39" s="193"/>
      <c r="I39" s="193">
        <f t="shared" si="1"/>
        <v>0</v>
      </c>
      <c r="J39" s="194"/>
      <c r="K39" s="194"/>
      <c r="L39" s="193">
        <f t="shared" si="2"/>
        <v>0</v>
      </c>
      <c r="M39" s="193">
        <f t="shared" si="7"/>
        <v>0</v>
      </c>
      <c r="N39" s="195" t="s">
        <v>112</v>
      </c>
      <c r="O39" s="193">
        <v>16.904</v>
      </c>
      <c r="P39" s="193">
        <v>12.699</v>
      </c>
      <c r="Q39" s="193">
        <f t="shared" si="4"/>
        <v>0</v>
      </c>
      <c r="R39" s="196"/>
      <c r="S39" s="196"/>
      <c r="T39" s="196"/>
      <c r="U39" s="197"/>
      <c r="V39" s="198">
        <f t="shared" si="5"/>
        <v>0</v>
      </c>
      <c r="W39" s="198">
        <f t="shared" si="6"/>
        <v>0</v>
      </c>
      <c r="X39" s="42"/>
      <c r="Y39" s="42"/>
      <c r="Z39" s="42"/>
      <c r="AA39" s="42"/>
      <c r="AB39" s="42"/>
    </row>
    <row r="40" ht="14.25" customHeight="1">
      <c r="A40" s="160">
        <v>39.0</v>
      </c>
      <c r="B40" s="160" t="s">
        <v>25</v>
      </c>
      <c r="C40" s="193" t="s">
        <v>64</v>
      </c>
      <c r="D40" s="193"/>
      <c r="E40" s="193"/>
      <c r="F40" s="193"/>
      <c r="G40" s="193"/>
      <c r="H40" s="193"/>
      <c r="I40" s="193">
        <f t="shared" si="1"/>
        <v>0</v>
      </c>
      <c r="J40" s="194"/>
      <c r="K40" s="194"/>
      <c r="L40" s="193">
        <f t="shared" si="2"/>
        <v>0</v>
      </c>
      <c r="M40" s="193">
        <f t="shared" si="7"/>
        <v>0</v>
      </c>
      <c r="N40" s="195" t="s">
        <v>112</v>
      </c>
      <c r="O40" s="193">
        <v>16.904</v>
      </c>
      <c r="P40" s="193">
        <v>12.699</v>
      </c>
      <c r="Q40" s="193">
        <f t="shared" si="4"/>
        <v>0</v>
      </c>
      <c r="R40" s="196"/>
      <c r="S40" s="196"/>
      <c r="T40" s="196"/>
      <c r="U40" s="197"/>
      <c r="V40" s="198">
        <f t="shared" si="5"/>
        <v>0</v>
      </c>
      <c r="W40" s="198">
        <f t="shared" si="6"/>
        <v>0</v>
      </c>
      <c r="X40" s="42"/>
      <c r="Y40" s="42"/>
      <c r="Z40" s="42"/>
      <c r="AA40" s="42"/>
      <c r="AB40" s="42"/>
    </row>
    <row r="41" ht="14.25" customHeight="1">
      <c r="A41" s="160">
        <v>40.0</v>
      </c>
      <c r="B41" s="160" t="s">
        <v>25</v>
      </c>
      <c r="C41" s="193" t="s">
        <v>65</v>
      </c>
      <c r="D41" s="193"/>
      <c r="E41" s="193"/>
      <c r="F41" s="193"/>
      <c r="G41" s="193"/>
      <c r="H41" s="193"/>
      <c r="I41" s="193">
        <f t="shared" si="1"/>
        <v>0</v>
      </c>
      <c r="J41" s="194"/>
      <c r="K41" s="194"/>
      <c r="L41" s="193">
        <f t="shared" si="2"/>
        <v>0</v>
      </c>
      <c r="M41" s="193">
        <f t="shared" si="7"/>
        <v>0</v>
      </c>
      <c r="N41" s="195" t="s">
        <v>112</v>
      </c>
      <c r="O41" s="193">
        <v>16.904</v>
      </c>
      <c r="P41" s="193">
        <v>12.699</v>
      </c>
      <c r="Q41" s="193">
        <f t="shared" si="4"/>
        <v>0</v>
      </c>
      <c r="R41" s="196"/>
      <c r="S41" s="196"/>
      <c r="T41" s="196"/>
      <c r="U41" s="197"/>
      <c r="V41" s="198">
        <f t="shared" si="5"/>
        <v>0</v>
      </c>
      <c r="W41" s="198">
        <f t="shared" si="6"/>
        <v>0</v>
      </c>
      <c r="X41" s="42"/>
      <c r="Y41" s="42"/>
      <c r="Z41" s="42"/>
      <c r="AA41" s="42"/>
      <c r="AB41" s="42"/>
    </row>
    <row r="42" ht="14.25" customHeight="1">
      <c r="A42" s="160">
        <v>41.0</v>
      </c>
      <c r="B42" s="160" t="s">
        <v>25</v>
      </c>
      <c r="C42" s="161" t="s">
        <v>66</v>
      </c>
      <c r="D42" s="171">
        <v>6.0</v>
      </c>
      <c r="E42" s="163">
        <v>6.0</v>
      </c>
      <c r="F42" s="161"/>
      <c r="G42" s="164">
        <v>52.0</v>
      </c>
      <c r="H42" s="161"/>
      <c r="I42" s="161">
        <f t="shared" si="1"/>
        <v>38</v>
      </c>
      <c r="J42" s="165"/>
      <c r="K42" s="166">
        <v>90.0</v>
      </c>
      <c r="L42" s="161">
        <f t="shared" si="2"/>
        <v>0</v>
      </c>
      <c r="M42" s="161">
        <f t="shared" si="7"/>
        <v>90</v>
      </c>
      <c r="N42" s="167"/>
      <c r="O42" s="161">
        <v>16.904</v>
      </c>
      <c r="P42" s="161">
        <v>12.699</v>
      </c>
      <c r="Q42" s="161">
        <f t="shared" si="4"/>
        <v>177.618</v>
      </c>
      <c r="R42" s="168">
        <v>203436.0</v>
      </c>
      <c r="S42" s="223"/>
      <c r="T42" s="223"/>
      <c r="U42" s="169">
        <v>203652.0</v>
      </c>
      <c r="V42" s="170">
        <f t="shared" si="5"/>
        <v>-203436</v>
      </c>
      <c r="W42" s="170">
        <f t="shared" si="6"/>
        <v>203652</v>
      </c>
      <c r="X42" s="42"/>
      <c r="Y42" s="42"/>
      <c r="Z42" s="42"/>
      <c r="AA42" s="42"/>
      <c r="AB42" s="42"/>
    </row>
    <row r="43" ht="14.25" customHeight="1">
      <c r="A43" s="160">
        <v>42.0</v>
      </c>
      <c r="B43" s="160" t="s">
        <v>25</v>
      </c>
      <c r="C43" s="161" t="s">
        <v>67</v>
      </c>
      <c r="D43" s="164">
        <v>7.0</v>
      </c>
      <c r="E43" s="164">
        <v>7.0</v>
      </c>
      <c r="F43" s="161"/>
      <c r="G43" s="164">
        <v>41.0</v>
      </c>
      <c r="H43" s="161"/>
      <c r="I43" s="161">
        <f t="shared" si="1"/>
        <v>117</v>
      </c>
      <c r="J43" s="165"/>
      <c r="K43" s="166">
        <v>158.0</v>
      </c>
      <c r="L43" s="161">
        <f t="shared" si="2"/>
        <v>0</v>
      </c>
      <c r="M43" s="161">
        <f t="shared" si="7"/>
        <v>158</v>
      </c>
      <c r="N43" s="167"/>
      <c r="O43" s="161">
        <v>16.904</v>
      </c>
      <c r="P43" s="161">
        <v>12.699</v>
      </c>
      <c r="Q43" s="161">
        <f t="shared" si="4"/>
        <v>207.221</v>
      </c>
      <c r="R43" s="168">
        <v>180994.0</v>
      </c>
      <c r="S43" s="223"/>
      <c r="T43" s="223"/>
      <c r="U43" s="169">
        <v>188211.0</v>
      </c>
      <c r="V43" s="170">
        <f t="shared" si="5"/>
        <v>-180994</v>
      </c>
      <c r="W43" s="170">
        <f t="shared" si="6"/>
        <v>188211</v>
      </c>
      <c r="X43" s="42"/>
      <c r="Y43" s="42"/>
      <c r="Z43" s="42"/>
      <c r="AA43" s="42"/>
      <c r="AB43" s="42"/>
    </row>
    <row r="44" ht="14.25" customHeight="1">
      <c r="A44" s="160">
        <v>43.0</v>
      </c>
      <c r="B44" s="160" t="s">
        <v>25</v>
      </c>
      <c r="C44" s="193" t="s">
        <v>68</v>
      </c>
      <c r="D44" s="193"/>
      <c r="E44" s="193"/>
      <c r="F44" s="193"/>
      <c r="G44" s="193"/>
      <c r="H44" s="193"/>
      <c r="I44" s="193">
        <f t="shared" si="1"/>
        <v>0</v>
      </c>
      <c r="J44" s="194"/>
      <c r="K44" s="194"/>
      <c r="L44" s="193">
        <f t="shared" si="2"/>
        <v>0</v>
      </c>
      <c r="M44" s="193">
        <f t="shared" si="7"/>
        <v>0</v>
      </c>
      <c r="N44" s="195" t="s">
        <v>112</v>
      </c>
      <c r="O44" s="193">
        <v>16.904</v>
      </c>
      <c r="P44" s="193">
        <v>12.699</v>
      </c>
      <c r="Q44" s="193">
        <f t="shared" si="4"/>
        <v>0</v>
      </c>
      <c r="R44" s="196"/>
      <c r="S44" s="196"/>
      <c r="T44" s="196"/>
      <c r="U44" s="197"/>
      <c r="V44" s="198">
        <f t="shared" si="5"/>
        <v>0</v>
      </c>
      <c r="W44" s="198">
        <f t="shared" si="6"/>
        <v>0</v>
      </c>
      <c r="X44" s="42"/>
      <c r="Y44" s="42"/>
      <c r="Z44" s="42"/>
      <c r="AA44" s="42"/>
      <c r="AB44" s="42"/>
    </row>
    <row r="45" ht="14.25" customHeight="1">
      <c r="A45" s="160">
        <v>44.0</v>
      </c>
      <c r="B45" s="160" t="s">
        <v>25</v>
      </c>
      <c r="C45" s="193" t="s">
        <v>69</v>
      </c>
      <c r="D45" s="193"/>
      <c r="E45" s="193"/>
      <c r="F45" s="193"/>
      <c r="G45" s="193"/>
      <c r="H45" s="193"/>
      <c r="I45" s="193">
        <f t="shared" si="1"/>
        <v>0</v>
      </c>
      <c r="J45" s="194"/>
      <c r="K45" s="194"/>
      <c r="L45" s="193">
        <f t="shared" si="2"/>
        <v>0</v>
      </c>
      <c r="M45" s="193">
        <f t="shared" si="7"/>
        <v>0</v>
      </c>
      <c r="N45" s="195" t="s">
        <v>112</v>
      </c>
      <c r="O45" s="193">
        <v>16.904</v>
      </c>
      <c r="P45" s="193">
        <v>12.699</v>
      </c>
      <c r="Q45" s="193">
        <f t="shared" si="4"/>
        <v>0</v>
      </c>
      <c r="R45" s="196"/>
      <c r="S45" s="196"/>
      <c r="T45" s="196"/>
      <c r="U45" s="197"/>
      <c r="V45" s="198">
        <f t="shared" si="5"/>
        <v>0</v>
      </c>
      <c r="W45" s="198">
        <f t="shared" si="6"/>
        <v>0</v>
      </c>
      <c r="X45" s="42"/>
      <c r="Y45" s="42"/>
      <c r="Z45" s="42"/>
      <c r="AA45" s="42"/>
      <c r="AB45" s="42"/>
    </row>
    <row r="46" ht="14.25" customHeight="1">
      <c r="A46" s="160">
        <v>45.0</v>
      </c>
      <c r="B46" s="160" t="s">
        <v>25</v>
      </c>
      <c r="C46" s="193" t="s">
        <v>70</v>
      </c>
      <c r="D46" s="193"/>
      <c r="E46" s="193"/>
      <c r="F46" s="193"/>
      <c r="G46" s="193"/>
      <c r="H46" s="193"/>
      <c r="I46" s="193">
        <f t="shared" si="1"/>
        <v>0</v>
      </c>
      <c r="J46" s="194"/>
      <c r="K46" s="194"/>
      <c r="L46" s="193">
        <f t="shared" si="2"/>
        <v>0</v>
      </c>
      <c r="M46" s="193">
        <f t="shared" si="7"/>
        <v>0</v>
      </c>
      <c r="N46" s="195" t="s">
        <v>112</v>
      </c>
      <c r="O46" s="193">
        <v>16.904</v>
      </c>
      <c r="P46" s="193">
        <v>12.699</v>
      </c>
      <c r="Q46" s="193">
        <f t="shared" si="4"/>
        <v>0</v>
      </c>
      <c r="R46" s="196"/>
      <c r="S46" s="196"/>
      <c r="T46" s="196"/>
      <c r="U46" s="197"/>
      <c r="V46" s="198">
        <f t="shared" si="5"/>
        <v>0</v>
      </c>
      <c r="W46" s="198">
        <f t="shared" si="6"/>
        <v>0</v>
      </c>
      <c r="X46" s="42"/>
      <c r="Y46" s="42"/>
      <c r="Z46" s="42"/>
      <c r="AA46" s="42"/>
      <c r="AB46" s="42"/>
    </row>
    <row r="47" ht="14.25" customHeight="1">
      <c r="A47" s="160">
        <v>46.0</v>
      </c>
      <c r="B47" s="160" t="s">
        <v>25</v>
      </c>
      <c r="C47" s="193" t="s">
        <v>71</v>
      </c>
      <c r="D47" s="193"/>
      <c r="E47" s="193"/>
      <c r="F47" s="193"/>
      <c r="G47" s="193"/>
      <c r="H47" s="193"/>
      <c r="I47" s="193">
        <f t="shared" si="1"/>
        <v>0</v>
      </c>
      <c r="J47" s="194"/>
      <c r="K47" s="194"/>
      <c r="L47" s="193">
        <f t="shared" si="2"/>
        <v>0</v>
      </c>
      <c r="M47" s="193">
        <f t="shared" si="7"/>
        <v>0</v>
      </c>
      <c r="N47" s="195" t="s">
        <v>112</v>
      </c>
      <c r="O47" s="193">
        <v>16.904</v>
      </c>
      <c r="P47" s="193">
        <v>12.699</v>
      </c>
      <c r="Q47" s="193">
        <f t="shared" si="4"/>
        <v>0</v>
      </c>
      <c r="R47" s="196"/>
      <c r="S47" s="196"/>
      <c r="T47" s="196"/>
      <c r="U47" s="197"/>
      <c r="V47" s="198">
        <f t="shared" si="5"/>
        <v>0</v>
      </c>
      <c r="W47" s="198">
        <f t="shared" si="6"/>
        <v>0</v>
      </c>
      <c r="X47" s="42"/>
      <c r="Y47" s="42"/>
      <c r="Z47" s="42"/>
      <c r="AA47" s="42"/>
      <c r="AB47" s="42"/>
    </row>
    <row r="48" ht="14.25" customHeight="1">
      <c r="A48" s="160">
        <v>47.0</v>
      </c>
      <c r="B48" s="160" t="s">
        <v>25</v>
      </c>
      <c r="C48" s="161" t="s">
        <v>72</v>
      </c>
      <c r="D48" s="171">
        <v>6.0</v>
      </c>
      <c r="E48" s="163">
        <v>6.0</v>
      </c>
      <c r="F48" s="161"/>
      <c r="G48" s="164">
        <v>60.0</v>
      </c>
      <c r="H48" s="161"/>
      <c r="I48" s="161">
        <f t="shared" si="1"/>
        <v>95</v>
      </c>
      <c r="J48" s="165"/>
      <c r="K48" s="166">
        <v>155.0</v>
      </c>
      <c r="L48" s="161">
        <f t="shared" si="2"/>
        <v>0</v>
      </c>
      <c r="M48" s="161">
        <f t="shared" si="7"/>
        <v>155</v>
      </c>
      <c r="N48" s="167"/>
      <c r="O48" s="161">
        <v>16.904</v>
      </c>
      <c r="P48" s="161">
        <v>12.699</v>
      </c>
      <c r="Q48" s="161">
        <f t="shared" si="4"/>
        <v>177.618</v>
      </c>
      <c r="R48" s="168">
        <v>386686.0</v>
      </c>
      <c r="S48" s="223"/>
      <c r="T48" s="223"/>
      <c r="U48" s="169">
        <v>386861.0</v>
      </c>
      <c r="V48" s="170">
        <f t="shared" si="5"/>
        <v>-386686</v>
      </c>
      <c r="W48" s="170">
        <f t="shared" si="6"/>
        <v>386861</v>
      </c>
      <c r="X48" s="42"/>
      <c r="Y48" s="42"/>
      <c r="Z48" s="42"/>
      <c r="AA48" s="42"/>
      <c r="AB48" s="42"/>
    </row>
    <row r="49" ht="14.25" customHeight="1">
      <c r="A49" s="160">
        <v>48.0</v>
      </c>
      <c r="B49" s="160" t="s">
        <v>25</v>
      </c>
      <c r="C49" s="161" t="s">
        <v>73</v>
      </c>
      <c r="D49" s="164">
        <v>7.0</v>
      </c>
      <c r="E49" s="164">
        <v>7.0</v>
      </c>
      <c r="F49" s="161"/>
      <c r="G49" s="164">
        <v>37.0</v>
      </c>
      <c r="H49" s="161"/>
      <c r="I49" s="161">
        <f t="shared" si="1"/>
        <v>99</v>
      </c>
      <c r="J49" s="165"/>
      <c r="K49" s="166">
        <v>136.0</v>
      </c>
      <c r="L49" s="161">
        <f t="shared" si="2"/>
        <v>0</v>
      </c>
      <c r="M49" s="161">
        <f t="shared" si="7"/>
        <v>136</v>
      </c>
      <c r="N49" s="167"/>
      <c r="O49" s="161">
        <v>16.904</v>
      </c>
      <c r="P49" s="161">
        <v>12.699</v>
      </c>
      <c r="Q49" s="161">
        <f t="shared" si="4"/>
        <v>207.221</v>
      </c>
      <c r="R49" s="168">
        <v>183422.0</v>
      </c>
      <c r="S49" s="223"/>
      <c r="T49" s="223"/>
      <c r="U49" s="169">
        <v>183633.0</v>
      </c>
      <c r="V49" s="170">
        <f t="shared" si="5"/>
        <v>-183422</v>
      </c>
      <c r="W49" s="170">
        <f t="shared" si="6"/>
        <v>183633</v>
      </c>
      <c r="X49" s="42"/>
      <c r="Y49" s="42"/>
      <c r="Z49" s="42"/>
      <c r="AA49" s="42"/>
      <c r="AB49" s="42"/>
    </row>
    <row r="50" ht="14.25" customHeight="1">
      <c r="A50" s="160">
        <v>49.0</v>
      </c>
      <c r="B50" s="160" t="s">
        <v>25</v>
      </c>
      <c r="C50" s="193" t="s">
        <v>74</v>
      </c>
      <c r="D50" s="193"/>
      <c r="E50" s="193"/>
      <c r="F50" s="193"/>
      <c r="G50" s="193"/>
      <c r="H50" s="193"/>
      <c r="I50" s="193">
        <f t="shared" si="1"/>
        <v>0</v>
      </c>
      <c r="J50" s="194"/>
      <c r="K50" s="194"/>
      <c r="L50" s="193">
        <f t="shared" si="2"/>
        <v>0</v>
      </c>
      <c r="M50" s="193">
        <f t="shared" si="7"/>
        <v>0</v>
      </c>
      <c r="N50" s="195" t="s">
        <v>112</v>
      </c>
      <c r="O50" s="193">
        <v>16.904</v>
      </c>
      <c r="P50" s="193">
        <v>12.699</v>
      </c>
      <c r="Q50" s="193">
        <f t="shared" si="4"/>
        <v>0</v>
      </c>
      <c r="R50" s="196"/>
      <c r="S50" s="196"/>
      <c r="T50" s="196"/>
      <c r="U50" s="197"/>
      <c r="V50" s="198">
        <f t="shared" si="5"/>
        <v>0</v>
      </c>
      <c r="W50" s="198">
        <f t="shared" si="6"/>
        <v>0</v>
      </c>
      <c r="X50" s="42"/>
      <c r="Y50" s="42"/>
      <c r="Z50" s="42"/>
      <c r="AA50" s="42"/>
      <c r="AB50" s="42"/>
    </row>
    <row r="51" ht="14.25" customHeight="1">
      <c r="A51" s="160">
        <v>50.0</v>
      </c>
      <c r="B51" s="160" t="s">
        <v>25</v>
      </c>
      <c r="C51" s="193" t="s">
        <v>75</v>
      </c>
      <c r="D51" s="193"/>
      <c r="E51" s="193"/>
      <c r="F51" s="193"/>
      <c r="G51" s="193"/>
      <c r="H51" s="193"/>
      <c r="I51" s="193">
        <f t="shared" si="1"/>
        <v>0</v>
      </c>
      <c r="J51" s="194"/>
      <c r="K51" s="194"/>
      <c r="L51" s="193">
        <f t="shared" si="2"/>
        <v>0</v>
      </c>
      <c r="M51" s="193">
        <f t="shared" si="7"/>
        <v>0</v>
      </c>
      <c r="N51" s="195" t="s">
        <v>112</v>
      </c>
      <c r="O51" s="193">
        <v>16.904</v>
      </c>
      <c r="P51" s="193">
        <v>12.699</v>
      </c>
      <c r="Q51" s="193">
        <f t="shared" si="4"/>
        <v>0</v>
      </c>
      <c r="R51" s="196"/>
      <c r="S51" s="196"/>
      <c r="T51" s="196"/>
      <c r="U51" s="197"/>
      <c r="V51" s="198">
        <f t="shared" si="5"/>
        <v>0</v>
      </c>
      <c r="W51" s="198">
        <f t="shared" si="6"/>
        <v>0</v>
      </c>
      <c r="X51" s="42"/>
      <c r="Y51" s="42"/>
      <c r="Z51" s="42"/>
      <c r="AA51" s="42"/>
      <c r="AB51" s="42"/>
    </row>
    <row r="52" ht="14.25" customHeight="1">
      <c r="A52" s="160">
        <v>51.0</v>
      </c>
      <c r="B52" s="160" t="s">
        <v>25</v>
      </c>
      <c r="C52" s="193" t="s">
        <v>76</v>
      </c>
      <c r="D52" s="193"/>
      <c r="E52" s="193"/>
      <c r="F52" s="193"/>
      <c r="G52" s="193"/>
      <c r="H52" s="193"/>
      <c r="I52" s="193">
        <f t="shared" si="1"/>
        <v>0</v>
      </c>
      <c r="J52" s="194"/>
      <c r="K52" s="194"/>
      <c r="L52" s="193">
        <f t="shared" si="2"/>
        <v>0</v>
      </c>
      <c r="M52" s="193">
        <f t="shared" si="7"/>
        <v>0</v>
      </c>
      <c r="N52" s="195" t="s">
        <v>112</v>
      </c>
      <c r="O52" s="193">
        <v>16.904</v>
      </c>
      <c r="P52" s="193">
        <v>12.699</v>
      </c>
      <c r="Q52" s="193">
        <f t="shared" si="4"/>
        <v>0</v>
      </c>
      <c r="R52" s="196"/>
      <c r="S52" s="196"/>
      <c r="T52" s="196"/>
      <c r="U52" s="197"/>
      <c r="V52" s="198">
        <f t="shared" si="5"/>
        <v>0</v>
      </c>
      <c r="W52" s="198">
        <f t="shared" si="6"/>
        <v>0</v>
      </c>
      <c r="X52" s="42"/>
      <c r="Y52" s="42"/>
      <c r="Z52" s="42"/>
      <c r="AA52" s="42"/>
      <c r="AB52" s="42"/>
    </row>
    <row r="53" ht="14.25" customHeight="1">
      <c r="A53" s="160">
        <v>52.0</v>
      </c>
      <c r="B53" s="160" t="s">
        <v>25</v>
      </c>
      <c r="C53" s="193" t="s">
        <v>77</v>
      </c>
      <c r="D53" s="193"/>
      <c r="E53" s="193"/>
      <c r="F53" s="193"/>
      <c r="G53" s="193"/>
      <c r="H53" s="193"/>
      <c r="I53" s="193">
        <f t="shared" si="1"/>
        <v>0</v>
      </c>
      <c r="J53" s="194"/>
      <c r="K53" s="194"/>
      <c r="L53" s="193">
        <f t="shared" si="2"/>
        <v>0</v>
      </c>
      <c r="M53" s="193">
        <f t="shared" si="7"/>
        <v>0</v>
      </c>
      <c r="N53" s="195" t="s">
        <v>112</v>
      </c>
      <c r="O53" s="193">
        <v>16.904</v>
      </c>
      <c r="P53" s="193">
        <v>12.699</v>
      </c>
      <c r="Q53" s="193">
        <f t="shared" si="4"/>
        <v>0</v>
      </c>
      <c r="R53" s="196"/>
      <c r="S53" s="196"/>
      <c r="T53" s="196"/>
      <c r="U53" s="197"/>
      <c r="V53" s="198">
        <f t="shared" si="5"/>
        <v>0</v>
      </c>
      <c r="W53" s="198">
        <f t="shared" si="6"/>
        <v>0</v>
      </c>
      <c r="X53" s="42"/>
      <c r="Y53" s="42"/>
      <c r="Z53" s="42"/>
      <c r="AA53" s="42"/>
      <c r="AB53" s="42"/>
    </row>
    <row r="54" ht="14.25" customHeight="1">
      <c r="A54" s="160">
        <v>53.0</v>
      </c>
      <c r="B54" s="160" t="s">
        <v>25</v>
      </c>
      <c r="C54" s="193" t="s">
        <v>78</v>
      </c>
      <c r="D54" s="193"/>
      <c r="E54" s="193"/>
      <c r="F54" s="193"/>
      <c r="G54" s="193"/>
      <c r="H54" s="193"/>
      <c r="I54" s="193">
        <f t="shared" si="1"/>
        <v>0</v>
      </c>
      <c r="J54" s="194"/>
      <c r="K54" s="194"/>
      <c r="L54" s="193">
        <f t="shared" si="2"/>
        <v>0</v>
      </c>
      <c r="M54" s="193">
        <f t="shared" si="7"/>
        <v>0</v>
      </c>
      <c r="N54" s="195" t="s">
        <v>112</v>
      </c>
      <c r="O54" s="193">
        <v>16.904</v>
      </c>
      <c r="P54" s="193">
        <v>12.699</v>
      </c>
      <c r="Q54" s="193">
        <f t="shared" si="4"/>
        <v>0</v>
      </c>
      <c r="R54" s="196"/>
      <c r="S54" s="196"/>
      <c r="T54" s="196"/>
      <c r="U54" s="197"/>
      <c r="V54" s="198">
        <f t="shared" si="5"/>
        <v>0</v>
      </c>
      <c r="W54" s="198">
        <f t="shared" si="6"/>
        <v>0</v>
      </c>
      <c r="X54" s="42"/>
      <c r="Y54" s="42"/>
      <c r="Z54" s="42"/>
      <c r="AA54" s="42"/>
      <c r="AB54" s="42"/>
    </row>
    <row r="55" ht="14.25" customHeight="1">
      <c r="A55" s="160">
        <v>54.0</v>
      </c>
      <c r="B55" s="160" t="s">
        <v>25</v>
      </c>
      <c r="C55" s="193" t="s">
        <v>79</v>
      </c>
      <c r="D55" s="193"/>
      <c r="E55" s="193"/>
      <c r="F55" s="193"/>
      <c r="G55" s="193"/>
      <c r="H55" s="193"/>
      <c r="I55" s="193">
        <f t="shared" si="1"/>
        <v>0</v>
      </c>
      <c r="J55" s="194"/>
      <c r="K55" s="194"/>
      <c r="L55" s="193">
        <f t="shared" si="2"/>
        <v>0</v>
      </c>
      <c r="M55" s="193">
        <f t="shared" si="7"/>
        <v>0</v>
      </c>
      <c r="N55" s="195" t="s">
        <v>112</v>
      </c>
      <c r="O55" s="193">
        <v>16.904</v>
      </c>
      <c r="P55" s="193">
        <v>12.699</v>
      </c>
      <c r="Q55" s="193">
        <f t="shared" si="4"/>
        <v>0</v>
      </c>
      <c r="R55" s="196"/>
      <c r="S55" s="196"/>
      <c r="T55" s="196"/>
      <c r="U55" s="197"/>
      <c r="V55" s="198">
        <f t="shared" si="5"/>
        <v>0</v>
      </c>
      <c r="W55" s="198">
        <f t="shared" si="6"/>
        <v>0</v>
      </c>
      <c r="X55" s="42"/>
      <c r="Y55" s="42"/>
      <c r="Z55" s="42"/>
      <c r="AA55" s="42"/>
      <c r="AB55" s="42"/>
    </row>
    <row r="56" ht="14.25" customHeight="1">
      <c r="A56" s="160">
        <v>55.0</v>
      </c>
      <c r="B56" s="160" t="s">
        <v>25</v>
      </c>
      <c r="C56" s="209" t="s">
        <v>80</v>
      </c>
      <c r="D56" s="224">
        <v>2.0</v>
      </c>
      <c r="E56" s="224">
        <v>2.0</v>
      </c>
      <c r="F56" s="209"/>
      <c r="G56" s="224">
        <v>50.0</v>
      </c>
      <c r="H56" s="209"/>
      <c r="I56" s="209">
        <f t="shared" si="1"/>
        <v>0</v>
      </c>
      <c r="J56" s="225"/>
      <c r="K56" s="225"/>
      <c r="L56" s="209">
        <f t="shared" si="2"/>
        <v>0</v>
      </c>
      <c r="M56" s="209">
        <f t="shared" si="7"/>
        <v>50</v>
      </c>
      <c r="N56" s="226" t="s">
        <v>113</v>
      </c>
      <c r="O56" s="209">
        <v>16.904</v>
      </c>
      <c r="P56" s="209">
        <v>12.699</v>
      </c>
      <c r="Q56" s="209">
        <f t="shared" si="4"/>
        <v>59.206</v>
      </c>
      <c r="R56" s="227">
        <v>512827.0</v>
      </c>
      <c r="S56" s="227">
        <v>512888.0</v>
      </c>
      <c r="T56" s="228"/>
      <c r="U56" s="229"/>
      <c r="V56" s="230">
        <f t="shared" si="5"/>
        <v>61</v>
      </c>
      <c r="W56" s="230">
        <f t="shared" si="6"/>
        <v>0</v>
      </c>
      <c r="X56" s="42"/>
      <c r="Y56" s="42"/>
      <c r="Z56" s="42"/>
      <c r="AA56" s="42"/>
      <c r="AB56" s="42"/>
    </row>
    <row r="57" ht="14.25" customHeight="1">
      <c r="A57" s="160">
        <v>56.0</v>
      </c>
      <c r="B57" s="160" t="s">
        <v>25</v>
      </c>
      <c r="C57" s="161" t="s">
        <v>81</v>
      </c>
      <c r="D57" s="164">
        <v>7.0</v>
      </c>
      <c r="E57" s="164">
        <v>7.0</v>
      </c>
      <c r="F57" s="161"/>
      <c r="G57" s="164">
        <v>28.0</v>
      </c>
      <c r="H57" s="161"/>
      <c r="I57" s="161">
        <f t="shared" si="1"/>
        <v>91</v>
      </c>
      <c r="J57" s="165"/>
      <c r="K57" s="166">
        <v>119.0</v>
      </c>
      <c r="L57" s="161">
        <f t="shared" si="2"/>
        <v>0</v>
      </c>
      <c r="M57" s="161">
        <f t="shared" si="7"/>
        <v>119</v>
      </c>
      <c r="N57" s="167"/>
      <c r="O57" s="161">
        <v>16.904</v>
      </c>
      <c r="P57" s="161">
        <v>12.699</v>
      </c>
      <c r="Q57" s="161">
        <f t="shared" si="4"/>
        <v>207.221</v>
      </c>
      <c r="R57" s="168">
        <v>482269.0</v>
      </c>
      <c r="S57" s="223"/>
      <c r="T57" s="223"/>
      <c r="U57" s="169">
        <v>482483.0</v>
      </c>
      <c r="V57" s="170">
        <f t="shared" si="5"/>
        <v>-482269</v>
      </c>
      <c r="W57" s="170">
        <f t="shared" si="6"/>
        <v>482483</v>
      </c>
      <c r="X57" s="42"/>
      <c r="Y57" s="42"/>
      <c r="Z57" s="42"/>
      <c r="AA57" s="42"/>
      <c r="AB57" s="42"/>
    </row>
    <row r="58" ht="14.25" customHeight="1">
      <c r="A58" s="160">
        <v>57.0</v>
      </c>
      <c r="B58" s="160" t="s">
        <v>25</v>
      </c>
      <c r="C58" s="161" t="s">
        <v>82</v>
      </c>
      <c r="D58" s="164">
        <v>7.0</v>
      </c>
      <c r="E58" s="164">
        <v>7.0</v>
      </c>
      <c r="F58" s="161"/>
      <c r="G58" s="164">
        <v>42.0</v>
      </c>
      <c r="H58" s="161"/>
      <c r="I58" s="161">
        <f t="shared" si="1"/>
        <v>127</v>
      </c>
      <c r="J58" s="165"/>
      <c r="K58" s="166">
        <v>169.0</v>
      </c>
      <c r="L58" s="161">
        <f t="shared" si="2"/>
        <v>0</v>
      </c>
      <c r="M58" s="161">
        <f t="shared" si="7"/>
        <v>169</v>
      </c>
      <c r="N58" s="167"/>
      <c r="O58" s="161">
        <v>16.904</v>
      </c>
      <c r="P58" s="161">
        <v>12.699</v>
      </c>
      <c r="Q58" s="161">
        <f t="shared" si="4"/>
        <v>207.221</v>
      </c>
      <c r="R58" s="168">
        <v>459933.0</v>
      </c>
      <c r="S58" s="223"/>
      <c r="T58" s="223"/>
      <c r="U58" s="169">
        <v>460143.0</v>
      </c>
      <c r="V58" s="170">
        <f t="shared" si="5"/>
        <v>-459933</v>
      </c>
      <c r="W58" s="170">
        <f t="shared" si="6"/>
        <v>460143</v>
      </c>
      <c r="X58" s="42"/>
      <c r="Y58" s="42"/>
      <c r="Z58" s="42"/>
      <c r="AA58" s="42"/>
      <c r="AB58" s="42"/>
    </row>
    <row r="59" ht="14.25" customHeight="1">
      <c r="A59" s="160">
        <v>58.0</v>
      </c>
      <c r="B59" s="160" t="s">
        <v>25</v>
      </c>
      <c r="C59" s="161" t="s">
        <v>83</v>
      </c>
      <c r="D59" s="164">
        <v>7.0</v>
      </c>
      <c r="E59" s="164">
        <v>7.0</v>
      </c>
      <c r="F59" s="161"/>
      <c r="G59" s="164">
        <v>54.0</v>
      </c>
      <c r="H59" s="161"/>
      <c r="I59" s="161">
        <f t="shared" si="1"/>
        <v>122</v>
      </c>
      <c r="J59" s="165"/>
      <c r="K59" s="166">
        <v>176.0</v>
      </c>
      <c r="L59" s="161">
        <f t="shared" si="2"/>
        <v>0</v>
      </c>
      <c r="M59" s="161">
        <f t="shared" si="7"/>
        <v>176</v>
      </c>
      <c r="N59" s="167"/>
      <c r="O59" s="161">
        <v>16.904</v>
      </c>
      <c r="P59" s="161">
        <v>12.699</v>
      </c>
      <c r="Q59" s="161">
        <f t="shared" si="4"/>
        <v>207.221</v>
      </c>
      <c r="R59" s="168">
        <v>446890.0</v>
      </c>
      <c r="S59" s="223"/>
      <c r="T59" s="223"/>
      <c r="U59" s="169">
        <v>447100.0</v>
      </c>
      <c r="V59" s="170">
        <f t="shared" si="5"/>
        <v>-446890</v>
      </c>
      <c r="W59" s="170">
        <f t="shared" si="6"/>
        <v>447100</v>
      </c>
      <c r="X59" s="42"/>
      <c r="Y59" s="42"/>
      <c r="Z59" s="42"/>
      <c r="AA59" s="42"/>
      <c r="AB59" s="42"/>
    </row>
    <row r="60" ht="14.25" customHeight="1">
      <c r="A60" s="160">
        <v>59.0</v>
      </c>
      <c r="B60" s="160" t="s">
        <v>25</v>
      </c>
      <c r="C60" s="161" t="s">
        <v>84</v>
      </c>
      <c r="D60" s="164">
        <v>7.0</v>
      </c>
      <c r="E60" s="164">
        <v>7.0</v>
      </c>
      <c r="F60" s="161"/>
      <c r="G60" s="164">
        <v>61.0</v>
      </c>
      <c r="H60" s="161"/>
      <c r="I60" s="161">
        <f t="shared" si="1"/>
        <v>74</v>
      </c>
      <c r="J60" s="165"/>
      <c r="K60" s="166">
        <v>135.0</v>
      </c>
      <c r="L60" s="161">
        <f t="shared" si="2"/>
        <v>0</v>
      </c>
      <c r="M60" s="161">
        <f t="shared" si="7"/>
        <v>135</v>
      </c>
      <c r="N60" s="167"/>
      <c r="O60" s="161">
        <v>16.904</v>
      </c>
      <c r="P60" s="161">
        <v>12.699</v>
      </c>
      <c r="Q60" s="161">
        <f t="shared" si="4"/>
        <v>207.221</v>
      </c>
      <c r="R60" s="202">
        <v>502638.0</v>
      </c>
      <c r="S60" s="231"/>
      <c r="T60" s="231"/>
      <c r="U60" s="203">
        <v>502851.0</v>
      </c>
      <c r="V60" s="204">
        <f t="shared" si="5"/>
        <v>-502638</v>
      </c>
      <c r="W60" s="204">
        <f t="shared" si="6"/>
        <v>502851</v>
      </c>
      <c r="X60" s="42"/>
      <c r="Y60" s="42"/>
      <c r="Z60" s="42"/>
      <c r="AA60" s="42"/>
      <c r="AB60" s="42"/>
    </row>
    <row r="61" ht="14.25" customHeight="1">
      <c r="A61" s="160">
        <v>60.0</v>
      </c>
      <c r="B61" s="160" t="s">
        <v>25</v>
      </c>
      <c r="C61" s="161" t="s">
        <v>85</v>
      </c>
      <c r="D61" s="164">
        <v>7.0</v>
      </c>
      <c r="E61" s="164">
        <v>7.0</v>
      </c>
      <c r="F61" s="161"/>
      <c r="G61" s="164">
        <v>62.0</v>
      </c>
      <c r="H61" s="161"/>
      <c r="I61" s="161">
        <f t="shared" si="1"/>
        <v>76</v>
      </c>
      <c r="J61" s="165"/>
      <c r="K61" s="166">
        <v>138.0</v>
      </c>
      <c r="L61" s="161">
        <f t="shared" si="2"/>
        <v>0</v>
      </c>
      <c r="M61" s="161">
        <f t="shared" si="7"/>
        <v>138</v>
      </c>
      <c r="N61" s="167"/>
      <c r="O61" s="161">
        <v>16.904</v>
      </c>
      <c r="P61" s="161">
        <v>12.699</v>
      </c>
      <c r="Q61" s="161">
        <f t="shared" si="4"/>
        <v>207.221</v>
      </c>
      <c r="R61" s="40">
        <v>451272.0</v>
      </c>
      <c r="S61" s="232"/>
      <c r="T61" s="232"/>
      <c r="U61" s="40">
        <v>451488.0</v>
      </c>
      <c r="V61" s="205">
        <f t="shared" si="5"/>
        <v>-451272</v>
      </c>
      <c r="W61" s="205">
        <f t="shared" si="6"/>
        <v>451488</v>
      </c>
      <c r="X61" s="42"/>
      <c r="Y61" s="42"/>
      <c r="Z61" s="42"/>
      <c r="AA61" s="42"/>
      <c r="AB61" s="42"/>
    </row>
    <row r="62" ht="14.25" customHeight="1">
      <c r="A62" s="206"/>
      <c r="B62" s="207"/>
      <c r="C62" s="42"/>
      <c r="D62" s="208" t="s">
        <v>86</v>
      </c>
      <c r="E62" s="209">
        <f>SUM(M:M)</f>
        <v>6185</v>
      </c>
      <c r="F62" s="42"/>
      <c r="G62" s="42"/>
      <c r="H62" s="42"/>
      <c r="I62" s="42"/>
      <c r="J62" s="42"/>
      <c r="K62" s="42"/>
      <c r="L62" s="42"/>
      <c r="M62" s="42"/>
      <c r="N62" s="210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</row>
    <row r="63" ht="14.25" customHeight="1">
      <c r="A63" s="206"/>
      <c r="B63" s="207"/>
      <c r="C63" s="42"/>
      <c r="D63" s="208" t="s">
        <v>87</v>
      </c>
      <c r="E63" s="209">
        <f>SUM(Q:Q)</f>
        <v>8821.694</v>
      </c>
      <c r="F63" s="42"/>
      <c r="G63" s="42"/>
      <c r="H63" s="42"/>
      <c r="I63" s="42"/>
      <c r="J63" s="42"/>
      <c r="K63" s="42"/>
      <c r="L63" s="42"/>
      <c r="M63" s="42"/>
      <c r="N63" s="210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</row>
    <row r="64" ht="14.25" customHeight="1">
      <c r="A64" s="206"/>
      <c r="B64" s="207"/>
      <c r="C64" s="42"/>
      <c r="D64" s="208" t="s">
        <v>88</v>
      </c>
      <c r="E64" s="209">
        <f>E62/E63</f>
        <v>0.7011125074</v>
      </c>
      <c r="F64" s="42"/>
      <c r="G64" s="42"/>
      <c r="H64" s="42"/>
      <c r="I64" s="42"/>
      <c r="J64" s="42"/>
      <c r="K64" s="42"/>
      <c r="L64" s="42"/>
      <c r="M64" s="42"/>
      <c r="N64" s="210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</row>
    <row r="65" ht="14.25" customHeight="1">
      <c r="A65" s="206"/>
      <c r="B65" s="207"/>
      <c r="C65" s="42"/>
      <c r="D65" s="211"/>
      <c r="E65" s="212"/>
      <c r="F65" s="42"/>
      <c r="G65" s="42"/>
      <c r="H65" s="42"/>
      <c r="I65" s="42"/>
      <c r="J65" s="42"/>
      <c r="K65" s="42"/>
      <c r="L65" s="42"/>
      <c r="M65" s="42"/>
      <c r="N65" s="210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</row>
    <row r="66" ht="14.25" customHeight="1">
      <c r="A66" s="206"/>
      <c r="B66" s="207"/>
      <c r="C66" s="42"/>
      <c r="D66" s="213" t="s">
        <v>89</v>
      </c>
      <c r="E66" s="214">
        <f>AVERAGEIF(Q:Q,"&gt;0",Q:Q)</f>
        <v>196.0376444</v>
      </c>
      <c r="F66" s="42"/>
      <c r="G66" s="42"/>
      <c r="H66" s="42"/>
      <c r="I66" s="42"/>
      <c r="J66" s="42"/>
      <c r="K66" s="42"/>
      <c r="L66" s="42"/>
      <c r="M66" s="42"/>
      <c r="N66" s="210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</row>
    <row r="67" ht="14.25" customHeight="1">
      <c r="A67" s="206"/>
      <c r="B67" s="207"/>
      <c r="C67" s="42"/>
      <c r="D67" s="158"/>
      <c r="E67" s="212"/>
      <c r="F67" s="42"/>
      <c r="G67" s="42"/>
      <c r="H67" s="42"/>
      <c r="I67" s="42"/>
      <c r="J67" s="42"/>
      <c r="K67" s="42"/>
      <c r="L67" s="42"/>
      <c r="M67" s="42"/>
      <c r="N67" s="210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</row>
    <row r="68" ht="14.25" customHeight="1">
      <c r="A68" s="206"/>
      <c r="B68" s="207"/>
      <c r="C68" s="42"/>
      <c r="D68" s="215" t="s">
        <v>90</v>
      </c>
      <c r="E68" s="216">
        <f>SUM(G:G)</f>
        <v>2126</v>
      </c>
      <c r="F68" s="42"/>
      <c r="G68" s="42"/>
      <c r="H68" s="42"/>
      <c r="I68" s="42"/>
      <c r="J68" s="42"/>
      <c r="K68" s="42"/>
      <c r="L68" s="42"/>
      <c r="M68" s="42"/>
      <c r="N68" s="210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</row>
    <row r="69" ht="14.25" customHeight="1">
      <c r="A69" s="206"/>
      <c r="B69" s="207"/>
      <c r="C69" s="42"/>
      <c r="D69" s="215" t="s">
        <v>91</v>
      </c>
      <c r="E69" s="216">
        <f>SUM(H:H)</f>
        <v>0</v>
      </c>
      <c r="F69" s="42"/>
      <c r="G69" s="42"/>
      <c r="H69" s="42"/>
      <c r="I69" s="42"/>
      <c r="J69" s="42"/>
      <c r="K69" s="42"/>
      <c r="L69" s="42"/>
      <c r="M69" s="42"/>
      <c r="N69" s="210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</row>
    <row r="70" ht="14.25" customHeight="1">
      <c r="A70" s="206"/>
      <c r="B70" s="207"/>
      <c r="C70" s="42"/>
      <c r="D70" s="215" t="s">
        <v>92</v>
      </c>
      <c r="E70" s="216">
        <f>E69+E68</f>
        <v>2126</v>
      </c>
      <c r="F70" s="42"/>
      <c r="G70" s="42"/>
      <c r="H70" s="42"/>
      <c r="I70" s="42"/>
      <c r="J70" s="42"/>
      <c r="K70" s="42"/>
      <c r="L70" s="42"/>
      <c r="M70" s="42"/>
      <c r="N70" s="210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</row>
    <row r="71" ht="14.25" customHeight="1">
      <c r="A71" s="206"/>
      <c r="B71" s="207"/>
      <c r="C71" s="42"/>
      <c r="D71" s="158"/>
      <c r="E71" s="212"/>
      <c r="F71" s="42"/>
      <c r="G71" s="42"/>
      <c r="H71" s="42"/>
      <c r="I71" s="42"/>
      <c r="J71" s="42"/>
      <c r="K71" s="42"/>
      <c r="L71" s="42"/>
      <c r="M71" s="42"/>
      <c r="N71" s="210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</row>
    <row r="72" ht="14.25" customHeight="1">
      <c r="A72" s="206"/>
      <c r="B72" s="207"/>
      <c r="C72" s="42"/>
      <c r="D72" s="217" t="s">
        <v>93</v>
      </c>
      <c r="E72" s="218">
        <f>SUM(I:I)</f>
        <v>4059</v>
      </c>
      <c r="F72" s="42"/>
      <c r="G72" s="42"/>
      <c r="H72" s="42"/>
      <c r="I72" s="42"/>
      <c r="J72" s="42"/>
      <c r="K72" s="42"/>
      <c r="L72" s="42"/>
      <c r="M72" s="42"/>
      <c r="N72" s="210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</row>
    <row r="73" ht="14.25" customHeight="1">
      <c r="A73" s="206"/>
      <c r="B73" s="207"/>
      <c r="C73" s="42"/>
      <c r="D73" s="217" t="s">
        <v>94</v>
      </c>
      <c r="E73" s="218">
        <f>SUM(J:J)</f>
        <v>0</v>
      </c>
      <c r="F73" s="42"/>
      <c r="G73" s="42"/>
      <c r="H73" s="42"/>
      <c r="I73" s="42"/>
      <c r="J73" s="42"/>
      <c r="K73" s="42"/>
      <c r="L73" s="42"/>
      <c r="M73" s="42"/>
      <c r="N73" s="210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</row>
    <row r="74" ht="14.25" customHeight="1">
      <c r="A74" s="206"/>
      <c r="B74" s="207"/>
      <c r="C74" s="42"/>
      <c r="D74" s="217" t="s">
        <v>95</v>
      </c>
      <c r="E74" s="218">
        <f>E73+E72</f>
        <v>4059</v>
      </c>
      <c r="F74" s="42"/>
      <c r="G74" s="42"/>
      <c r="H74" s="42"/>
      <c r="I74" s="42"/>
      <c r="J74" s="42"/>
      <c r="K74" s="42"/>
      <c r="L74" s="42"/>
      <c r="M74" s="42"/>
      <c r="N74" s="210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</row>
    <row r="75" ht="14.25" customHeight="1">
      <c r="A75" s="206"/>
      <c r="B75" s="207"/>
      <c r="C75" s="42"/>
      <c r="D75" s="158"/>
      <c r="E75" s="212"/>
      <c r="F75" s="42"/>
      <c r="G75" s="42"/>
      <c r="H75" s="42"/>
      <c r="I75" s="42"/>
      <c r="J75" s="42"/>
      <c r="K75" s="42"/>
      <c r="L75" s="42"/>
      <c r="M75" s="42"/>
      <c r="N75" s="210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</row>
    <row r="76" ht="14.25" customHeight="1">
      <c r="A76" s="206"/>
      <c r="B76" s="207"/>
      <c r="C76" s="42"/>
      <c r="D76" s="219" t="s">
        <v>11</v>
      </c>
      <c r="E76" s="220">
        <f t="shared" ref="E76:E77" si="8">E72+E68</f>
        <v>6185</v>
      </c>
      <c r="F76" s="42"/>
      <c r="G76" s="42"/>
      <c r="H76" s="42"/>
      <c r="I76" s="42"/>
      <c r="J76" s="42"/>
      <c r="K76" s="42"/>
      <c r="L76" s="42"/>
      <c r="M76" s="42"/>
      <c r="N76" s="210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</row>
    <row r="77" ht="14.25" customHeight="1">
      <c r="A77" s="206"/>
      <c r="B77" s="207"/>
      <c r="C77" s="42"/>
      <c r="D77" s="219" t="s">
        <v>12</v>
      </c>
      <c r="E77" s="220">
        <f t="shared" si="8"/>
        <v>0</v>
      </c>
      <c r="F77" s="42"/>
      <c r="G77" s="42"/>
      <c r="H77" s="42"/>
      <c r="I77" s="42"/>
      <c r="J77" s="42"/>
      <c r="K77" s="42"/>
      <c r="L77" s="42"/>
      <c r="M77" s="42"/>
      <c r="N77" s="210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</row>
    <row r="78" ht="14.25" customHeight="1">
      <c r="A78" s="206"/>
      <c r="B78" s="207"/>
      <c r="C78" s="42"/>
      <c r="D78" s="221"/>
      <c r="E78" s="221"/>
      <c r="F78" s="42"/>
      <c r="G78" s="42"/>
      <c r="H78" s="42"/>
      <c r="I78" s="42"/>
      <c r="J78" s="42"/>
      <c r="K78" s="42"/>
      <c r="L78" s="42"/>
      <c r="M78" s="42"/>
      <c r="N78" s="210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</row>
    <row r="79" ht="14.25" customHeight="1">
      <c r="A79" s="206"/>
      <c r="B79" s="207"/>
      <c r="C79" s="42"/>
      <c r="D79" s="221"/>
      <c r="E79" s="221"/>
      <c r="F79" s="42"/>
      <c r="G79" s="42"/>
      <c r="H79" s="42"/>
      <c r="I79" s="42"/>
      <c r="J79" s="42"/>
      <c r="K79" s="42"/>
      <c r="L79" s="42"/>
      <c r="M79" s="42"/>
      <c r="N79" s="210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</row>
    <row r="80" ht="14.25" customHeight="1">
      <c r="A80" s="206"/>
      <c r="B80" s="207"/>
      <c r="C80" s="42"/>
      <c r="D80" s="221"/>
      <c r="E80" s="221"/>
      <c r="F80" s="42"/>
      <c r="G80" s="42"/>
      <c r="H80" s="42"/>
      <c r="I80" s="42"/>
      <c r="J80" s="42"/>
      <c r="K80" s="42"/>
      <c r="L80" s="42"/>
      <c r="M80" s="42"/>
      <c r="N80" s="210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</row>
    <row r="81" ht="14.25" customHeight="1">
      <c r="A81" s="206"/>
      <c r="B81" s="207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210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</row>
    <row r="82" ht="14.25" customHeight="1">
      <c r="A82" s="206"/>
      <c r="B82" s="207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210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</row>
    <row r="83" ht="14.25" customHeight="1">
      <c r="A83" s="206"/>
      <c r="B83" s="207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210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</row>
    <row r="84" ht="14.25" customHeight="1">
      <c r="A84" s="206"/>
      <c r="B84" s="207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210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</row>
    <row r="85" ht="14.25" customHeight="1">
      <c r="A85" s="206"/>
      <c r="B85" s="207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210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</row>
    <row r="86" ht="14.25" customHeight="1">
      <c r="A86" s="206"/>
      <c r="B86" s="207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210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</row>
    <row r="87" ht="14.25" customHeight="1">
      <c r="A87" s="206"/>
      <c r="B87" s="207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210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</row>
    <row r="88" ht="14.25" customHeight="1">
      <c r="A88" s="206"/>
      <c r="B88" s="207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210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</row>
    <row r="89" ht="14.25" customHeight="1">
      <c r="A89" s="206"/>
      <c r="B89" s="207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210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</row>
    <row r="90" ht="14.25" customHeight="1">
      <c r="A90" s="206"/>
      <c r="B90" s="207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210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</row>
    <row r="91" ht="14.25" customHeight="1">
      <c r="A91" s="206"/>
      <c r="B91" s="207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210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</row>
    <row r="92" ht="14.25" customHeight="1">
      <c r="A92" s="206"/>
      <c r="B92" s="207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210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</row>
    <row r="93" ht="14.25" customHeight="1">
      <c r="A93" s="206"/>
      <c r="B93" s="207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210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 ht="14.25" customHeight="1">
      <c r="A94" s="206"/>
      <c r="B94" s="207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210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</row>
    <row r="95" ht="14.25" customHeight="1">
      <c r="A95" s="206"/>
      <c r="B95" s="207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210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</row>
    <row r="96" ht="14.25" customHeight="1">
      <c r="A96" s="206"/>
      <c r="B96" s="207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210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</row>
    <row r="97" ht="14.25" customHeight="1">
      <c r="A97" s="206"/>
      <c r="B97" s="207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210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</row>
    <row r="98" ht="14.25" customHeight="1">
      <c r="A98" s="206"/>
      <c r="B98" s="207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210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</row>
    <row r="99" ht="14.25" customHeight="1">
      <c r="A99" s="206"/>
      <c r="B99" s="207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210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</row>
    <row r="100" ht="14.25" customHeight="1">
      <c r="A100" s="206"/>
      <c r="B100" s="207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210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</row>
    <row r="101" ht="14.25" customHeight="1">
      <c r="A101" s="206"/>
      <c r="B101" s="207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210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</row>
    <row r="102" ht="14.25" customHeight="1">
      <c r="A102" s="206"/>
      <c r="B102" s="207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210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</row>
    <row r="103" ht="14.25" customHeight="1">
      <c r="A103" s="206"/>
      <c r="B103" s="207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210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</row>
    <row r="104" ht="14.25" customHeight="1">
      <c r="A104" s="206"/>
      <c r="B104" s="207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210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</row>
    <row r="105" ht="14.25" customHeight="1">
      <c r="A105" s="206"/>
      <c r="B105" s="207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210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</row>
    <row r="106" ht="14.25" customHeight="1">
      <c r="A106" s="206"/>
      <c r="B106" s="207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210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 ht="14.25" customHeight="1">
      <c r="A107" s="206"/>
      <c r="B107" s="207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210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</row>
    <row r="108" ht="14.25" customHeight="1">
      <c r="A108" s="206"/>
      <c r="B108" s="207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210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</row>
    <row r="109" ht="14.25" customHeight="1">
      <c r="A109" s="206"/>
      <c r="B109" s="207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210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</row>
    <row r="110" ht="14.25" customHeight="1">
      <c r="A110" s="206"/>
      <c r="B110" s="207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210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</row>
    <row r="111" ht="14.25" customHeight="1">
      <c r="A111" s="206"/>
      <c r="B111" s="207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210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</row>
    <row r="112" ht="14.25" customHeight="1">
      <c r="A112" s="206"/>
      <c r="B112" s="207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210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 ht="14.25" customHeight="1">
      <c r="A113" s="206"/>
      <c r="B113" s="207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210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 ht="14.25" customHeight="1">
      <c r="A114" s="206"/>
      <c r="B114" s="207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210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 ht="14.25" customHeight="1">
      <c r="A115" s="206"/>
      <c r="B115" s="207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210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</row>
    <row r="116" ht="14.25" customHeight="1">
      <c r="A116" s="206"/>
      <c r="B116" s="207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210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</row>
    <row r="117" ht="14.25" customHeight="1">
      <c r="A117" s="206"/>
      <c r="B117" s="207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210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</row>
    <row r="118" ht="14.25" customHeight="1">
      <c r="A118" s="206"/>
      <c r="B118" s="207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210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</row>
    <row r="119" ht="14.25" customHeight="1">
      <c r="A119" s="206"/>
      <c r="B119" s="207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210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</row>
    <row r="120" ht="14.25" customHeight="1">
      <c r="A120" s="206"/>
      <c r="B120" s="207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210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</row>
    <row r="121" ht="14.25" customHeight="1">
      <c r="A121" s="206"/>
      <c r="B121" s="207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210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 ht="14.25" customHeight="1">
      <c r="A122" s="206"/>
      <c r="B122" s="207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210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</row>
    <row r="123" ht="14.25" customHeight="1">
      <c r="A123" s="206"/>
      <c r="B123" s="207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210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 ht="14.25" customHeight="1">
      <c r="A124" s="206"/>
      <c r="B124" s="207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210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 ht="14.25" customHeight="1">
      <c r="A125" s="206"/>
      <c r="B125" s="207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210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</row>
    <row r="126" ht="14.25" customHeight="1">
      <c r="A126" s="206"/>
      <c r="B126" s="207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210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</row>
    <row r="127" ht="14.25" customHeight="1">
      <c r="A127" s="206"/>
      <c r="B127" s="207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210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</row>
    <row r="128" ht="14.25" customHeight="1">
      <c r="A128" s="206"/>
      <c r="B128" s="207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210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</row>
    <row r="129" ht="14.25" customHeight="1">
      <c r="A129" s="206"/>
      <c r="B129" s="207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210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</row>
    <row r="130" ht="14.25" customHeight="1">
      <c r="A130" s="206"/>
      <c r="B130" s="207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210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</row>
    <row r="131" ht="14.25" customHeight="1">
      <c r="A131" s="206"/>
      <c r="B131" s="207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210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</row>
    <row r="132" ht="14.25" customHeight="1">
      <c r="A132" s="206"/>
      <c r="B132" s="207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210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</row>
    <row r="133" ht="14.25" customHeight="1">
      <c r="A133" s="206"/>
      <c r="B133" s="207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210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</row>
    <row r="134" ht="14.25" customHeight="1">
      <c r="A134" s="206"/>
      <c r="B134" s="207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210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</row>
    <row r="135" ht="14.25" customHeight="1">
      <c r="A135" s="206"/>
      <c r="B135" s="207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210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</row>
    <row r="136" ht="14.25" customHeight="1">
      <c r="A136" s="206"/>
      <c r="B136" s="207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210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</row>
    <row r="137" ht="14.25" customHeight="1">
      <c r="A137" s="206"/>
      <c r="B137" s="207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210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</row>
    <row r="138" ht="14.25" customHeight="1">
      <c r="A138" s="206"/>
      <c r="B138" s="207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210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</row>
    <row r="139" ht="14.25" customHeight="1">
      <c r="A139" s="206"/>
      <c r="B139" s="207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210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</row>
    <row r="140" ht="14.25" customHeight="1">
      <c r="A140" s="206"/>
      <c r="B140" s="207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210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</row>
    <row r="141" ht="14.25" customHeight="1">
      <c r="A141" s="206"/>
      <c r="B141" s="207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210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</row>
    <row r="142" ht="14.25" customHeight="1">
      <c r="A142" s="206"/>
      <c r="B142" s="207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210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</row>
    <row r="143" ht="14.25" customHeight="1">
      <c r="A143" s="206"/>
      <c r="B143" s="207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210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</row>
    <row r="144" ht="14.25" customHeight="1">
      <c r="A144" s="206"/>
      <c r="B144" s="207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210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</row>
    <row r="145" ht="14.25" customHeight="1">
      <c r="A145" s="206"/>
      <c r="B145" s="207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210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</row>
    <row r="146" ht="14.25" customHeight="1">
      <c r="A146" s="206"/>
      <c r="B146" s="207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210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</row>
    <row r="147" ht="14.25" customHeight="1">
      <c r="A147" s="206"/>
      <c r="B147" s="207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210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</row>
    <row r="148" ht="14.25" customHeight="1">
      <c r="A148" s="206"/>
      <c r="B148" s="207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210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</row>
    <row r="149" ht="14.25" customHeight="1">
      <c r="A149" s="206"/>
      <c r="B149" s="207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210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</row>
    <row r="150" ht="14.25" customHeight="1">
      <c r="A150" s="206"/>
      <c r="B150" s="207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210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</row>
    <row r="151" ht="14.25" customHeight="1">
      <c r="A151" s="206"/>
      <c r="B151" s="207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210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</row>
    <row r="152" ht="14.25" customHeight="1">
      <c r="A152" s="206"/>
      <c r="B152" s="207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210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</row>
    <row r="153" ht="14.25" customHeight="1">
      <c r="A153" s="206"/>
      <c r="B153" s="207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210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</row>
    <row r="154" ht="14.25" customHeight="1">
      <c r="A154" s="206"/>
      <c r="B154" s="207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210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</row>
    <row r="155" ht="14.25" customHeight="1">
      <c r="A155" s="206"/>
      <c r="B155" s="207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210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</row>
    <row r="156" ht="14.25" customHeight="1">
      <c r="A156" s="206"/>
      <c r="B156" s="207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210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</row>
    <row r="157" ht="14.25" customHeight="1">
      <c r="A157" s="206"/>
      <c r="B157" s="207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210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 ht="14.25" customHeight="1">
      <c r="A158" s="206"/>
      <c r="B158" s="207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210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</row>
    <row r="159" ht="14.25" customHeight="1">
      <c r="A159" s="206"/>
      <c r="B159" s="207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210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</row>
    <row r="160" ht="14.25" customHeight="1">
      <c r="A160" s="206"/>
      <c r="B160" s="207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210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</row>
    <row r="161" ht="14.25" customHeight="1">
      <c r="A161" s="206"/>
      <c r="B161" s="207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210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</row>
    <row r="162" ht="14.25" customHeight="1">
      <c r="A162" s="206"/>
      <c r="B162" s="207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210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</row>
    <row r="163" ht="14.25" customHeight="1">
      <c r="A163" s="206"/>
      <c r="B163" s="207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210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</row>
    <row r="164" ht="14.25" customHeight="1">
      <c r="A164" s="206"/>
      <c r="B164" s="207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210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</row>
    <row r="165" ht="14.25" customHeight="1">
      <c r="A165" s="206"/>
      <c r="B165" s="207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210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</row>
    <row r="166" ht="14.25" customHeight="1">
      <c r="A166" s="206"/>
      <c r="B166" s="207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210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</row>
    <row r="167" ht="14.25" customHeight="1">
      <c r="A167" s="206"/>
      <c r="B167" s="207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210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</row>
    <row r="168" ht="14.25" customHeight="1">
      <c r="A168" s="206"/>
      <c r="B168" s="207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210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</row>
    <row r="169" ht="14.25" customHeight="1">
      <c r="A169" s="206"/>
      <c r="B169" s="207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210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</row>
    <row r="170" ht="14.25" customHeight="1">
      <c r="A170" s="206"/>
      <c r="B170" s="207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210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</row>
    <row r="171" ht="14.25" customHeight="1">
      <c r="A171" s="206"/>
      <c r="B171" s="207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210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</row>
    <row r="172" ht="14.25" customHeight="1">
      <c r="A172" s="206"/>
      <c r="B172" s="207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210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</row>
    <row r="173" ht="14.25" customHeight="1">
      <c r="A173" s="206"/>
      <c r="B173" s="207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210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</row>
    <row r="174" ht="14.25" customHeight="1">
      <c r="A174" s="206"/>
      <c r="B174" s="207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210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</row>
    <row r="175" ht="14.25" customHeight="1">
      <c r="A175" s="206"/>
      <c r="B175" s="207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210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</row>
    <row r="176" ht="14.25" customHeight="1">
      <c r="A176" s="206"/>
      <c r="B176" s="207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210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</row>
    <row r="177" ht="14.25" customHeight="1">
      <c r="A177" s="206"/>
      <c r="B177" s="207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210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</row>
    <row r="178" ht="14.25" customHeight="1">
      <c r="A178" s="206"/>
      <c r="B178" s="207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210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</row>
    <row r="179" ht="14.25" customHeight="1">
      <c r="A179" s="206"/>
      <c r="B179" s="207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210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</row>
    <row r="180" ht="14.25" customHeight="1">
      <c r="A180" s="206"/>
      <c r="B180" s="207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210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</row>
    <row r="181" ht="14.25" customHeight="1">
      <c r="A181" s="206"/>
      <c r="B181" s="207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210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</row>
    <row r="182" ht="14.25" customHeight="1">
      <c r="A182" s="206"/>
      <c r="B182" s="207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210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</row>
    <row r="183" ht="14.25" customHeight="1">
      <c r="A183" s="206"/>
      <c r="B183" s="207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210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</row>
    <row r="184" ht="14.25" customHeight="1">
      <c r="A184" s="206"/>
      <c r="B184" s="207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210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</row>
    <row r="185" ht="14.25" customHeight="1">
      <c r="A185" s="206"/>
      <c r="B185" s="207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210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</row>
    <row r="186" ht="14.25" customHeight="1">
      <c r="A186" s="206"/>
      <c r="B186" s="207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210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</row>
    <row r="187" ht="14.25" customHeight="1">
      <c r="A187" s="206"/>
      <c r="B187" s="207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210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</row>
    <row r="188" ht="14.25" customHeight="1">
      <c r="A188" s="206"/>
      <c r="B188" s="207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210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</row>
    <row r="189" ht="14.25" customHeight="1">
      <c r="A189" s="206"/>
      <c r="B189" s="207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210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</row>
    <row r="190" ht="14.25" customHeight="1">
      <c r="A190" s="206"/>
      <c r="B190" s="207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210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</row>
    <row r="191" ht="14.25" customHeight="1">
      <c r="A191" s="206"/>
      <c r="B191" s="207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210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</row>
    <row r="192" ht="14.25" customHeight="1">
      <c r="A192" s="206"/>
      <c r="B192" s="207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210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</row>
    <row r="193" ht="14.25" customHeight="1">
      <c r="A193" s="206"/>
      <c r="B193" s="207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210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</row>
    <row r="194" ht="14.25" customHeight="1">
      <c r="A194" s="206"/>
      <c r="B194" s="207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210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</row>
    <row r="195" ht="14.25" customHeight="1">
      <c r="A195" s="206"/>
      <c r="B195" s="207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210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</row>
    <row r="196" ht="14.25" customHeight="1">
      <c r="A196" s="206"/>
      <c r="B196" s="207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210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</row>
    <row r="197" ht="14.25" customHeight="1">
      <c r="A197" s="206"/>
      <c r="B197" s="207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210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</row>
    <row r="198" ht="14.25" customHeight="1">
      <c r="A198" s="206"/>
      <c r="B198" s="207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210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</row>
    <row r="199" ht="14.25" customHeight="1">
      <c r="A199" s="206"/>
      <c r="B199" s="207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210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</row>
    <row r="200" ht="14.25" customHeight="1">
      <c r="A200" s="206"/>
      <c r="B200" s="207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210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</row>
    <row r="201" ht="14.25" customHeight="1">
      <c r="A201" s="206"/>
      <c r="B201" s="207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210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</row>
    <row r="202" ht="14.25" customHeight="1">
      <c r="A202" s="206"/>
      <c r="B202" s="207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210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 ht="14.25" customHeight="1">
      <c r="A203" s="206"/>
      <c r="B203" s="207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210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</row>
    <row r="204" ht="14.25" customHeight="1">
      <c r="A204" s="206"/>
      <c r="B204" s="207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210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</row>
    <row r="205" ht="14.25" customHeight="1">
      <c r="A205" s="206"/>
      <c r="B205" s="207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210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</row>
    <row r="206" ht="14.25" customHeight="1">
      <c r="A206" s="206"/>
      <c r="B206" s="207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210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</row>
    <row r="207" ht="14.25" customHeight="1">
      <c r="A207" s="206"/>
      <c r="B207" s="207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210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</row>
    <row r="208" ht="14.25" customHeight="1">
      <c r="A208" s="206"/>
      <c r="B208" s="207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210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</row>
    <row r="209" ht="14.25" customHeight="1">
      <c r="A209" s="206"/>
      <c r="B209" s="207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210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</row>
    <row r="210" ht="14.25" customHeight="1">
      <c r="A210" s="206"/>
      <c r="B210" s="207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210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</row>
    <row r="211" ht="14.25" customHeight="1">
      <c r="A211" s="206"/>
      <c r="B211" s="207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210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</row>
    <row r="212" ht="14.25" customHeight="1">
      <c r="A212" s="206"/>
      <c r="B212" s="207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210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</row>
    <row r="213" ht="14.25" customHeight="1">
      <c r="A213" s="206"/>
      <c r="B213" s="207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210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</row>
    <row r="214" ht="14.25" customHeight="1">
      <c r="A214" s="206"/>
      <c r="B214" s="207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210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</row>
    <row r="215" ht="14.25" customHeight="1">
      <c r="A215" s="206"/>
      <c r="B215" s="207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210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</row>
    <row r="216" ht="14.25" customHeight="1">
      <c r="A216" s="206"/>
      <c r="B216" s="207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210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</row>
    <row r="217" ht="14.25" customHeight="1">
      <c r="A217" s="206"/>
      <c r="B217" s="207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210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</row>
    <row r="218" ht="14.25" customHeight="1">
      <c r="A218" s="206"/>
      <c r="B218" s="207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210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</row>
    <row r="219" ht="14.25" customHeight="1">
      <c r="A219" s="206"/>
      <c r="B219" s="207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210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</row>
    <row r="220" ht="14.25" customHeight="1">
      <c r="A220" s="206"/>
      <c r="B220" s="207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210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</row>
    <row r="221" ht="14.25" customHeight="1">
      <c r="A221" s="206"/>
      <c r="B221" s="207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210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</row>
    <row r="222" ht="14.25" customHeight="1">
      <c r="A222" s="206"/>
      <c r="B222" s="207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210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</row>
    <row r="223" ht="14.25" customHeight="1">
      <c r="A223" s="206"/>
      <c r="B223" s="207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210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</row>
    <row r="224" ht="14.25" customHeight="1">
      <c r="A224" s="206"/>
      <c r="B224" s="207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210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</row>
    <row r="225" ht="14.25" customHeight="1">
      <c r="A225" s="206"/>
      <c r="B225" s="207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210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</row>
    <row r="226" ht="14.25" customHeight="1">
      <c r="A226" s="206"/>
      <c r="B226" s="207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210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</row>
    <row r="227" ht="14.25" customHeight="1">
      <c r="A227" s="206"/>
      <c r="B227" s="207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210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</row>
    <row r="228" ht="14.25" customHeight="1">
      <c r="A228" s="206"/>
      <c r="B228" s="207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210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</row>
    <row r="229" ht="14.25" customHeight="1">
      <c r="A229" s="206"/>
      <c r="B229" s="207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210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</row>
    <row r="230" ht="14.25" customHeight="1">
      <c r="A230" s="206"/>
      <c r="B230" s="207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210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</row>
    <row r="231" ht="14.25" customHeight="1">
      <c r="A231" s="206"/>
      <c r="B231" s="207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210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</row>
    <row r="232" ht="14.25" customHeight="1">
      <c r="A232" s="206"/>
      <c r="B232" s="207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210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</row>
    <row r="233" ht="14.25" customHeight="1">
      <c r="A233" s="206"/>
      <c r="B233" s="207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210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</row>
    <row r="234" ht="14.25" customHeight="1">
      <c r="A234" s="206"/>
      <c r="B234" s="207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210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</row>
    <row r="235" ht="14.25" customHeight="1">
      <c r="A235" s="206"/>
      <c r="B235" s="207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210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</row>
    <row r="236" ht="14.25" customHeight="1">
      <c r="A236" s="206"/>
      <c r="B236" s="207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210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</row>
    <row r="237" ht="14.25" customHeight="1">
      <c r="A237" s="206"/>
      <c r="B237" s="207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210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</row>
    <row r="238" ht="14.25" customHeight="1">
      <c r="A238" s="206"/>
      <c r="B238" s="207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210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</row>
    <row r="239" ht="14.25" customHeight="1">
      <c r="A239" s="206"/>
      <c r="B239" s="207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210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</row>
    <row r="240" ht="14.25" customHeight="1">
      <c r="A240" s="206"/>
      <c r="B240" s="207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210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</row>
    <row r="241" ht="14.25" customHeight="1">
      <c r="A241" s="206"/>
      <c r="B241" s="207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210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</row>
    <row r="242" ht="14.25" customHeight="1">
      <c r="A242" s="206"/>
      <c r="B242" s="207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210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</row>
    <row r="243" ht="14.25" customHeight="1">
      <c r="A243" s="206"/>
      <c r="B243" s="207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210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</row>
    <row r="244" ht="14.25" customHeight="1">
      <c r="A244" s="206"/>
      <c r="B244" s="207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210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</row>
    <row r="245" ht="14.25" customHeight="1">
      <c r="A245" s="206"/>
      <c r="B245" s="207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210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</row>
    <row r="246" ht="14.25" customHeight="1">
      <c r="A246" s="206"/>
      <c r="B246" s="207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210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</row>
    <row r="247" ht="14.25" customHeight="1">
      <c r="A247" s="206"/>
      <c r="B247" s="207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210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</row>
    <row r="248" ht="14.25" customHeight="1">
      <c r="A248" s="206"/>
      <c r="B248" s="207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210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</row>
    <row r="249" ht="14.25" customHeight="1">
      <c r="A249" s="206"/>
      <c r="B249" s="207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210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</row>
    <row r="250" ht="14.25" customHeight="1">
      <c r="A250" s="206"/>
      <c r="B250" s="207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210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</row>
    <row r="251" ht="14.25" customHeight="1">
      <c r="A251" s="206"/>
      <c r="B251" s="207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210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</row>
    <row r="252" ht="14.25" customHeight="1">
      <c r="A252" s="206"/>
      <c r="B252" s="207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210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</row>
    <row r="253" ht="14.25" customHeight="1">
      <c r="A253" s="206"/>
      <c r="B253" s="207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210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</row>
    <row r="254" ht="14.25" customHeight="1">
      <c r="A254" s="206"/>
      <c r="B254" s="207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210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</row>
    <row r="255" ht="14.25" customHeight="1">
      <c r="A255" s="206"/>
      <c r="B255" s="207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210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</row>
    <row r="256" ht="14.25" customHeight="1">
      <c r="A256" s="206"/>
      <c r="B256" s="207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210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</row>
    <row r="257" ht="14.25" customHeight="1">
      <c r="A257" s="206"/>
      <c r="B257" s="207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210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</row>
    <row r="258" ht="14.25" customHeight="1">
      <c r="A258" s="206"/>
      <c r="B258" s="207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210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</row>
    <row r="259" ht="14.25" customHeight="1">
      <c r="A259" s="206"/>
      <c r="B259" s="207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210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</row>
    <row r="260" ht="14.25" customHeight="1">
      <c r="A260" s="206"/>
      <c r="B260" s="207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210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</row>
    <row r="261" ht="14.25" customHeight="1">
      <c r="A261" s="206"/>
      <c r="B261" s="207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210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</row>
    <row r="262" ht="14.25" customHeight="1">
      <c r="A262" s="206"/>
      <c r="B262" s="207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210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</row>
    <row r="263" ht="14.25" customHeight="1">
      <c r="A263" s="206"/>
      <c r="B263" s="207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210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</row>
    <row r="264" ht="14.25" customHeight="1">
      <c r="A264" s="206"/>
      <c r="B264" s="207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210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</row>
    <row r="265" ht="14.25" customHeight="1">
      <c r="A265" s="206"/>
      <c r="B265" s="207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210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</row>
    <row r="266" ht="14.25" customHeight="1">
      <c r="A266" s="206"/>
      <c r="B266" s="207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210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</row>
    <row r="267" ht="14.25" customHeight="1">
      <c r="A267" s="206"/>
      <c r="B267" s="207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210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</row>
    <row r="268" ht="14.25" customHeight="1">
      <c r="A268" s="206"/>
      <c r="B268" s="207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210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</row>
    <row r="269" ht="14.25" customHeight="1">
      <c r="A269" s="206"/>
      <c r="B269" s="207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210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</row>
    <row r="270" ht="14.25" customHeight="1">
      <c r="A270" s="206"/>
      <c r="B270" s="207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210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</row>
    <row r="271" ht="14.25" customHeight="1">
      <c r="A271" s="206"/>
      <c r="B271" s="207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210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</row>
    <row r="272" ht="14.25" customHeight="1">
      <c r="A272" s="206"/>
      <c r="B272" s="207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210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</row>
    <row r="273" ht="14.25" customHeight="1">
      <c r="A273" s="206"/>
      <c r="B273" s="207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210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</row>
    <row r="274" ht="14.25" customHeight="1">
      <c r="A274" s="206"/>
      <c r="B274" s="207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210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</row>
    <row r="275" ht="14.25" customHeight="1">
      <c r="A275" s="206"/>
      <c r="B275" s="207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210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</row>
    <row r="276" ht="14.25" customHeight="1">
      <c r="A276" s="206"/>
      <c r="B276" s="207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210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</row>
    <row r="277" ht="14.25" customHeight="1">
      <c r="A277" s="206"/>
      <c r="B277" s="207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210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</row>
    <row r="278" ht="15.75" customHeight="1">
      <c r="A278" s="207"/>
      <c r="B278" s="207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210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</row>
    <row r="279" ht="15.75" customHeight="1">
      <c r="A279" s="207"/>
      <c r="B279" s="207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210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</row>
    <row r="280" ht="15.75" customHeight="1">
      <c r="A280" s="207"/>
      <c r="B280" s="207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210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</row>
    <row r="281" ht="15.75" customHeight="1">
      <c r="A281" s="207"/>
      <c r="B281" s="207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210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</row>
    <row r="282" ht="15.75" customHeight="1">
      <c r="A282" s="207"/>
      <c r="B282" s="207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210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</row>
    <row r="283" ht="15.75" customHeight="1">
      <c r="A283" s="207"/>
      <c r="B283" s="207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210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</row>
    <row r="284" ht="15.75" customHeight="1">
      <c r="A284" s="207"/>
      <c r="B284" s="207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210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</row>
    <row r="285" ht="15.75" customHeight="1">
      <c r="A285" s="207"/>
      <c r="B285" s="207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210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</row>
    <row r="286" ht="15.75" customHeight="1">
      <c r="A286" s="207"/>
      <c r="B286" s="207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210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</row>
    <row r="287" ht="15.75" customHeight="1">
      <c r="A287" s="207"/>
      <c r="B287" s="207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210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</row>
    <row r="288" ht="15.75" customHeight="1">
      <c r="A288" s="207"/>
      <c r="B288" s="207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210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</row>
    <row r="289" ht="15.75" customHeight="1">
      <c r="A289" s="207"/>
      <c r="B289" s="207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210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</row>
    <row r="290" ht="15.75" customHeight="1">
      <c r="A290" s="207"/>
      <c r="B290" s="207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210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</row>
    <row r="291" ht="15.75" customHeight="1">
      <c r="A291" s="207"/>
      <c r="B291" s="207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210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</row>
    <row r="292" ht="15.75" customHeight="1">
      <c r="A292" s="207"/>
      <c r="B292" s="207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210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</row>
    <row r="293" ht="15.75" customHeight="1">
      <c r="A293" s="207"/>
      <c r="B293" s="207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210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</row>
    <row r="294" ht="15.75" customHeight="1">
      <c r="A294" s="207"/>
      <c r="B294" s="207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210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</row>
    <row r="295" ht="15.75" customHeight="1">
      <c r="A295" s="207"/>
      <c r="B295" s="207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210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</row>
    <row r="296" ht="15.75" customHeight="1">
      <c r="A296" s="207"/>
      <c r="B296" s="207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210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</row>
    <row r="297" ht="15.75" customHeight="1">
      <c r="A297" s="207"/>
      <c r="B297" s="207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210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</row>
    <row r="298" ht="15.75" customHeight="1">
      <c r="A298" s="207"/>
      <c r="B298" s="207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210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</row>
    <row r="299" ht="15.75" customHeight="1">
      <c r="A299" s="207"/>
      <c r="B299" s="207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210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</row>
    <row r="300" ht="15.75" customHeight="1">
      <c r="A300" s="207"/>
      <c r="B300" s="207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210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</row>
    <row r="301" ht="15.75" customHeight="1">
      <c r="A301" s="207"/>
      <c r="B301" s="207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210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</row>
    <row r="302" ht="15.75" customHeight="1">
      <c r="A302" s="207"/>
      <c r="B302" s="207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210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</row>
    <row r="303" ht="15.75" customHeight="1">
      <c r="A303" s="207"/>
      <c r="B303" s="207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210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</row>
    <row r="304" ht="15.75" customHeight="1">
      <c r="A304" s="207"/>
      <c r="B304" s="207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210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</row>
    <row r="305" ht="15.75" customHeight="1">
      <c r="A305" s="207"/>
      <c r="B305" s="207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210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</row>
    <row r="306" ht="15.75" customHeight="1">
      <c r="A306" s="207"/>
      <c r="B306" s="207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210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</row>
    <row r="307" ht="15.75" customHeight="1">
      <c r="A307" s="207"/>
      <c r="B307" s="207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210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</row>
    <row r="308" ht="15.75" customHeight="1">
      <c r="A308" s="207"/>
      <c r="B308" s="207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210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</row>
    <row r="309" ht="15.75" customHeight="1">
      <c r="A309" s="207"/>
      <c r="B309" s="207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210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</row>
    <row r="310" ht="15.75" customHeight="1">
      <c r="A310" s="207"/>
      <c r="B310" s="207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210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</row>
    <row r="311" ht="15.75" customHeight="1">
      <c r="A311" s="207"/>
      <c r="B311" s="207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210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</row>
    <row r="312" ht="15.75" customHeight="1">
      <c r="A312" s="207"/>
      <c r="B312" s="207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210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</row>
    <row r="313" ht="15.75" customHeight="1">
      <c r="A313" s="207"/>
      <c r="B313" s="207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210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</row>
    <row r="314" ht="15.75" customHeight="1">
      <c r="A314" s="207"/>
      <c r="B314" s="207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210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</row>
    <row r="315" ht="15.75" customHeight="1">
      <c r="A315" s="207"/>
      <c r="B315" s="207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210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</row>
    <row r="316" ht="15.75" customHeight="1">
      <c r="A316" s="207"/>
      <c r="B316" s="207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210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</row>
    <row r="317" ht="15.75" customHeight="1">
      <c r="A317" s="207"/>
      <c r="B317" s="207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210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</row>
    <row r="318" ht="15.75" customHeight="1">
      <c r="A318" s="207"/>
      <c r="B318" s="207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210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</row>
    <row r="319" ht="15.75" customHeight="1">
      <c r="A319" s="207"/>
      <c r="B319" s="207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210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</row>
    <row r="320" ht="15.75" customHeight="1">
      <c r="A320" s="207"/>
      <c r="B320" s="207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210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</row>
    <row r="321" ht="15.75" customHeight="1">
      <c r="A321" s="207"/>
      <c r="B321" s="207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210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</row>
    <row r="322" ht="15.75" customHeight="1">
      <c r="A322" s="207"/>
      <c r="B322" s="207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210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</row>
    <row r="323" ht="15.75" customHeight="1">
      <c r="A323" s="207"/>
      <c r="B323" s="207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210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</row>
    <row r="324" ht="15.75" customHeight="1">
      <c r="A324" s="207"/>
      <c r="B324" s="207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210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</row>
    <row r="325" ht="15.75" customHeight="1">
      <c r="A325" s="207"/>
      <c r="B325" s="207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210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</row>
    <row r="326" ht="15.75" customHeight="1">
      <c r="A326" s="207"/>
      <c r="B326" s="207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210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</row>
    <row r="327" ht="15.75" customHeight="1">
      <c r="A327" s="207"/>
      <c r="B327" s="207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210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</row>
    <row r="328" ht="15.75" customHeight="1">
      <c r="A328" s="207"/>
      <c r="B328" s="207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210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</row>
    <row r="329" ht="15.75" customHeight="1">
      <c r="A329" s="207"/>
      <c r="B329" s="207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210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</row>
    <row r="330" ht="15.75" customHeight="1">
      <c r="A330" s="207"/>
      <c r="B330" s="207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210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</row>
    <row r="331" ht="15.75" customHeight="1">
      <c r="A331" s="207"/>
      <c r="B331" s="207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210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</row>
    <row r="332" ht="15.75" customHeight="1">
      <c r="A332" s="207"/>
      <c r="B332" s="207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210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</row>
    <row r="333" ht="15.75" customHeight="1">
      <c r="A333" s="207"/>
      <c r="B333" s="207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210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</row>
    <row r="334" ht="15.75" customHeight="1">
      <c r="A334" s="207"/>
      <c r="B334" s="207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210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</row>
    <row r="335" ht="15.75" customHeight="1">
      <c r="A335" s="207"/>
      <c r="B335" s="207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210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</row>
    <row r="336" ht="15.75" customHeight="1">
      <c r="A336" s="207"/>
      <c r="B336" s="207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210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</row>
    <row r="337" ht="15.75" customHeight="1">
      <c r="A337" s="207"/>
      <c r="B337" s="207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210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</row>
    <row r="338" ht="15.75" customHeight="1">
      <c r="A338" s="207"/>
      <c r="B338" s="207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210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</row>
    <row r="339" ht="15.75" customHeight="1">
      <c r="A339" s="207"/>
      <c r="B339" s="207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210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</row>
    <row r="340" ht="15.75" customHeight="1">
      <c r="A340" s="207"/>
      <c r="B340" s="207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210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</row>
    <row r="341" ht="15.75" customHeight="1">
      <c r="A341" s="207"/>
      <c r="B341" s="207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210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</row>
    <row r="342" ht="15.75" customHeight="1">
      <c r="A342" s="207"/>
      <c r="B342" s="207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210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</row>
    <row r="343" ht="15.75" customHeight="1">
      <c r="A343" s="207"/>
      <c r="B343" s="207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210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</row>
    <row r="344" ht="15.75" customHeight="1">
      <c r="A344" s="207"/>
      <c r="B344" s="207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210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</row>
    <row r="345" ht="15.75" customHeight="1">
      <c r="A345" s="207"/>
      <c r="B345" s="207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210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</row>
    <row r="346" ht="15.75" customHeight="1">
      <c r="A346" s="207"/>
      <c r="B346" s="207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210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</row>
    <row r="347" ht="15.75" customHeight="1">
      <c r="A347" s="207"/>
      <c r="B347" s="207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210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</row>
    <row r="348" ht="15.75" customHeight="1">
      <c r="A348" s="207"/>
      <c r="B348" s="207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210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</row>
    <row r="349" ht="15.75" customHeight="1">
      <c r="A349" s="207"/>
      <c r="B349" s="207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210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</row>
    <row r="350" ht="15.75" customHeight="1">
      <c r="A350" s="207"/>
      <c r="B350" s="207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210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</row>
    <row r="351" ht="15.75" customHeight="1">
      <c r="A351" s="207"/>
      <c r="B351" s="207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210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</row>
    <row r="352" ht="15.75" customHeight="1">
      <c r="A352" s="207"/>
      <c r="B352" s="207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210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</row>
    <row r="353" ht="15.75" customHeight="1">
      <c r="A353" s="207"/>
      <c r="B353" s="207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210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</row>
    <row r="354" ht="15.75" customHeight="1">
      <c r="A354" s="207"/>
      <c r="B354" s="207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210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</row>
    <row r="355" ht="15.75" customHeight="1">
      <c r="A355" s="207"/>
      <c r="B355" s="207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210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</row>
    <row r="356" ht="15.75" customHeight="1">
      <c r="A356" s="207"/>
      <c r="B356" s="207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210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</row>
    <row r="357" ht="15.75" customHeight="1">
      <c r="A357" s="207"/>
      <c r="B357" s="207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210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</row>
    <row r="358" ht="15.75" customHeight="1">
      <c r="A358" s="207"/>
      <c r="B358" s="207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210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</row>
    <row r="359" ht="15.75" customHeight="1">
      <c r="A359" s="207"/>
      <c r="B359" s="207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210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</row>
    <row r="360" ht="15.75" customHeight="1">
      <c r="A360" s="207"/>
      <c r="B360" s="207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210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</row>
    <row r="361" ht="15.75" customHeight="1">
      <c r="A361" s="207"/>
      <c r="B361" s="207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210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</row>
    <row r="362" ht="15.75" customHeight="1">
      <c r="A362" s="207"/>
      <c r="B362" s="207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210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</row>
    <row r="363" ht="15.75" customHeight="1">
      <c r="A363" s="207"/>
      <c r="B363" s="207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210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</row>
    <row r="364" ht="15.75" customHeight="1">
      <c r="A364" s="207"/>
      <c r="B364" s="207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210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</row>
    <row r="365" ht="15.75" customHeight="1">
      <c r="A365" s="207"/>
      <c r="B365" s="207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210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</row>
    <row r="366" ht="15.75" customHeight="1">
      <c r="A366" s="207"/>
      <c r="B366" s="207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210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</row>
    <row r="367" ht="15.75" customHeight="1">
      <c r="A367" s="207"/>
      <c r="B367" s="207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210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</row>
    <row r="368" ht="15.75" customHeight="1">
      <c r="A368" s="207"/>
      <c r="B368" s="207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210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</row>
    <row r="369" ht="15.75" customHeight="1">
      <c r="A369" s="207"/>
      <c r="B369" s="207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210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</row>
    <row r="370" ht="15.75" customHeight="1">
      <c r="A370" s="207"/>
      <c r="B370" s="207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210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</row>
    <row r="371" ht="15.75" customHeight="1">
      <c r="A371" s="207"/>
      <c r="B371" s="207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210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</row>
    <row r="372" ht="15.75" customHeight="1">
      <c r="A372" s="207"/>
      <c r="B372" s="207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210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</row>
    <row r="373" ht="15.75" customHeight="1">
      <c r="A373" s="207"/>
      <c r="B373" s="207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210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</row>
    <row r="374" ht="15.75" customHeight="1">
      <c r="A374" s="207"/>
      <c r="B374" s="207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210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</row>
    <row r="375" ht="15.75" customHeight="1">
      <c r="A375" s="207"/>
      <c r="B375" s="207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210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</row>
    <row r="376" ht="15.75" customHeight="1">
      <c r="A376" s="207"/>
      <c r="B376" s="207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210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</row>
    <row r="377" ht="15.75" customHeight="1">
      <c r="A377" s="207"/>
      <c r="B377" s="207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210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</row>
    <row r="378" ht="15.75" customHeight="1">
      <c r="A378" s="207"/>
      <c r="B378" s="207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210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</row>
    <row r="379" ht="15.75" customHeight="1">
      <c r="A379" s="207"/>
      <c r="B379" s="207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210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</row>
    <row r="380" ht="15.75" customHeight="1">
      <c r="A380" s="207"/>
      <c r="B380" s="207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210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</row>
    <row r="381" ht="15.75" customHeight="1">
      <c r="A381" s="207"/>
      <c r="B381" s="207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210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</row>
    <row r="382" ht="15.75" customHeight="1">
      <c r="A382" s="207"/>
      <c r="B382" s="207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210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</row>
    <row r="383" ht="15.75" customHeight="1">
      <c r="A383" s="207"/>
      <c r="B383" s="207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210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</row>
    <row r="384" ht="15.75" customHeight="1">
      <c r="A384" s="207"/>
      <c r="B384" s="207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210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</row>
    <row r="385" ht="15.75" customHeight="1">
      <c r="A385" s="207"/>
      <c r="B385" s="207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210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</row>
    <row r="386" ht="15.75" customHeight="1">
      <c r="A386" s="207"/>
      <c r="B386" s="207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210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</row>
    <row r="387" ht="15.75" customHeight="1">
      <c r="A387" s="207"/>
      <c r="B387" s="207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210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</row>
    <row r="388" ht="15.75" customHeight="1">
      <c r="A388" s="207"/>
      <c r="B388" s="207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210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</row>
    <row r="389" ht="15.75" customHeight="1">
      <c r="A389" s="207"/>
      <c r="B389" s="207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210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</row>
    <row r="390" ht="15.75" customHeight="1">
      <c r="A390" s="207"/>
      <c r="B390" s="207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210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</row>
    <row r="391" ht="15.75" customHeight="1">
      <c r="A391" s="207"/>
      <c r="B391" s="207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210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</row>
    <row r="392" ht="15.75" customHeight="1">
      <c r="A392" s="207"/>
      <c r="B392" s="207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210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</row>
    <row r="393" ht="15.75" customHeight="1">
      <c r="A393" s="207"/>
      <c r="B393" s="207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210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</row>
    <row r="394" ht="15.75" customHeight="1">
      <c r="A394" s="207"/>
      <c r="B394" s="207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210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</row>
    <row r="395" ht="15.75" customHeight="1">
      <c r="A395" s="207"/>
      <c r="B395" s="207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210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</row>
    <row r="396" ht="15.75" customHeight="1">
      <c r="A396" s="207"/>
      <c r="B396" s="207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210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</row>
    <row r="397" ht="15.75" customHeight="1">
      <c r="A397" s="207"/>
      <c r="B397" s="207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210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</row>
    <row r="398" ht="15.75" customHeight="1">
      <c r="A398" s="207"/>
      <c r="B398" s="207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210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</row>
    <row r="399" ht="15.75" customHeight="1">
      <c r="A399" s="207"/>
      <c r="B399" s="207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210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</row>
    <row r="400" ht="15.75" customHeight="1">
      <c r="A400" s="207"/>
      <c r="B400" s="207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210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</row>
    <row r="401" ht="15.75" customHeight="1">
      <c r="A401" s="207"/>
      <c r="B401" s="207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210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</row>
    <row r="402" ht="15.75" customHeight="1">
      <c r="A402" s="207"/>
      <c r="B402" s="207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210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</row>
    <row r="403" ht="15.75" customHeight="1">
      <c r="A403" s="207"/>
      <c r="B403" s="207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210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</row>
    <row r="404" ht="15.75" customHeight="1">
      <c r="A404" s="207"/>
      <c r="B404" s="207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210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</row>
    <row r="405" ht="15.75" customHeight="1">
      <c r="A405" s="207"/>
      <c r="B405" s="207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210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</row>
    <row r="406" ht="15.75" customHeight="1">
      <c r="A406" s="207"/>
      <c r="B406" s="207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210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</row>
    <row r="407" ht="15.75" customHeight="1">
      <c r="A407" s="207"/>
      <c r="B407" s="207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210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</row>
    <row r="408" ht="15.75" customHeight="1">
      <c r="A408" s="207"/>
      <c r="B408" s="207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210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</row>
    <row r="409" ht="15.75" customHeight="1">
      <c r="A409" s="207"/>
      <c r="B409" s="207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210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</row>
    <row r="410" ht="15.75" customHeight="1">
      <c r="A410" s="207"/>
      <c r="B410" s="207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210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</row>
    <row r="411" ht="15.75" customHeight="1">
      <c r="A411" s="207"/>
      <c r="B411" s="207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210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</row>
    <row r="412" ht="15.75" customHeight="1">
      <c r="A412" s="207"/>
      <c r="B412" s="207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210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</row>
    <row r="413" ht="15.75" customHeight="1">
      <c r="A413" s="207"/>
      <c r="B413" s="207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210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</row>
    <row r="414" ht="15.75" customHeight="1">
      <c r="A414" s="207"/>
      <c r="B414" s="207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210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</row>
    <row r="415" ht="15.75" customHeight="1">
      <c r="A415" s="207"/>
      <c r="B415" s="207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210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</row>
    <row r="416" ht="15.75" customHeight="1">
      <c r="A416" s="207"/>
      <c r="B416" s="207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210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</row>
    <row r="417" ht="15.75" customHeight="1">
      <c r="A417" s="207"/>
      <c r="B417" s="207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210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</row>
    <row r="418" ht="15.75" customHeight="1">
      <c r="A418" s="207"/>
      <c r="B418" s="207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210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</row>
    <row r="419" ht="15.75" customHeight="1">
      <c r="A419" s="207"/>
      <c r="B419" s="207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210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</row>
    <row r="420" ht="15.75" customHeight="1">
      <c r="A420" s="207"/>
      <c r="B420" s="207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210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</row>
    <row r="421" ht="15.75" customHeight="1">
      <c r="A421" s="207"/>
      <c r="B421" s="207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210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</row>
    <row r="422" ht="15.75" customHeight="1">
      <c r="A422" s="207"/>
      <c r="B422" s="207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210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</row>
    <row r="423" ht="15.75" customHeight="1">
      <c r="A423" s="207"/>
      <c r="B423" s="207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210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</row>
    <row r="424" ht="15.75" customHeight="1">
      <c r="A424" s="207"/>
      <c r="B424" s="207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210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</row>
    <row r="425" ht="15.75" customHeight="1">
      <c r="A425" s="207"/>
      <c r="B425" s="207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210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</row>
    <row r="426" ht="15.75" customHeight="1">
      <c r="A426" s="207"/>
      <c r="B426" s="207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210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</row>
    <row r="427" ht="15.75" customHeight="1">
      <c r="A427" s="207"/>
      <c r="B427" s="207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210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</row>
    <row r="428" ht="15.75" customHeight="1">
      <c r="A428" s="207"/>
      <c r="B428" s="207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210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</row>
    <row r="429" ht="15.75" customHeight="1">
      <c r="A429" s="207"/>
      <c r="B429" s="207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210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</row>
    <row r="430" ht="15.75" customHeight="1">
      <c r="A430" s="207"/>
      <c r="B430" s="207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210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</row>
    <row r="431" ht="15.75" customHeight="1">
      <c r="A431" s="207"/>
      <c r="B431" s="207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210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</row>
    <row r="432" ht="15.75" customHeight="1">
      <c r="A432" s="207"/>
      <c r="B432" s="207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210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</row>
    <row r="433" ht="15.75" customHeight="1">
      <c r="A433" s="207"/>
      <c r="B433" s="207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210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</row>
    <row r="434" ht="15.75" customHeight="1">
      <c r="A434" s="207"/>
      <c r="B434" s="207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210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</row>
    <row r="435" ht="15.75" customHeight="1">
      <c r="A435" s="207"/>
      <c r="B435" s="207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210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</row>
    <row r="436" ht="15.75" customHeight="1">
      <c r="A436" s="207"/>
      <c r="B436" s="207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210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</row>
    <row r="437" ht="15.75" customHeight="1">
      <c r="A437" s="207"/>
      <c r="B437" s="207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210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</row>
    <row r="438" ht="15.75" customHeight="1">
      <c r="A438" s="207"/>
      <c r="B438" s="207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210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</row>
    <row r="439" ht="15.75" customHeight="1">
      <c r="A439" s="207"/>
      <c r="B439" s="207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210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</row>
    <row r="440" ht="15.75" customHeight="1">
      <c r="A440" s="207"/>
      <c r="B440" s="207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210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</row>
    <row r="441" ht="15.75" customHeight="1">
      <c r="A441" s="207"/>
      <c r="B441" s="207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210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</row>
    <row r="442" ht="15.75" customHeight="1">
      <c r="A442" s="207"/>
      <c r="B442" s="207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210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</row>
    <row r="443" ht="15.75" customHeight="1">
      <c r="A443" s="207"/>
      <c r="B443" s="207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210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</row>
    <row r="444" ht="15.75" customHeight="1">
      <c r="A444" s="207"/>
      <c r="B444" s="207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210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</row>
    <row r="445" ht="15.75" customHeight="1">
      <c r="A445" s="207"/>
      <c r="B445" s="207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210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</row>
    <row r="446" ht="15.75" customHeight="1">
      <c r="A446" s="207"/>
      <c r="B446" s="207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210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</row>
    <row r="447" ht="15.75" customHeight="1">
      <c r="A447" s="207"/>
      <c r="B447" s="207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210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</row>
    <row r="448" ht="15.75" customHeight="1">
      <c r="A448" s="207"/>
      <c r="B448" s="207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210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</row>
    <row r="449" ht="15.75" customHeight="1">
      <c r="A449" s="207"/>
      <c r="B449" s="207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210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</row>
    <row r="450" ht="15.75" customHeight="1">
      <c r="A450" s="207"/>
      <c r="B450" s="207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210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</row>
    <row r="451" ht="15.75" customHeight="1">
      <c r="A451" s="207"/>
      <c r="B451" s="207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210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</row>
    <row r="452" ht="15.75" customHeight="1">
      <c r="A452" s="207"/>
      <c r="B452" s="207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210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</row>
    <row r="453" ht="15.75" customHeight="1">
      <c r="A453" s="207"/>
      <c r="B453" s="207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210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</row>
    <row r="454" ht="15.75" customHeight="1">
      <c r="A454" s="207"/>
      <c r="B454" s="207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210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</row>
    <row r="455" ht="15.75" customHeight="1">
      <c r="A455" s="207"/>
      <c r="B455" s="207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210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</row>
    <row r="456" ht="15.75" customHeight="1">
      <c r="A456" s="207"/>
      <c r="B456" s="207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210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</row>
    <row r="457" ht="15.75" customHeight="1">
      <c r="A457" s="207"/>
      <c r="B457" s="207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210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</row>
    <row r="458" ht="15.75" customHeight="1">
      <c r="A458" s="207"/>
      <c r="B458" s="207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210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</row>
    <row r="459" ht="15.75" customHeight="1">
      <c r="A459" s="207"/>
      <c r="B459" s="207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210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</row>
    <row r="460" ht="15.75" customHeight="1">
      <c r="A460" s="207"/>
      <c r="B460" s="207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210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</row>
    <row r="461" ht="15.75" customHeight="1">
      <c r="A461" s="207"/>
      <c r="B461" s="207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210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</row>
    <row r="462" ht="15.75" customHeight="1">
      <c r="A462" s="207"/>
      <c r="B462" s="207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210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</row>
    <row r="463" ht="15.75" customHeight="1">
      <c r="A463" s="207"/>
      <c r="B463" s="207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210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</row>
    <row r="464" ht="15.75" customHeight="1">
      <c r="A464" s="207"/>
      <c r="B464" s="207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210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</row>
    <row r="465" ht="15.75" customHeight="1">
      <c r="A465" s="207"/>
      <c r="B465" s="207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210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</row>
    <row r="466" ht="15.75" customHeight="1">
      <c r="A466" s="207"/>
      <c r="B466" s="207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210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</row>
    <row r="467" ht="15.75" customHeight="1">
      <c r="A467" s="207"/>
      <c r="B467" s="207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210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</row>
    <row r="468" ht="15.75" customHeight="1">
      <c r="A468" s="207"/>
      <c r="B468" s="207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210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</row>
    <row r="469" ht="15.75" customHeight="1">
      <c r="A469" s="207"/>
      <c r="B469" s="207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210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</row>
    <row r="470" ht="15.75" customHeight="1">
      <c r="A470" s="207"/>
      <c r="B470" s="207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210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</row>
    <row r="471" ht="15.75" customHeight="1">
      <c r="A471" s="207"/>
      <c r="B471" s="207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210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</row>
    <row r="472" ht="15.75" customHeight="1">
      <c r="A472" s="207"/>
      <c r="B472" s="207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210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</row>
    <row r="473" ht="15.75" customHeight="1">
      <c r="A473" s="207"/>
      <c r="B473" s="207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210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</row>
    <row r="474" ht="15.75" customHeight="1">
      <c r="A474" s="207"/>
      <c r="B474" s="207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210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</row>
    <row r="475" ht="15.75" customHeight="1">
      <c r="A475" s="207"/>
      <c r="B475" s="207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210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</row>
    <row r="476" ht="15.75" customHeight="1">
      <c r="A476" s="207"/>
      <c r="B476" s="207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210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</row>
    <row r="477" ht="15.75" customHeight="1">
      <c r="A477" s="207"/>
      <c r="B477" s="207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210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</row>
    <row r="478" ht="15.75" customHeight="1">
      <c r="A478" s="207"/>
      <c r="B478" s="207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210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</row>
    <row r="479" ht="15.75" customHeight="1">
      <c r="A479" s="207"/>
      <c r="B479" s="207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210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</row>
    <row r="480" ht="15.75" customHeight="1">
      <c r="A480" s="207"/>
      <c r="B480" s="207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210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</row>
    <row r="481" ht="15.75" customHeight="1">
      <c r="A481" s="207"/>
      <c r="B481" s="207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210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</row>
    <row r="482" ht="15.75" customHeight="1">
      <c r="A482" s="207"/>
      <c r="B482" s="207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210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</row>
    <row r="483" ht="15.75" customHeight="1">
      <c r="A483" s="207"/>
      <c r="B483" s="207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210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</row>
    <row r="484" ht="15.75" customHeight="1">
      <c r="A484" s="207"/>
      <c r="B484" s="207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210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</row>
    <row r="485" ht="15.75" customHeight="1">
      <c r="A485" s="207"/>
      <c r="B485" s="207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210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</row>
    <row r="486" ht="15.75" customHeight="1">
      <c r="A486" s="207"/>
      <c r="B486" s="207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210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</row>
    <row r="487" ht="15.75" customHeight="1">
      <c r="A487" s="207"/>
      <c r="B487" s="207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210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</row>
    <row r="488" ht="15.75" customHeight="1">
      <c r="A488" s="207"/>
      <c r="B488" s="207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210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</row>
    <row r="489" ht="15.75" customHeight="1">
      <c r="A489" s="207"/>
      <c r="B489" s="207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210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</row>
    <row r="490" ht="15.75" customHeight="1">
      <c r="A490" s="207"/>
      <c r="B490" s="207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210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</row>
    <row r="491" ht="15.75" customHeight="1">
      <c r="A491" s="207"/>
      <c r="B491" s="207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210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</row>
    <row r="492" ht="15.75" customHeight="1">
      <c r="A492" s="207"/>
      <c r="B492" s="207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210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</row>
    <row r="493" ht="15.75" customHeight="1">
      <c r="A493" s="207"/>
      <c r="B493" s="207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210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</row>
    <row r="494" ht="15.75" customHeight="1">
      <c r="A494" s="207"/>
      <c r="B494" s="207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210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</row>
    <row r="495" ht="15.75" customHeight="1">
      <c r="A495" s="207"/>
      <c r="B495" s="207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210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</row>
    <row r="496" ht="15.75" customHeight="1">
      <c r="A496" s="207"/>
      <c r="B496" s="207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210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</row>
    <row r="497" ht="15.75" customHeight="1">
      <c r="A497" s="207"/>
      <c r="B497" s="207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210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</row>
    <row r="498" ht="15.75" customHeight="1">
      <c r="A498" s="207"/>
      <c r="B498" s="207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210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</row>
    <row r="499" ht="15.75" customHeight="1">
      <c r="A499" s="207"/>
      <c r="B499" s="207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210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</row>
    <row r="500" ht="15.75" customHeight="1">
      <c r="A500" s="207"/>
      <c r="B500" s="207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210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</row>
    <row r="501" ht="15.75" customHeight="1">
      <c r="A501" s="207"/>
      <c r="B501" s="207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210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</row>
    <row r="502" ht="15.75" customHeight="1">
      <c r="A502" s="207"/>
      <c r="B502" s="207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210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</row>
    <row r="503" ht="15.75" customHeight="1">
      <c r="A503" s="207"/>
      <c r="B503" s="207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210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</row>
    <row r="504" ht="15.75" customHeight="1">
      <c r="A504" s="207"/>
      <c r="B504" s="207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210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</row>
    <row r="505" ht="15.75" customHeight="1">
      <c r="A505" s="207"/>
      <c r="B505" s="207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210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</row>
    <row r="506" ht="15.75" customHeight="1">
      <c r="A506" s="207"/>
      <c r="B506" s="207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210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</row>
    <row r="507" ht="15.75" customHeight="1">
      <c r="A507" s="207"/>
      <c r="B507" s="207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210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</row>
    <row r="508" ht="15.75" customHeight="1">
      <c r="A508" s="207"/>
      <c r="B508" s="207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210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</row>
    <row r="509" ht="15.75" customHeight="1">
      <c r="A509" s="207"/>
      <c r="B509" s="207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210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</row>
    <row r="510" ht="15.75" customHeight="1">
      <c r="A510" s="207"/>
      <c r="B510" s="207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210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</row>
    <row r="511" ht="15.75" customHeight="1">
      <c r="A511" s="207"/>
      <c r="B511" s="207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210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</row>
    <row r="512" ht="15.75" customHeight="1">
      <c r="A512" s="207"/>
      <c r="B512" s="207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210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</row>
    <row r="513" ht="15.75" customHeight="1">
      <c r="A513" s="207"/>
      <c r="B513" s="207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210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</row>
    <row r="514" ht="15.75" customHeight="1">
      <c r="A514" s="207"/>
      <c r="B514" s="207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210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</row>
    <row r="515" ht="15.75" customHeight="1">
      <c r="A515" s="207"/>
      <c r="B515" s="207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210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</row>
    <row r="516" ht="15.75" customHeight="1">
      <c r="A516" s="207"/>
      <c r="B516" s="207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210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</row>
    <row r="517" ht="15.75" customHeight="1">
      <c r="A517" s="207"/>
      <c r="B517" s="207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210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</row>
    <row r="518" ht="15.75" customHeight="1">
      <c r="A518" s="207"/>
      <c r="B518" s="207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210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</row>
    <row r="519" ht="15.75" customHeight="1">
      <c r="A519" s="207"/>
      <c r="B519" s="207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210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</row>
    <row r="520" ht="15.75" customHeight="1">
      <c r="A520" s="207"/>
      <c r="B520" s="207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210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</row>
    <row r="521" ht="15.75" customHeight="1">
      <c r="A521" s="207"/>
      <c r="B521" s="207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210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</row>
    <row r="522" ht="15.75" customHeight="1">
      <c r="A522" s="207"/>
      <c r="B522" s="207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210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</row>
    <row r="523" ht="15.75" customHeight="1">
      <c r="A523" s="207"/>
      <c r="B523" s="207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210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</row>
    <row r="524" ht="15.75" customHeight="1">
      <c r="A524" s="207"/>
      <c r="B524" s="207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210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</row>
    <row r="525" ht="15.75" customHeight="1">
      <c r="A525" s="207"/>
      <c r="B525" s="207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210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</row>
    <row r="526" ht="15.75" customHeight="1">
      <c r="A526" s="207"/>
      <c r="B526" s="207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210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</row>
    <row r="527" ht="15.75" customHeight="1">
      <c r="A527" s="207"/>
      <c r="B527" s="207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210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</row>
    <row r="528" ht="15.75" customHeight="1">
      <c r="A528" s="207"/>
      <c r="B528" s="207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210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</row>
    <row r="529" ht="15.75" customHeight="1">
      <c r="A529" s="207"/>
      <c r="B529" s="207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210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</row>
    <row r="530" ht="15.75" customHeight="1">
      <c r="A530" s="207"/>
      <c r="B530" s="207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210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</row>
    <row r="531" ht="15.75" customHeight="1">
      <c r="A531" s="207"/>
      <c r="B531" s="207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210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</row>
    <row r="532" ht="15.75" customHeight="1">
      <c r="A532" s="207"/>
      <c r="B532" s="207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210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</row>
    <row r="533" ht="15.75" customHeight="1">
      <c r="A533" s="207"/>
      <c r="B533" s="207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210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</row>
    <row r="534" ht="15.75" customHeight="1">
      <c r="A534" s="207"/>
      <c r="B534" s="207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210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</row>
    <row r="535" ht="15.75" customHeight="1">
      <c r="A535" s="207"/>
      <c r="B535" s="207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210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</row>
    <row r="536" ht="15.75" customHeight="1">
      <c r="A536" s="207"/>
      <c r="B536" s="207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210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</row>
    <row r="537" ht="15.75" customHeight="1">
      <c r="A537" s="207"/>
      <c r="B537" s="207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210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</row>
    <row r="538" ht="15.75" customHeight="1">
      <c r="A538" s="207"/>
      <c r="B538" s="207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210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</row>
    <row r="539" ht="15.75" customHeight="1">
      <c r="A539" s="207"/>
      <c r="B539" s="207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210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</row>
    <row r="540" ht="15.75" customHeight="1">
      <c r="A540" s="207"/>
      <c r="B540" s="207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210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</row>
    <row r="541" ht="15.75" customHeight="1">
      <c r="A541" s="207"/>
      <c r="B541" s="207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210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</row>
    <row r="542" ht="15.75" customHeight="1">
      <c r="A542" s="207"/>
      <c r="B542" s="207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210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</row>
    <row r="543" ht="15.75" customHeight="1">
      <c r="A543" s="207"/>
      <c r="B543" s="207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210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</row>
    <row r="544" ht="15.75" customHeight="1">
      <c r="A544" s="207"/>
      <c r="B544" s="207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210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</row>
    <row r="545" ht="15.75" customHeight="1">
      <c r="A545" s="207"/>
      <c r="B545" s="207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210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</row>
    <row r="546" ht="15.75" customHeight="1">
      <c r="A546" s="207"/>
      <c r="B546" s="207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210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</row>
    <row r="547" ht="15.75" customHeight="1">
      <c r="A547" s="207"/>
      <c r="B547" s="207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210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</row>
    <row r="548" ht="15.75" customHeight="1">
      <c r="A548" s="207"/>
      <c r="B548" s="207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210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</row>
    <row r="549" ht="15.75" customHeight="1">
      <c r="A549" s="207"/>
      <c r="B549" s="207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210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</row>
    <row r="550" ht="15.75" customHeight="1">
      <c r="A550" s="207"/>
      <c r="B550" s="207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210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</row>
    <row r="551" ht="15.75" customHeight="1">
      <c r="A551" s="207"/>
      <c r="B551" s="207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210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</row>
    <row r="552" ht="15.75" customHeight="1">
      <c r="A552" s="207"/>
      <c r="B552" s="207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210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</row>
    <row r="553" ht="15.75" customHeight="1">
      <c r="A553" s="207"/>
      <c r="B553" s="207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210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</row>
    <row r="554" ht="15.75" customHeight="1">
      <c r="A554" s="207"/>
      <c r="B554" s="207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210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</row>
    <row r="555" ht="15.75" customHeight="1">
      <c r="A555" s="207"/>
      <c r="B555" s="207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210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</row>
    <row r="556" ht="15.75" customHeight="1">
      <c r="A556" s="207"/>
      <c r="B556" s="207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210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</row>
    <row r="557" ht="15.75" customHeight="1">
      <c r="A557" s="207"/>
      <c r="B557" s="207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210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</row>
    <row r="558" ht="15.75" customHeight="1">
      <c r="A558" s="207"/>
      <c r="B558" s="207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210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</row>
    <row r="559" ht="15.75" customHeight="1">
      <c r="A559" s="207"/>
      <c r="B559" s="207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210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</row>
    <row r="560" ht="15.75" customHeight="1">
      <c r="A560" s="207"/>
      <c r="B560" s="207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210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</row>
    <row r="561" ht="15.75" customHeight="1">
      <c r="A561" s="207"/>
      <c r="B561" s="207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210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</row>
    <row r="562" ht="15.75" customHeight="1">
      <c r="A562" s="207"/>
      <c r="B562" s="207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210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</row>
    <row r="563" ht="15.75" customHeight="1">
      <c r="A563" s="207"/>
      <c r="B563" s="207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210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</row>
    <row r="564" ht="15.75" customHeight="1">
      <c r="A564" s="207"/>
      <c r="B564" s="207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210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</row>
    <row r="565" ht="15.75" customHeight="1">
      <c r="A565" s="207"/>
      <c r="B565" s="207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210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</row>
    <row r="566" ht="15.75" customHeight="1">
      <c r="A566" s="207"/>
      <c r="B566" s="207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210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</row>
    <row r="567" ht="15.75" customHeight="1">
      <c r="A567" s="207"/>
      <c r="B567" s="207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210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</row>
    <row r="568" ht="15.75" customHeight="1">
      <c r="A568" s="207"/>
      <c r="B568" s="207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210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</row>
    <row r="569" ht="15.75" customHeight="1">
      <c r="A569" s="207"/>
      <c r="B569" s="207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210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</row>
    <row r="570" ht="15.75" customHeight="1">
      <c r="A570" s="207"/>
      <c r="B570" s="207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210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</row>
    <row r="571" ht="15.75" customHeight="1">
      <c r="A571" s="207"/>
      <c r="B571" s="207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210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</row>
    <row r="572" ht="15.75" customHeight="1">
      <c r="A572" s="207"/>
      <c r="B572" s="207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210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</row>
    <row r="573" ht="15.75" customHeight="1">
      <c r="A573" s="207"/>
      <c r="B573" s="207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210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</row>
    <row r="574" ht="15.75" customHeight="1">
      <c r="A574" s="207"/>
      <c r="B574" s="207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210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</row>
    <row r="575" ht="15.75" customHeight="1">
      <c r="A575" s="207"/>
      <c r="B575" s="207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210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</row>
    <row r="576" ht="15.75" customHeight="1">
      <c r="A576" s="207"/>
      <c r="B576" s="207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210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</row>
    <row r="577" ht="15.75" customHeight="1">
      <c r="A577" s="207"/>
      <c r="B577" s="207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210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</row>
    <row r="578" ht="15.75" customHeight="1">
      <c r="A578" s="207"/>
      <c r="B578" s="207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210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</row>
    <row r="579" ht="15.75" customHeight="1">
      <c r="A579" s="207"/>
      <c r="B579" s="207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210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</row>
    <row r="580" ht="15.75" customHeight="1">
      <c r="A580" s="207"/>
      <c r="B580" s="207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210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</row>
    <row r="581" ht="15.75" customHeight="1">
      <c r="A581" s="207"/>
      <c r="B581" s="207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210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</row>
    <row r="582" ht="15.75" customHeight="1">
      <c r="A582" s="207"/>
      <c r="B582" s="207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210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</row>
    <row r="583" ht="15.75" customHeight="1">
      <c r="A583" s="207"/>
      <c r="B583" s="207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210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</row>
    <row r="584" ht="15.75" customHeight="1">
      <c r="A584" s="207"/>
      <c r="B584" s="207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210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</row>
    <row r="585" ht="15.75" customHeight="1">
      <c r="A585" s="207"/>
      <c r="B585" s="207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210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</row>
    <row r="586" ht="15.75" customHeight="1">
      <c r="A586" s="207"/>
      <c r="B586" s="207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210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</row>
    <row r="587" ht="15.75" customHeight="1">
      <c r="A587" s="207"/>
      <c r="B587" s="207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210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</row>
    <row r="588" ht="15.75" customHeight="1">
      <c r="A588" s="207"/>
      <c r="B588" s="207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210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</row>
    <row r="589" ht="15.75" customHeight="1">
      <c r="A589" s="207"/>
      <c r="B589" s="207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210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</row>
    <row r="590" ht="15.75" customHeight="1">
      <c r="A590" s="207"/>
      <c r="B590" s="207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210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</row>
    <row r="591" ht="15.75" customHeight="1">
      <c r="A591" s="207"/>
      <c r="B591" s="207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210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</row>
    <row r="592" ht="15.75" customHeight="1">
      <c r="A592" s="207"/>
      <c r="B592" s="207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210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</row>
    <row r="593" ht="15.75" customHeight="1">
      <c r="A593" s="207"/>
      <c r="B593" s="207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210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</row>
    <row r="594" ht="15.75" customHeight="1">
      <c r="A594" s="207"/>
      <c r="B594" s="207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210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</row>
    <row r="595" ht="15.75" customHeight="1">
      <c r="A595" s="207"/>
      <c r="B595" s="207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210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</row>
    <row r="596" ht="15.75" customHeight="1">
      <c r="A596" s="207"/>
      <c r="B596" s="207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210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</row>
    <row r="597" ht="15.75" customHeight="1">
      <c r="A597" s="207"/>
      <c r="B597" s="207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210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</row>
    <row r="598" ht="15.75" customHeight="1">
      <c r="A598" s="207"/>
      <c r="B598" s="207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210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</row>
    <row r="599" ht="15.75" customHeight="1">
      <c r="A599" s="207"/>
      <c r="B599" s="207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210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</row>
    <row r="600" ht="15.75" customHeight="1">
      <c r="A600" s="207"/>
      <c r="B600" s="207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210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</row>
    <row r="601" ht="15.75" customHeight="1">
      <c r="A601" s="207"/>
      <c r="B601" s="207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210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</row>
    <row r="602" ht="15.75" customHeight="1">
      <c r="A602" s="207"/>
      <c r="B602" s="207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210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</row>
    <row r="603" ht="15.75" customHeight="1">
      <c r="A603" s="207"/>
      <c r="B603" s="207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210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</row>
    <row r="604" ht="15.75" customHeight="1">
      <c r="A604" s="207"/>
      <c r="B604" s="207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210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</row>
    <row r="605" ht="15.75" customHeight="1">
      <c r="A605" s="207"/>
      <c r="B605" s="207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210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</row>
    <row r="606" ht="15.75" customHeight="1">
      <c r="A606" s="207"/>
      <c r="B606" s="207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210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</row>
    <row r="607" ht="15.75" customHeight="1">
      <c r="A607" s="207"/>
      <c r="B607" s="207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210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</row>
    <row r="608" ht="15.75" customHeight="1">
      <c r="A608" s="207"/>
      <c r="B608" s="207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210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</row>
    <row r="609" ht="15.75" customHeight="1">
      <c r="A609" s="207"/>
      <c r="B609" s="207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210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</row>
    <row r="610" ht="15.75" customHeight="1">
      <c r="A610" s="207"/>
      <c r="B610" s="207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210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</row>
    <row r="611" ht="15.75" customHeight="1">
      <c r="A611" s="207"/>
      <c r="B611" s="207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210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</row>
    <row r="612" ht="15.75" customHeight="1">
      <c r="A612" s="207"/>
      <c r="B612" s="207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210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</row>
    <row r="613" ht="15.75" customHeight="1">
      <c r="A613" s="207"/>
      <c r="B613" s="207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210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</row>
    <row r="614" ht="15.75" customHeight="1">
      <c r="A614" s="207"/>
      <c r="B614" s="207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210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</row>
    <row r="615" ht="15.75" customHeight="1">
      <c r="A615" s="207"/>
      <c r="B615" s="207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210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</row>
    <row r="616" ht="15.75" customHeight="1">
      <c r="A616" s="207"/>
      <c r="B616" s="207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210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</row>
    <row r="617" ht="15.75" customHeight="1">
      <c r="A617" s="207"/>
      <c r="B617" s="207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210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</row>
    <row r="618" ht="15.75" customHeight="1">
      <c r="A618" s="207"/>
      <c r="B618" s="207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210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</row>
    <row r="619" ht="15.75" customHeight="1">
      <c r="A619" s="207"/>
      <c r="B619" s="207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210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</row>
    <row r="620" ht="15.75" customHeight="1">
      <c r="A620" s="207"/>
      <c r="B620" s="207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210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</row>
    <row r="621" ht="15.75" customHeight="1">
      <c r="A621" s="207"/>
      <c r="B621" s="207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210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</row>
    <row r="622" ht="15.75" customHeight="1">
      <c r="A622" s="207"/>
      <c r="B622" s="207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210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</row>
    <row r="623" ht="15.75" customHeight="1">
      <c r="A623" s="207"/>
      <c r="B623" s="207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210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</row>
    <row r="624" ht="15.75" customHeight="1">
      <c r="A624" s="207"/>
      <c r="B624" s="207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210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</row>
    <row r="625" ht="15.75" customHeight="1">
      <c r="A625" s="207"/>
      <c r="B625" s="207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210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</row>
    <row r="626" ht="15.75" customHeight="1">
      <c r="A626" s="207"/>
      <c r="B626" s="207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210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</row>
    <row r="627" ht="15.75" customHeight="1">
      <c r="A627" s="207"/>
      <c r="B627" s="207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210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</row>
    <row r="628" ht="15.75" customHeight="1">
      <c r="A628" s="207"/>
      <c r="B628" s="207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210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</row>
    <row r="629" ht="15.75" customHeight="1">
      <c r="A629" s="207"/>
      <c r="B629" s="207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210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</row>
    <row r="630" ht="15.75" customHeight="1">
      <c r="A630" s="207"/>
      <c r="B630" s="207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210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</row>
    <row r="631" ht="15.75" customHeight="1">
      <c r="A631" s="207"/>
      <c r="B631" s="207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210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</row>
    <row r="632" ht="15.75" customHeight="1">
      <c r="A632" s="207"/>
      <c r="B632" s="207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210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</row>
    <row r="633" ht="15.75" customHeight="1">
      <c r="A633" s="207"/>
      <c r="B633" s="207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210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</row>
    <row r="634" ht="15.75" customHeight="1">
      <c r="A634" s="207"/>
      <c r="B634" s="207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210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</row>
    <row r="635" ht="15.75" customHeight="1">
      <c r="A635" s="207"/>
      <c r="B635" s="207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210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</row>
    <row r="636" ht="15.75" customHeight="1">
      <c r="A636" s="207"/>
      <c r="B636" s="207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210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</row>
    <row r="637" ht="15.75" customHeight="1">
      <c r="A637" s="207"/>
      <c r="B637" s="207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210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</row>
    <row r="638" ht="15.75" customHeight="1">
      <c r="A638" s="207"/>
      <c r="B638" s="207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210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</row>
    <row r="639" ht="15.75" customHeight="1">
      <c r="A639" s="207"/>
      <c r="B639" s="207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210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</row>
    <row r="640" ht="15.75" customHeight="1">
      <c r="A640" s="207"/>
      <c r="B640" s="207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210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</row>
    <row r="641" ht="15.75" customHeight="1">
      <c r="A641" s="207"/>
      <c r="B641" s="207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210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</row>
    <row r="642" ht="15.75" customHeight="1">
      <c r="A642" s="207"/>
      <c r="B642" s="207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210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</row>
    <row r="643" ht="15.75" customHeight="1">
      <c r="A643" s="207"/>
      <c r="B643" s="207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210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</row>
    <row r="644" ht="15.75" customHeight="1">
      <c r="A644" s="207"/>
      <c r="B644" s="207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210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</row>
    <row r="645" ht="15.75" customHeight="1">
      <c r="A645" s="207"/>
      <c r="B645" s="207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210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</row>
    <row r="646" ht="15.75" customHeight="1">
      <c r="A646" s="207"/>
      <c r="B646" s="207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210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</row>
    <row r="647" ht="15.75" customHeight="1">
      <c r="A647" s="207"/>
      <c r="B647" s="207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210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</row>
    <row r="648" ht="15.75" customHeight="1">
      <c r="A648" s="207"/>
      <c r="B648" s="207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210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</row>
    <row r="649" ht="15.75" customHeight="1">
      <c r="A649" s="207"/>
      <c r="B649" s="207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210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</row>
    <row r="650" ht="15.75" customHeight="1">
      <c r="A650" s="207"/>
      <c r="B650" s="207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210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</row>
    <row r="651" ht="15.75" customHeight="1">
      <c r="A651" s="207"/>
      <c r="B651" s="207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210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</row>
    <row r="652" ht="15.75" customHeight="1">
      <c r="A652" s="207"/>
      <c r="B652" s="207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210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</row>
    <row r="653" ht="15.75" customHeight="1">
      <c r="A653" s="207"/>
      <c r="B653" s="207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210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</row>
    <row r="654" ht="15.75" customHeight="1">
      <c r="A654" s="207"/>
      <c r="B654" s="207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210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</row>
    <row r="655" ht="15.75" customHeight="1">
      <c r="A655" s="207"/>
      <c r="B655" s="207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210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</row>
    <row r="656" ht="15.75" customHeight="1">
      <c r="A656" s="207"/>
      <c r="B656" s="207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210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</row>
    <row r="657" ht="15.75" customHeight="1">
      <c r="A657" s="207"/>
      <c r="B657" s="207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210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</row>
    <row r="658" ht="15.75" customHeight="1">
      <c r="A658" s="207"/>
      <c r="B658" s="207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210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</row>
    <row r="659" ht="15.75" customHeight="1">
      <c r="A659" s="207"/>
      <c r="B659" s="207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210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</row>
    <row r="660" ht="15.75" customHeight="1">
      <c r="A660" s="207"/>
      <c r="B660" s="207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210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</row>
    <row r="661" ht="15.75" customHeight="1">
      <c r="A661" s="207"/>
      <c r="B661" s="207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210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</row>
    <row r="662" ht="15.75" customHeight="1">
      <c r="A662" s="207"/>
      <c r="B662" s="207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210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</row>
    <row r="663" ht="15.75" customHeight="1">
      <c r="A663" s="207"/>
      <c r="B663" s="207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210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</row>
    <row r="664" ht="15.75" customHeight="1">
      <c r="A664" s="207"/>
      <c r="B664" s="207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210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</row>
    <row r="665" ht="15.75" customHeight="1">
      <c r="A665" s="207"/>
      <c r="B665" s="207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210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</row>
    <row r="666" ht="15.75" customHeight="1">
      <c r="A666" s="207"/>
      <c r="B666" s="207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210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</row>
    <row r="667" ht="15.75" customHeight="1">
      <c r="A667" s="207"/>
      <c r="B667" s="207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210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</row>
    <row r="668" ht="15.75" customHeight="1">
      <c r="A668" s="207"/>
      <c r="B668" s="207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210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</row>
    <row r="669" ht="15.75" customHeight="1">
      <c r="A669" s="207"/>
      <c r="B669" s="207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210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</row>
    <row r="670" ht="15.75" customHeight="1">
      <c r="A670" s="207"/>
      <c r="B670" s="207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210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</row>
    <row r="671" ht="15.75" customHeight="1">
      <c r="A671" s="207"/>
      <c r="B671" s="207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210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</row>
    <row r="672" ht="15.75" customHeight="1">
      <c r="A672" s="207"/>
      <c r="B672" s="207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210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</row>
    <row r="673" ht="15.75" customHeight="1">
      <c r="A673" s="207"/>
      <c r="B673" s="207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210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</row>
    <row r="674" ht="15.75" customHeight="1">
      <c r="A674" s="207"/>
      <c r="B674" s="207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210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</row>
    <row r="675" ht="15.75" customHeight="1">
      <c r="A675" s="207"/>
      <c r="B675" s="207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210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</row>
    <row r="676" ht="15.75" customHeight="1">
      <c r="A676" s="207"/>
      <c r="B676" s="207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210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</row>
    <row r="677" ht="15.75" customHeight="1">
      <c r="A677" s="207"/>
      <c r="B677" s="207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210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</row>
    <row r="678" ht="15.75" customHeight="1">
      <c r="A678" s="207"/>
      <c r="B678" s="207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210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</row>
    <row r="679" ht="15.75" customHeight="1">
      <c r="A679" s="207"/>
      <c r="B679" s="207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210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</row>
    <row r="680" ht="15.75" customHeight="1">
      <c r="A680" s="207"/>
      <c r="B680" s="207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210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</row>
    <row r="681" ht="15.75" customHeight="1">
      <c r="A681" s="207"/>
      <c r="B681" s="207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210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</row>
    <row r="682" ht="15.75" customHeight="1">
      <c r="A682" s="207"/>
      <c r="B682" s="207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210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</row>
    <row r="683" ht="15.75" customHeight="1">
      <c r="A683" s="207"/>
      <c r="B683" s="207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210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</row>
    <row r="684" ht="15.75" customHeight="1">
      <c r="A684" s="207"/>
      <c r="B684" s="207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210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</row>
    <row r="685" ht="15.75" customHeight="1">
      <c r="A685" s="207"/>
      <c r="B685" s="207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210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</row>
    <row r="686" ht="15.75" customHeight="1">
      <c r="A686" s="207"/>
      <c r="B686" s="207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210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</row>
    <row r="687" ht="15.75" customHeight="1">
      <c r="A687" s="207"/>
      <c r="B687" s="207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210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</row>
    <row r="688" ht="15.75" customHeight="1">
      <c r="A688" s="207"/>
      <c r="B688" s="207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210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</row>
    <row r="689" ht="15.75" customHeight="1">
      <c r="A689" s="207"/>
      <c r="B689" s="207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210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</row>
    <row r="690" ht="15.75" customHeight="1">
      <c r="A690" s="207"/>
      <c r="B690" s="207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210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</row>
    <row r="691" ht="15.75" customHeight="1">
      <c r="A691" s="207"/>
      <c r="B691" s="207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210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</row>
    <row r="692" ht="15.75" customHeight="1">
      <c r="A692" s="207"/>
      <c r="B692" s="207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210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</row>
    <row r="693" ht="15.75" customHeight="1">
      <c r="A693" s="207"/>
      <c r="B693" s="207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210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</row>
    <row r="694" ht="15.75" customHeight="1">
      <c r="A694" s="207"/>
      <c r="B694" s="207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210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</row>
    <row r="695" ht="15.75" customHeight="1">
      <c r="A695" s="207"/>
      <c r="B695" s="207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210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</row>
    <row r="696" ht="15.75" customHeight="1">
      <c r="A696" s="207"/>
      <c r="B696" s="207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210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</row>
    <row r="697" ht="15.75" customHeight="1">
      <c r="A697" s="207"/>
      <c r="B697" s="207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210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</row>
    <row r="698" ht="15.75" customHeight="1">
      <c r="A698" s="207"/>
      <c r="B698" s="207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210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</row>
    <row r="699" ht="15.75" customHeight="1">
      <c r="A699" s="207"/>
      <c r="B699" s="207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210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</row>
    <row r="700" ht="15.75" customHeight="1">
      <c r="A700" s="207"/>
      <c r="B700" s="207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210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</row>
    <row r="701" ht="15.75" customHeight="1">
      <c r="A701" s="207"/>
      <c r="B701" s="207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210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</row>
    <row r="702" ht="15.75" customHeight="1">
      <c r="A702" s="207"/>
      <c r="B702" s="207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210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</row>
    <row r="703" ht="15.75" customHeight="1">
      <c r="A703" s="207"/>
      <c r="B703" s="207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210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</row>
    <row r="704" ht="15.75" customHeight="1">
      <c r="A704" s="207"/>
      <c r="B704" s="207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210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</row>
    <row r="705" ht="15.75" customHeight="1">
      <c r="A705" s="207"/>
      <c r="B705" s="207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210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</row>
    <row r="706" ht="15.75" customHeight="1">
      <c r="A706" s="207"/>
      <c r="B706" s="207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210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</row>
    <row r="707" ht="15.75" customHeight="1">
      <c r="A707" s="207"/>
      <c r="B707" s="207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210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</row>
    <row r="708" ht="15.75" customHeight="1">
      <c r="A708" s="207"/>
      <c r="B708" s="207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210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</row>
    <row r="709" ht="15.75" customHeight="1">
      <c r="A709" s="207"/>
      <c r="B709" s="207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210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</row>
    <row r="710" ht="15.75" customHeight="1">
      <c r="A710" s="207"/>
      <c r="B710" s="207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210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</row>
    <row r="711" ht="15.75" customHeight="1">
      <c r="A711" s="207"/>
      <c r="B711" s="207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210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</row>
    <row r="712" ht="15.75" customHeight="1">
      <c r="A712" s="207"/>
      <c r="B712" s="207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210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</row>
    <row r="713" ht="15.75" customHeight="1">
      <c r="A713" s="207"/>
      <c r="B713" s="207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210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</row>
    <row r="714" ht="15.75" customHeight="1">
      <c r="A714" s="207"/>
      <c r="B714" s="207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210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</row>
    <row r="715" ht="15.75" customHeight="1">
      <c r="A715" s="207"/>
      <c r="B715" s="207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210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</row>
    <row r="716" ht="15.75" customHeight="1">
      <c r="A716" s="207"/>
      <c r="B716" s="207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210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</row>
    <row r="717" ht="15.75" customHeight="1">
      <c r="A717" s="207"/>
      <c r="B717" s="207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210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</row>
    <row r="718" ht="15.75" customHeight="1">
      <c r="A718" s="207"/>
      <c r="B718" s="207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210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</row>
    <row r="719" ht="15.75" customHeight="1">
      <c r="A719" s="207"/>
      <c r="B719" s="207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210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</row>
    <row r="720" ht="15.75" customHeight="1">
      <c r="A720" s="207"/>
      <c r="B720" s="207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210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</row>
    <row r="721" ht="15.75" customHeight="1">
      <c r="A721" s="207"/>
      <c r="B721" s="207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210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</row>
    <row r="722" ht="15.75" customHeight="1">
      <c r="A722" s="207"/>
      <c r="B722" s="207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210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</row>
    <row r="723" ht="15.75" customHeight="1">
      <c r="A723" s="207"/>
      <c r="B723" s="207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210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</row>
    <row r="724" ht="15.75" customHeight="1">
      <c r="A724" s="207"/>
      <c r="B724" s="207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210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</row>
    <row r="725" ht="15.75" customHeight="1">
      <c r="A725" s="207"/>
      <c r="B725" s="207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210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</row>
    <row r="726" ht="15.75" customHeight="1">
      <c r="A726" s="207"/>
      <c r="B726" s="207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210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</row>
    <row r="727" ht="15.75" customHeight="1">
      <c r="A727" s="207"/>
      <c r="B727" s="207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210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</row>
    <row r="728" ht="15.75" customHeight="1">
      <c r="A728" s="207"/>
      <c r="B728" s="207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210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</row>
    <row r="729" ht="15.75" customHeight="1">
      <c r="A729" s="207"/>
      <c r="B729" s="207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210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</row>
    <row r="730" ht="15.75" customHeight="1">
      <c r="A730" s="207"/>
      <c r="B730" s="207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210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</row>
    <row r="731" ht="15.75" customHeight="1">
      <c r="A731" s="207"/>
      <c r="B731" s="207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210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</row>
    <row r="732" ht="15.75" customHeight="1">
      <c r="A732" s="207"/>
      <c r="B732" s="207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210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</row>
    <row r="733" ht="15.75" customHeight="1">
      <c r="A733" s="207"/>
      <c r="B733" s="207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210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</row>
    <row r="734" ht="15.75" customHeight="1">
      <c r="A734" s="207"/>
      <c r="B734" s="207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210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</row>
    <row r="735" ht="15.75" customHeight="1">
      <c r="A735" s="207"/>
      <c r="B735" s="207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210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</row>
    <row r="736" ht="15.75" customHeight="1">
      <c r="A736" s="207"/>
      <c r="B736" s="207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210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</row>
    <row r="737" ht="15.75" customHeight="1">
      <c r="A737" s="207"/>
      <c r="B737" s="207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210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</row>
    <row r="738" ht="15.75" customHeight="1">
      <c r="A738" s="207"/>
      <c r="B738" s="207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210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</row>
    <row r="739" ht="15.75" customHeight="1">
      <c r="A739" s="207"/>
      <c r="B739" s="207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210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</row>
    <row r="740" ht="15.75" customHeight="1">
      <c r="A740" s="207"/>
      <c r="B740" s="207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210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</row>
    <row r="741" ht="15.75" customHeight="1">
      <c r="A741" s="207"/>
      <c r="B741" s="207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210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</row>
    <row r="742" ht="15.75" customHeight="1">
      <c r="A742" s="207"/>
      <c r="B742" s="207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210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</row>
    <row r="743" ht="15.75" customHeight="1">
      <c r="A743" s="207"/>
      <c r="B743" s="207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210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</row>
    <row r="744" ht="15.75" customHeight="1">
      <c r="A744" s="207"/>
      <c r="B744" s="207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210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</row>
    <row r="745" ht="15.75" customHeight="1">
      <c r="A745" s="207"/>
      <c r="B745" s="207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210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</row>
    <row r="746" ht="15.75" customHeight="1">
      <c r="A746" s="207"/>
      <c r="B746" s="207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210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</row>
    <row r="747" ht="15.75" customHeight="1">
      <c r="A747" s="207"/>
      <c r="B747" s="207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210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</row>
    <row r="748" ht="15.75" customHeight="1">
      <c r="A748" s="207"/>
      <c r="B748" s="207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210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</row>
    <row r="749" ht="15.75" customHeight="1">
      <c r="A749" s="207"/>
      <c r="B749" s="207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210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</row>
    <row r="750" ht="15.75" customHeight="1">
      <c r="A750" s="207"/>
      <c r="B750" s="207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210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</row>
    <row r="751" ht="15.75" customHeight="1">
      <c r="A751" s="207"/>
      <c r="B751" s="207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210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</row>
    <row r="752" ht="15.75" customHeight="1">
      <c r="A752" s="207"/>
      <c r="B752" s="207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210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</row>
    <row r="753" ht="15.75" customHeight="1">
      <c r="A753" s="207"/>
      <c r="B753" s="207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210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</row>
    <row r="754" ht="15.75" customHeight="1">
      <c r="A754" s="207"/>
      <c r="B754" s="207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210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</row>
    <row r="755" ht="15.75" customHeight="1">
      <c r="A755" s="207"/>
      <c r="B755" s="207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210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</row>
    <row r="756" ht="15.75" customHeight="1">
      <c r="A756" s="207"/>
      <c r="B756" s="207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210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</row>
    <row r="757" ht="15.75" customHeight="1">
      <c r="A757" s="207"/>
      <c r="B757" s="207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210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</row>
    <row r="758" ht="15.75" customHeight="1">
      <c r="A758" s="207"/>
      <c r="B758" s="207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210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</row>
    <row r="759" ht="15.75" customHeight="1">
      <c r="A759" s="207"/>
      <c r="B759" s="207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210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</row>
    <row r="760" ht="15.75" customHeight="1">
      <c r="A760" s="207"/>
      <c r="B760" s="207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210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</row>
    <row r="761" ht="15.75" customHeight="1">
      <c r="A761" s="207"/>
      <c r="B761" s="207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210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</row>
    <row r="762" ht="15.75" customHeight="1">
      <c r="A762" s="207"/>
      <c r="B762" s="207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210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</row>
    <row r="763" ht="15.75" customHeight="1">
      <c r="A763" s="207"/>
      <c r="B763" s="207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210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</row>
    <row r="764" ht="15.75" customHeight="1">
      <c r="A764" s="207"/>
      <c r="B764" s="207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210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</row>
    <row r="765" ht="15.75" customHeight="1">
      <c r="A765" s="207"/>
      <c r="B765" s="207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210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</row>
    <row r="766" ht="15.75" customHeight="1">
      <c r="A766" s="207"/>
      <c r="B766" s="207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210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</row>
    <row r="767" ht="15.75" customHeight="1">
      <c r="A767" s="207"/>
      <c r="B767" s="207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210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</row>
    <row r="768" ht="15.75" customHeight="1">
      <c r="A768" s="207"/>
      <c r="B768" s="207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210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</row>
    <row r="769" ht="15.75" customHeight="1">
      <c r="A769" s="207"/>
      <c r="B769" s="207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210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</row>
    <row r="770" ht="15.75" customHeight="1">
      <c r="A770" s="207"/>
      <c r="B770" s="207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210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</row>
    <row r="771" ht="15.75" customHeight="1">
      <c r="A771" s="207"/>
      <c r="B771" s="207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210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</row>
    <row r="772" ht="15.75" customHeight="1">
      <c r="A772" s="207"/>
      <c r="B772" s="207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210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</row>
    <row r="773" ht="15.75" customHeight="1">
      <c r="A773" s="207"/>
      <c r="B773" s="207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210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</row>
    <row r="774" ht="15.75" customHeight="1">
      <c r="A774" s="207"/>
      <c r="B774" s="207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210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</row>
    <row r="775" ht="15.75" customHeight="1">
      <c r="A775" s="207"/>
      <c r="B775" s="207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210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</row>
    <row r="776" ht="15.75" customHeight="1">
      <c r="A776" s="207"/>
      <c r="B776" s="207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210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</row>
    <row r="777" ht="15.75" customHeight="1">
      <c r="A777" s="207"/>
      <c r="B777" s="207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210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</row>
    <row r="778" ht="15.75" customHeight="1">
      <c r="A778" s="207"/>
      <c r="B778" s="207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210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</row>
    <row r="779" ht="15.75" customHeight="1">
      <c r="A779" s="207"/>
      <c r="B779" s="207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210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</row>
    <row r="780" ht="15.75" customHeight="1">
      <c r="A780" s="207"/>
      <c r="B780" s="207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210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</row>
    <row r="781" ht="15.75" customHeight="1">
      <c r="A781" s="207"/>
      <c r="B781" s="207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210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</row>
    <row r="782" ht="15.75" customHeight="1">
      <c r="A782" s="207"/>
      <c r="B782" s="207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210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</row>
    <row r="783" ht="15.75" customHeight="1">
      <c r="A783" s="207"/>
      <c r="B783" s="207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210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</row>
    <row r="784" ht="15.75" customHeight="1">
      <c r="A784" s="207"/>
      <c r="B784" s="207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210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</row>
    <row r="785" ht="15.75" customHeight="1">
      <c r="A785" s="207"/>
      <c r="B785" s="207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210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</row>
    <row r="786" ht="15.75" customHeight="1">
      <c r="A786" s="207"/>
      <c r="B786" s="207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210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</row>
    <row r="787" ht="15.75" customHeight="1">
      <c r="A787" s="207"/>
      <c r="B787" s="207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210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</row>
    <row r="788" ht="15.75" customHeight="1">
      <c r="A788" s="207"/>
      <c r="B788" s="207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210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</row>
    <row r="789" ht="15.75" customHeight="1">
      <c r="A789" s="207"/>
      <c r="B789" s="207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210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</row>
    <row r="790" ht="15.75" customHeight="1">
      <c r="A790" s="207"/>
      <c r="B790" s="207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210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</row>
    <row r="791" ht="15.75" customHeight="1">
      <c r="A791" s="207"/>
      <c r="B791" s="207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210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</row>
    <row r="792" ht="15.75" customHeight="1">
      <c r="A792" s="207"/>
      <c r="B792" s="207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210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</row>
    <row r="793" ht="15.75" customHeight="1">
      <c r="A793" s="207"/>
      <c r="B793" s="207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210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</row>
    <row r="794" ht="15.75" customHeight="1">
      <c r="A794" s="207"/>
      <c r="B794" s="207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210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</row>
    <row r="795" ht="15.75" customHeight="1">
      <c r="A795" s="207"/>
      <c r="B795" s="207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210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</row>
    <row r="796" ht="15.75" customHeight="1">
      <c r="A796" s="207"/>
      <c r="B796" s="207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210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</row>
    <row r="797" ht="15.75" customHeight="1">
      <c r="A797" s="207"/>
      <c r="B797" s="207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210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</row>
    <row r="798" ht="15.75" customHeight="1">
      <c r="A798" s="207"/>
      <c r="B798" s="207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210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</row>
    <row r="799" ht="15.75" customHeight="1">
      <c r="A799" s="207"/>
      <c r="B799" s="207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210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</row>
    <row r="800" ht="15.75" customHeight="1">
      <c r="A800" s="207"/>
      <c r="B800" s="207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210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</row>
    <row r="801" ht="15.75" customHeight="1">
      <c r="A801" s="207"/>
      <c r="B801" s="207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210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</row>
    <row r="802" ht="15.75" customHeight="1">
      <c r="A802" s="207"/>
      <c r="B802" s="207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210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</row>
    <row r="803" ht="15.75" customHeight="1">
      <c r="A803" s="207"/>
      <c r="B803" s="207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210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</row>
    <row r="804" ht="15.75" customHeight="1">
      <c r="A804" s="207"/>
      <c r="B804" s="207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210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</row>
    <row r="805" ht="15.75" customHeight="1">
      <c r="A805" s="207"/>
      <c r="B805" s="207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210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</row>
    <row r="806" ht="15.75" customHeight="1">
      <c r="A806" s="207"/>
      <c r="B806" s="207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210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</row>
    <row r="807" ht="15.75" customHeight="1">
      <c r="A807" s="207"/>
      <c r="B807" s="207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210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</row>
    <row r="808" ht="15.75" customHeight="1">
      <c r="A808" s="207"/>
      <c r="B808" s="207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210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</row>
    <row r="809" ht="15.75" customHeight="1">
      <c r="A809" s="207"/>
      <c r="B809" s="207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210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</row>
    <row r="810" ht="15.75" customHeight="1">
      <c r="A810" s="207"/>
      <c r="B810" s="207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210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</row>
    <row r="811" ht="15.75" customHeight="1">
      <c r="A811" s="207"/>
      <c r="B811" s="207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210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</row>
    <row r="812" ht="15.75" customHeight="1">
      <c r="A812" s="207"/>
      <c r="B812" s="207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210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</row>
    <row r="813" ht="15.75" customHeight="1">
      <c r="A813" s="207"/>
      <c r="B813" s="207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210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</row>
    <row r="814" ht="15.75" customHeight="1">
      <c r="A814" s="207"/>
      <c r="B814" s="207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210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</row>
    <row r="815" ht="15.75" customHeight="1">
      <c r="A815" s="207"/>
      <c r="B815" s="207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210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</row>
    <row r="816" ht="15.75" customHeight="1">
      <c r="A816" s="207"/>
      <c r="B816" s="207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210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</row>
    <row r="817" ht="15.75" customHeight="1">
      <c r="A817" s="207"/>
      <c r="B817" s="207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210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</row>
    <row r="818" ht="15.75" customHeight="1">
      <c r="A818" s="207"/>
      <c r="B818" s="207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210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</row>
    <row r="819" ht="15.75" customHeight="1">
      <c r="A819" s="207"/>
      <c r="B819" s="207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210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</row>
    <row r="820" ht="15.75" customHeight="1">
      <c r="A820" s="207"/>
      <c r="B820" s="207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210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</row>
    <row r="821" ht="15.75" customHeight="1">
      <c r="A821" s="207"/>
      <c r="B821" s="207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210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</row>
    <row r="822" ht="15.75" customHeight="1">
      <c r="A822" s="207"/>
      <c r="B822" s="207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210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</row>
    <row r="823" ht="15.75" customHeight="1">
      <c r="A823" s="207"/>
      <c r="B823" s="207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210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</row>
    <row r="824" ht="15.75" customHeight="1">
      <c r="A824" s="207"/>
      <c r="B824" s="207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210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</row>
    <row r="825" ht="15.75" customHeight="1">
      <c r="A825" s="207"/>
      <c r="B825" s="207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210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</row>
    <row r="826" ht="15.75" customHeight="1">
      <c r="A826" s="207"/>
      <c r="B826" s="207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210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</row>
    <row r="827" ht="15.75" customHeight="1">
      <c r="A827" s="207"/>
      <c r="B827" s="207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210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</row>
    <row r="828" ht="15.75" customHeight="1">
      <c r="A828" s="207"/>
      <c r="B828" s="207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210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</row>
    <row r="829" ht="15.75" customHeight="1">
      <c r="A829" s="207"/>
      <c r="B829" s="207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210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</row>
    <row r="830" ht="15.75" customHeight="1">
      <c r="A830" s="207"/>
      <c r="B830" s="207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210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</row>
    <row r="831" ht="15.75" customHeight="1">
      <c r="A831" s="207"/>
      <c r="B831" s="207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210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</row>
    <row r="832" ht="15.75" customHeight="1">
      <c r="A832" s="207"/>
      <c r="B832" s="207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210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</row>
    <row r="833" ht="15.75" customHeight="1">
      <c r="A833" s="207"/>
      <c r="B833" s="207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210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</row>
    <row r="834" ht="15.75" customHeight="1">
      <c r="A834" s="207"/>
      <c r="B834" s="207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210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</row>
    <row r="835" ht="15.75" customHeight="1">
      <c r="A835" s="207"/>
      <c r="B835" s="207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210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</row>
    <row r="836" ht="15.75" customHeight="1">
      <c r="A836" s="207"/>
      <c r="B836" s="207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210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</row>
    <row r="837" ht="15.75" customHeight="1">
      <c r="A837" s="207"/>
      <c r="B837" s="207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210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</row>
    <row r="838" ht="15.75" customHeight="1">
      <c r="A838" s="207"/>
      <c r="B838" s="207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210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</row>
    <row r="839" ht="15.75" customHeight="1">
      <c r="A839" s="207"/>
      <c r="B839" s="207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210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</row>
    <row r="840" ht="15.75" customHeight="1">
      <c r="A840" s="207"/>
      <c r="B840" s="207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210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</row>
    <row r="841" ht="15.75" customHeight="1">
      <c r="A841" s="207"/>
      <c r="B841" s="207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210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</row>
    <row r="842" ht="15.75" customHeight="1">
      <c r="A842" s="207"/>
      <c r="B842" s="207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210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</row>
    <row r="843" ht="15.75" customHeight="1">
      <c r="A843" s="207"/>
      <c r="B843" s="207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210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</row>
    <row r="844" ht="15.75" customHeight="1">
      <c r="A844" s="207"/>
      <c r="B844" s="207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210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</row>
    <row r="845" ht="15.75" customHeight="1">
      <c r="A845" s="207"/>
      <c r="B845" s="207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210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</row>
    <row r="846" ht="15.75" customHeight="1">
      <c r="A846" s="207"/>
      <c r="B846" s="207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210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</row>
    <row r="847" ht="15.75" customHeight="1">
      <c r="A847" s="207"/>
      <c r="B847" s="207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210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</row>
    <row r="848" ht="15.75" customHeight="1">
      <c r="A848" s="207"/>
      <c r="B848" s="207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210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</row>
    <row r="849" ht="15.75" customHeight="1">
      <c r="A849" s="207"/>
      <c r="B849" s="207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210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</row>
    <row r="850" ht="15.75" customHeight="1">
      <c r="A850" s="207"/>
      <c r="B850" s="207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210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</row>
    <row r="851" ht="15.75" customHeight="1">
      <c r="A851" s="207"/>
      <c r="B851" s="207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210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</row>
    <row r="852" ht="15.75" customHeight="1">
      <c r="A852" s="207"/>
      <c r="B852" s="207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210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</row>
    <row r="853" ht="15.75" customHeight="1">
      <c r="A853" s="207"/>
      <c r="B853" s="207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210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</row>
    <row r="854" ht="15.75" customHeight="1">
      <c r="A854" s="207"/>
      <c r="B854" s="207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210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</row>
    <row r="855" ht="15.75" customHeight="1">
      <c r="A855" s="207"/>
      <c r="B855" s="207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210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</row>
    <row r="856" ht="15.75" customHeight="1">
      <c r="A856" s="207"/>
      <c r="B856" s="207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210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</row>
    <row r="857" ht="15.75" customHeight="1">
      <c r="A857" s="207"/>
      <c r="B857" s="207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210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</row>
    <row r="858" ht="15.75" customHeight="1">
      <c r="A858" s="207"/>
      <c r="B858" s="207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210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</row>
    <row r="859" ht="15.75" customHeight="1">
      <c r="A859" s="207"/>
      <c r="B859" s="207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210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</row>
    <row r="860" ht="15.75" customHeight="1">
      <c r="A860" s="207"/>
      <c r="B860" s="207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210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</row>
    <row r="861" ht="15.75" customHeight="1">
      <c r="A861" s="207"/>
      <c r="B861" s="207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210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</row>
    <row r="862" ht="15.75" customHeight="1">
      <c r="A862" s="207"/>
      <c r="B862" s="207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210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</row>
    <row r="863" ht="15.75" customHeight="1">
      <c r="A863" s="207"/>
      <c r="B863" s="207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210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</row>
    <row r="864" ht="15.75" customHeight="1">
      <c r="A864" s="207"/>
      <c r="B864" s="207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210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</row>
    <row r="865" ht="15.75" customHeight="1">
      <c r="A865" s="207"/>
      <c r="B865" s="207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210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</row>
    <row r="866" ht="15.75" customHeight="1">
      <c r="A866" s="207"/>
      <c r="B866" s="207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210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</row>
    <row r="867" ht="15.75" customHeight="1">
      <c r="A867" s="207"/>
      <c r="B867" s="207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210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</row>
    <row r="868" ht="15.75" customHeight="1">
      <c r="A868" s="207"/>
      <c r="B868" s="207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210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</row>
    <row r="869" ht="15.75" customHeight="1">
      <c r="A869" s="207"/>
      <c r="B869" s="207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210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</row>
    <row r="870" ht="15.75" customHeight="1">
      <c r="A870" s="207"/>
      <c r="B870" s="207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210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</row>
    <row r="871" ht="15.75" customHeight="1">
      <c r="A871" s="207"/>
      <c r="B871" s="207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210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</row>
    <row r="872" ht="15.75" customHeight="1">
      <c r="A872" s="207"/>
      <c r="B872" s="207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210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</row>
    <row r="873" ht="15.75" customHeight="1">
      <c r="A873" s="207"/>
      <c r="B873" s="207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210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</row>
    <row r="874" ht="15.75" customHeight="1">
      <c r="A874" s="207"/>
      <c r="B874" s="207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210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</row>
    <row r="875" ht="15.75" customHeight="1">
      <c r="A875" s="207"/>
      <c r="B875" s="207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210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</row>
    <row r="876" ht="15.75" customHeight="1">
      <c r="A876" s="207"/>
      <c r="B876" s="207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210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</row>
    <row r="877" ht="15.75" customHeight="1">
      <c r="A877" s="207"/>
      <c r="B877" s="207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210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</row>
    <row r="878" ht="15.75" customHeight="1">
      <c r="A878" s="207"/>
      <c r="B878" s="207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210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</row>
    <row r="879" ht="15.75" customHeight="1">
      <c r="A879" s="207"/>
      <c r="B879" s="207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210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</row>
    <row r="880" ht="15.75" customHeight="1">
      <c r="A880" s="207"/>
      <c r="B880" s="207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210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</row>
    <row r="881" ht="15.75" customHeight="1">
      <c r="A881" s="207"/>
      <c r="B881" s="207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210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</row>
    <row r="882" ht="15.75" customHeight="1">
      <c r="A882" s="207"/>
      <c r="B882" s="207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210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</row>
    <row r="883" ht="15.75" customHeight="1">
      <c r="A883" s="207"/>
      <c r="B883" s="207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210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</row>
    <row r="884" ht="15.75" customHeight="1">
      <c r="A884" s="207"/>
      <c r="B884" s="207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210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</row>
    <row r="885" ht="15.75" customHeight="1">
      <c r="A885" s="207"/>
      <c r="B885" s="207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210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</row>
    <row r="886" ht="15.75" customHeight="1">
      <c r="A886" s="207"/>
      <c r="B886" s="207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210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</row>
    <row r="887" ht="15.75" customHeight="1">
      <c r="A887" s="207"/>
      <c r="B887" s="207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210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</row>
    <row r="888" ht="15.75" customHeight="1">
      <c r="A888" s="207"/>
      <c r="B888" s="207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210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</row>
    <row r="889" ht="15.75" customHeight="1">
      <c r="A889" s="207"/>
      <c r="B889" s="207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210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</row>
    <row r="890" ht="15.75" customHeight="1">
      <c r="A890" s="207"/>
      <c r="B890" s="207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210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</row>
    <row r="891" ht="15.75" customHeight="1">
      <c r="A891" s="207"/>
      <c r="B891" s="207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210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</row>
    <row r="892" ht="15.75" customHeight="1">
      <c r="A892" s="207"/>
      <c r="B892" s="207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210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</row>
    <row r="893" ht="15.75" customHeight="1">
      <c r="A893" s="207"/>
      <c r="B893" s="207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210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</row>
    <row r="894" ht="15.75" customHeight="1">
      <c r="A894" s="207"/>
      <c r="B894" s="207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210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</row>
    <row r="895" ht="15.75" customHeight="1">
      <c r="A895" s="207"/>
      <c r="B895" s="207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210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</row>
    <row r="896" ht="15.75" customHeight="1">
      <c r="A896" s="207"/>
      <c r="B896" s="207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210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</row>
    <row r="897" ht="15.75" customHeight="1">
      <c r="A897" s="207"/>
      <c r="B897" s="207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210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</row>
    <row r="898" ht="15.75" customHeight="1">
      <c r="A898" s="207"/>
      <c r="B898" s="207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210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</row>
    <row r="899" ht="15.75" customHeight="1">
      <c r="A899" s="207"/>
      <c r="B899" s="207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210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</row>
    <row r="900" ht="15.75" customHeight="1">
      <c r="A900" s="207"/>
      <c r="B900" s="207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210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</row>
    <row r="901" ht="15.75" customHeight="1">
      <c r="A901" s="207"/>
      <c r="B901" s="207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210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</row>
    <row r="902" ht="15.75" customHeight="1">
      <c r="A902" s="207"/>
      <c r="B902" s="207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210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</row>
    <row r="903" ht="15.75" customHeight="1">
      <c r="A903" s="207"/>
      <c r="B903" s="207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210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</row>
    <row r="904" ht="15.75" customHeight="1">
      <c r="A904" s="207"/>
      <c r="B904" s="207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210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</row>
    <row r="905" ht="15.75" customHeight="1">
      <c r="A905" s="207"/>
      <c r="B905" s="207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210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</row>
    <row r="906" ht="15.75" customHeight="1">
      <c r="A906" s="207"/>
      <c r="B906" s="207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210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</row>
    <row r="907" ht="15.75" customHeight="1">
      <c r="A907" s="207"/>
      <c r="B907" s="207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210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</row>
    <row r="908" ht="15.75" customHeight="1">
      <c r="A908" s="207"/>
      <c r="B908" s="207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210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</row>
    <row r="909" ht="15.75" customHeight="1">
      <c r="A909" s="207"/>
      <c r="B909" s="207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210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</row>
    <row r="910" ht="15.75" customHeight="1">
      <c r="A910" s="207"/>
      <c r="B910" s="207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210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</row>
    <row r="911" ht="15.75" customHeight="1">
      <c r="A911" s="207"/>
      <c r="B911" s="207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210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</row>
    <row r="912" ht="15.75" customHeight="1">
      <c r="A912" s="207"/>
      <c r="B912" s="207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210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</row>
    <row r="913" ht="15.75" customHeight="1">
      <c r="A913" s="207"/>
      <c r="B913" s="207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210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</row>
    <row r="914" ht="15.75" customHeight="1">
      <c r="A914" s="207"/>
      <c r="B914" s="207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210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</row>
    <row r="915" ht="15.75" customHeight="1">
      <c r="A915" s="207"/>
      <c r="B915" s="207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210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</row>
    <row r="916" ht="15.75" customHeight="1">
      <c r="A916" s="207"/>
      <c r="B916" s="207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210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</row>
    <row r="917" ht="15.75" customHeight="1">
      <c r="A917" s="207"/>
      <c r="B917" s="207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210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</row>
    <row r="918" ht="15.75" customHeight="1">
      <c r="A918" s="207"/>
      <c r="B918" s="207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210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</row>
    <row r="919" ht="15.75" customHeight="1">
      <c r="A919" s="207"/>
      <c r="B919" s="207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210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</row>
    <row r="920" ht="15.75" customHeight="1">
      <c r="A920" s="207"/>
      <c r="B920" s="207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210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</row>
    <row r="921" ht="15.75" customHeight="1">
      <c r="A921" s="207"/>
      <c r="B921" s="207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210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</row>
    <row r="922" ht="15.75" customHeight="1">
      <c r="A922" s="207"/>
      <c r="B922" s="207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210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</row>
    <row r="923" ht="15.75" customHeight="1">
      <c r="A923" s="207"/>
      <c r="B923" s="207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210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</row>
    <row r="924" ht="15.75" customHeight="1">
      <c r="A924" s="207"/>
      <c r="B924" s="207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210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</row>
    <row r="925" ht="15.75" customHeight="1">
      <c r="A925" s="207"/>
      <c r="B925" s="207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210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</row>
    <row r="926" ht="15.75" customHeight="1">
      <c r="A926" s="207"/>
      <c r="B926" s="207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210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</row>
    <row r="927" ht="15.75" customHeight="1">
      <c r="A927" s="207"/>
      <c r="B927" s="207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210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</row>
    <row r="928" ht="15.75" customHeight="1">
      <c r="A928" s="207"/>
      <c r="B928" s="207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210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</row>
    <row r="929" ht="15.75" customHeight="1">
      <c r="A929" s="207"/>
      <c r="B929" s="207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210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</row>
    <row r="930" ht="15.75" customHeight="1">
      <c r="A930" s="207"/>
      <c r="B930" s="207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210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</row>
    <row r="931" ht="15.75" customHeight="1">
      <c r="A931" s="207"/>
      <c r="B931" s="207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210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</row>
    <row r="932" ht="15.75" customHeight="1">
      <c r="A932" s="207"/>
      <c r="B932" s="207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210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</row>
    <row r="933" ht="15.75" customHeight="1">
      <c r="A933" s="207"/>
      <c r="B933" s="207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210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</row>
    <row r="934" ht="15.75" customHeight="1">
      <c r="A934" s="207"/>
      <c r="B934" s="207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210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</row>
    <row r="935" ht="15.75" customHeight="1">
      <c r="A935" s="207"/>
      <c r="B935" s="207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210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</row>
    <row r="936" ht="15.75" customHeight="1">
      <c r="A936" s="207"/>
      <c r="B936" s="207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210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</row>
    <row r="937" ht="15.75" customHeight="1">
      <c r="A937" s="207"/>
      <c r="B937" s="207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210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</row>
    <row r="938" ht="15.75" customHeight="1">
      <c r="A938" s="207"/>
      <c r="B938" s="207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210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</row>
    <row r="939" ht="15.75" customHeight="1">
      <c r="A939" s="207"/>
      <c r="B939" s="207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210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</row>
    <row r="940" ht="15.75" customHeight="1">
      <c r="A940" s="207"/>
      <c r="B940" s="207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210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</row>
    <row r="941" ht="15.75" customHeight="1">
      <c r="A941" s="207"/>
      <c r="B941" s="207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210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</row>
    <row r="942" ht="15.75" customHeight="1">
      <c r="A942" s="207"/>
      <c r="B942" s="207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210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</row>
    <row r="943" ht="15.75" customHeight="1">
      <c r="A943" s="207"/>
      <c r="B943" s="207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210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</row>
    <row r="944" ht="15.75" customHeight="1">
      <c r="A944" s="207"/>
      <c r="B944" s="207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210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</row>
    <row r="945" ht="15.75" customHeight="1">
      <c r="A945" s="207"/>
      <c r="B945" s="207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210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</row>
    <row r="946" ht="15.75" customHeight="1">
      <c r="A946" s="207"/>
      <c r="B946" s="207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210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</row>
    <row r="947" ht="15.75" customHeight="1">
      <c r="A947" s="207"/>
      <c r="B947" s="207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210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</row>
    <row r="948" ht="15.75" customHeight="1">
      <c r="A948" s="207"/>
      <c r="B948" s="207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210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</row>
    <row r="949" ht="15.75" customHeight="1">
      <c r="A949" s="207"/>
      <c r="B949" s="207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210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</row>
    <row r="950" ht="15.75" customHeight="1">
      <c r="A950" s="207"/>
      <c r="B950" s="207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210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</row>
    <row r="951" ht="15.75" customHeight="1">
      <c r="A951" s="207"/>
      <c r="B951" s="207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210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</row>
    <row r="952" ht="15.75" customHeight="1">
      <c r="A952" s="207"/>
      <c r="B952" s="207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210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</row>
    <row r="953" ht="15.75" customHeight="1">
      <c r="A953" s="207"/>
      <c r="B953" s="207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210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</row>
    <row r="954" ht="15.75" customHeight="1">
      <c r="A954" s="207"/>
      <c r="B954" s="207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210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</row>
    <row r="955" ht="15.75" customHeight="1">
      <c r="A955" s="207"/>
      <c r="B955" s="207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210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</row>
    <row r="956" ht="15.75" customHeight="1">
      <c r="A956" s="207"/>
      <c r="B956" s="207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210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</row>
    <row r="957" ht="15.75" customHeight="1">
      <c r="A957" s="207"/>
      <c r="B957" s="207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210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</row>
    <row r="958" ht="15.75" customHeight="1">
      <c r="A958" s="207"/>
      <c r="B958" s="207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210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</row>
    <row r="959" ht="15.75" customHeight="1">
      <c r="A959" s="207"/>
      <c r="B959" s="207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210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</row>
    <row r="960" ht="15.75" customHeight="1">
      <c r="A960" s="207"/>
      <c r="B960" s="207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210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</row>
    <row r="961" ht="15.75" customHeight="1">
      <c r="A961" s="207"/>
      <c r="B961" s="207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210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</row>
    <row r="962" ht="15.75" customHeight="1">
      <c r="A962" s="207"/>
      <c r="B962" s="207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210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</row>
    <row r="963" ht="15.75" customHeight="1">
      <c r="A963" s="207"/>
      <c r="B963" s="207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210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</row>
    <row r="964" ht="15.75" customHeight="1">
      <c r="A964" s="207"/>
      <c r="B964" s="207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210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</row>
    <row r="965" ht="15.75" customHeight="1">
      <c r="A965" s="207"/>
      <c r="B965" s="207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210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</row>
    <row r="966" ht="15.75" customHeight="1">
      <c r="A966" s="207"/>
      <c r="B966" s="207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210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</row>
    <row r="967" ht="15.75" customHeight="1">
      <c r="A967" s="207"/>
      <c r="B967" s="207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210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</row>
    <row r="968" ht="15.75" customHeight="1">
      <c r="A968" s="207"/>
      <c r="B968" s="207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210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</row>
    <row r="969" ht="15.75" customHeight="1">
      <c r="A969" s="207"/>
      <c r="B969" s="207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210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</row>
    <row r="970" ht="15.75" customHeight="1">
      <c r="A970" s="207"/>
      <c r="B970" s="207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210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</row>
    <row r="971" ht="15.75" customHeight="1">
      <c r="A971" s="207"/>
      <c r="B971" s="207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210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</row>
    <row r="972" ht="15.75" customHeight="1">
      <c r="A972" s="207"/>
      <c r="B972" s="207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210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</row>
    <row r="973" ht="15.75" customHeight="1">
      <c r="A973" s="207"/>
      <c r="B973" s="207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210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</row>
    <row r="974" ht="15.75" customHeight="1">
      <c r="A974" s="207"/>
      <c r="B974" s="207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210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</row>
    <row r="975" ht="15.75" customHeight="1">
      <c r="A975" s="207"/>
      <c r="B975" s="207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210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</row>
    <row r="976" ht="15.75" customHeight="1">
      <c r="A976" s="207"/>
      <c r="B976" s="207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210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</row>
    <row r="977" ht="15.75" customHeight="1">
      <c r="A977" s="207"/>
      <c r="B977" s="207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210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</row>
    <row r="978" ht="15.75" customHeight="1">
      <c r="A978" s="207"/>
      <c r="B978" s="207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210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</row>
    <row r="979" ht="15.75" customHeight="1">
      <c r="A979" s="207"/>
      <c r="B979" s="207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210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</row>
    <row r="980" ht="15.75" customHeight="1">
      <c r="A980" s="207"/>
      <c r="B980" s="207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210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</row>
    <row r="981" ht="15.75" customHeight="1">
      <c r="A981" s="207"/>
      <c r="B981" s="207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210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</row>
    <row r="982" ht="15.75" customHeight="1">
      <c r="A982" s="207"/>
      <c r="B982" s="207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210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</row>
    <row r="983" ht="15.75" customHeight="1">
      <c r="A983" s="207"/>
      <c r="B983" s="207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210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</row>
    <row r="984" ht="15.75" customHeight="1">
      <c r="A984" s="207"/>
      <c r="B984" s="207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210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</row>
    <row r="985" ht="15.75" customHeight="1">
      <c r="A985" s="207"/>
      <c r="B985" s="207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210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</row>
    <row r="986" ht="15.75" customHeight="1">
      <c r="A986" s="207"/>
      <c r="B986" s="207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210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</row>
    <row r="987" ht="15.75" customHeight="1">
      <c r="A987" s="207"/>
      <c r="B987" s="207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210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</row>
    <row r="988" ht="15.75" customHeight="1">
      <c r="A988" s="207"/>
      <c r="B988" s="207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210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</row>
    <row r="989" ht="15.75" customHeight="1">
      <c r="A989" s="207"/>
      <c r="B989" s="207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210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</row>
    <row r="990" ht="15.75" customHeight="1">
      <c r="A990" s="207"/>
      <c r="B990" s="207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210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</row>
    <row r="991" ht="15.75" customHeight="1">
      <c r="A991" s="207"/>
      <c r="B991" s="207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210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</row>
    <row r="992" ht="15.75" customHeight="1">
      <c r="A992" s="207"/>
      <c r="B992" s="207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210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</row>
    <row r="993" ht="15.75" customHeight="1">
      <c r="A993" s="207"/>
      <c r="B993" s="207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210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</row>
    <row r="994" ht="15.75" customHeight="1">
      <c r="A994" s="207"/>
      <c r="B994" s="207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210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</row>
    <row r="995" ht="15.75" customHeight="1">
      <c r="A995" s="207"/>
      <c r="B995" s="207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210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</row>
    <row r="996" ht="15.75" customHeight="1">
      <c r="A996" s="207"/>
      <c r="B996" s="207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210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</row>
    <row r="997" ht="15.75" customHeight="1">
      <c r="A997" s="207"/>
      <c r="B997" s="207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210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</row>
    <row r="998" ht="15.75" customHeight="1">
      <c r="A998" s="207"/>
      <c r="B998" s="207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210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</row>
    <row r="999" ht="15.75" customHeight="1">
      <c r="A999" s="207"/>
      <c r="B999" s="207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210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</row>
    <row r="1000" ht="15.75" customHeight="1">
      <c r="A1000" s="207"/>
      <c r="B1000" s="207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210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77" t="s">
        <v>19</v>
      </c>
      <c r="S1" s="78" t="s">
        <v>20</v>
      </c>
      <c r="T1" s="78" t="s">
        <v>21</v>
      </c>
      <c r="U1" s="78" t="s">
        <v>22</v>
      </c>
      <c r="V1" s="79" t="s">
        <v>23</v>
      </c>
      <c r="W1" s="79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65" t="s">
        <v>26</v>
      </c>
      <c r="D2" s="66">
        <v>4.0</v>
      </c>
      <c r="E2" s="66">
        <v>4.0</v>
      </c>
      <c r="F2" s="233"/>
      <c r="G2" s="234"/>
      <c r="H2" s="233"/>
      <c r="I2" s="235">
        <f t="shared" ref="I2:I61" si="1">max(0,K2-G2)</f>
        <v>105</v>
      </c>
      <c r="J2" s="236"/>
      <c r="K2" s="237">
        <v>105.0</v>
      </c>
      <c r="L2" s="235">
        <f t="shared" ref="L2:L61" si="2">J2+H2</f>
        <v>0</v>
      </c>
      <c r="M2" s="235">
        <f t="shared" ref="M2:M61" si="3">G2+H2+I2+J2</f>
        <v>105</v>
      </c>
      <c r="N2" s="66" t="s">
        <v>114</v>
      </c>
      <c r="O2" s="65">
        <v>16.904</v>
      </c>
      <c r="P2" s="65">
        <v>12.699</v>
      </c>
      <c r="Q2" s="65">
        <f t="shared" ref="Q2:Q61" si="4">(D2*O2)+(E2*P2)</f>
        <v>118.412</v>
      </c>
      <c r="R2" s="238"/>
      <c r="S2" s="239"/>
      <c r="T2" s="240"/>
      <c r="U2" s="240"/>
      <c r="V2" s="241">
        <f t="shared" ref="V2:V61" si="5">S2-R2</f>
        <v>0</v>
      </c>
      <c r="W2" s="241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3">
        <v>7.0</v>
      </c>
      <c r="E3" s="33">
        <v>7.0</v>
      </c>
      <c r="F3" s="88"/>
      <c r="G3" s="89">
        <v>70.0</v>
      </c>
      <c r="H3" s="88"/>
      <c r="I3" s="90">
        <f t="shared" si="1"/>
        <v>90</v>
      </c>
      <c r="J3" s="91"/>
      <c r="K3" s="92">
        <v>160.0</v>
      </c>
      <c r="L3" s="90">
        <f t="shared" si="2"/>
        <v>0</v>
      </c>
      <c r="M3" s="90">
        <f t="shared" si="3"/>
        <v>160</v>
      </c>
      <c r="N3" s="32"/>
      <c r="O3" s="32">
        <v>16.904</v>
      </c>
      <c r="P3" s="32">
        <v>12.699</v>
      </c>
      <c r="Q3" s="32">
        <f t="shared" si="4"/>
        <v>207.221</v>
      </c>
      <c r="R3" s="113"/>
      <c r="S3" s="94"/>
      <c r="T3" s="94"/>
      <c r="U3" s="242">
        <v>507790.0</v>
      </c>
      <c r="V3" s="95">
        <f t="shared" si="5"/>
        <v>0</v>
      </c>
      <c r="W3" s="95">
        <f t="shared" si="6"/>
        <v>507790</v>
      </c>
    </row>
    <row r="4" ht="14.25" customHeight="1">
      <c r="A4" s="8">
        <v>3.0</v>
      </c>
      <c r="B4" s="8" t="s">
        <v>25</v>
      </c>
      <c r="C4" s="32" t="s">
        <v>28</v>
      </c>
      <c r="D4" s="33">
        <v>6.0</v>
      </c>
      <c r="E4" s="33">
        <v>6.0</v>
      </c>
      <c r="F4" s="88"/>
      <c r="G4" s="89">
        <v>65.0</v>
      </c>
      <c r="H4" s="88"/>
      <c r="I4" s="90">
        <f t="shared" si="1"/>
        <v>60</v>
      </c>
      <c r="J4" s="91"/>
      <c r="K4" s="92">
        <v>125.0</v>
      </c>
      <c r="L4" s="90">
        <f t="shared" si="2"/>
        <v>0</v>
      </c>
      <c r="M4" s="90">
        <f t="shared" si="3"/>
        <v>125</v>
      </c>
      <c r="N4" s="32"/>
      <c r="O4" s="32">
        <v>16.904</v>
      </c>
      <c r="P4" s="32">
        <v>12.699</v>
      </c>
      <c r="Q4" s="32">
        <f t="shared" si="4"/>
        <v>177.618</v>
      </c>
      <c r="R4" s="97"/>
      <c r="S4" s="97"/>
      <c r="T4" s="97"/>
      <c r="U4" s="243">
        <v>5136630.0</v>
      </c>
      <c r="V4" s="95">
        <f t="shared" si="5"/>
        <v>0</v>
      </c>
      <c r="W4" s="95">
        <f t="shared" si="6"/>
        <v>5136630</v>
      </c>
    </row>
    <row r="5" ht="14.25" customHeight="1">
      <c r="A5" s="8">
        <v>4.0</v>
      </c>
      <c r="B5" s="8" t="s">
        <v>25</v>
      </c>
      <c r="C5" s="32" t="s">
        <v>29</v>
      </c>
      <c r="D5" s="33">
        <v>7.0</v>
      </c>
      <c r="E5" s="33">
        <v>6.0</v>
      </c>
      <c r="F5" s="88"/>
      <c r="G5" s="89">
        <v>59.0</v>
      </c>
      <c r="H5" s="88"/>
      <c r="I5" s="90">
        <f t="shared" si="1"/>
        <v>73</v>
      </c>
      <c r="J5" s="91"/>
      <c r="K5" s="92">
        <v>132.0</v>
      </c>
      <c r="L5" s="90">
        <f t="shared" si="2"/>
        <v>0</v>
      </c>
      <c r="M5" s="90">
        <f t="shared" si="3"/>
        <v>132</v>
      </c>
      <c r="N5" s="32"/>
      <c r="O5" s="32">
        <v>16.904</v>
      </c>
      <c r="P5" s="32">
        <v>12.699</v>
      </c>
      <c r="Q5" s="32">
        <f t="shared" si="4"/>
        <v>194.522</v>
      </c>
      <c r="R5" s="97"/>
      <c r="S5" s="97"/>
      <c r="T5" s="97"/>
      <c r="U5" s="243">
        <v>203014.0</v>
      </c>
      <c r="V5" s="95">
        <f t="shared" si="5"/>
        <v>0</v>
      </c>
      <c r="W5" s="95">
        <f t="shared" si="6"/>
        <v>203014</v>
      </c>
    </row>
    <row r="6" ht="14.25" customHeight="1">
      <c r="A6" s="8">
        <v>5.0</v>
      </c>
      <c r="B6" s="8" t="s">
        <v>25</v>
      </c>
      <c r="C6" s="32" t="s">
        <v>30</v>
      </c>
      <c r="D6" s="33">
        <v>7.0</v>
      </c>
      <c r="E6" s="33">
        <v>7.0</v>
      </c>
      <c r="F6" s="88"/>
      <c r="G6" s="89">
        <v>54.0</v>
      </c>
      <c r="H6" s="88"/>
      <c r="I6" s="90">
        <f t="shared" si="1"/>
        <v>107</v>
      </c>
      <c r="J6" s="91"/>
      <c r="K6" s="92">
        <v>161.0</v>
      </c>
      <c r="L6" s="90">
        <f t="shared" si="2"/>
        <v>0</v>
      </c>
      <c r="M6" s="90">
        <f t="shared" si="3"/>
        <v>161</v>
      </c>
      <c r="N6" s="32"/>
      <c r="O6" s="32">
        <v>16.904</v>
      </c>
      <c r="P6" s="32">
        <v>12.699</v>
      </c>
      <c r="Q6" s="32">
        <f t="shared" si="4"/>
        <v>207.221</v>
      </c>
      <c r="R6" s="97"/>
      <c r="S6" s="97"/>
      <c r="T6" s="97"/>
      <c r="U6" s="243">
        <v>485601.0</v>
      </c>
      <c r="V6" s="95">
        <f t="shared" si="5"/>
        <v>0</v>
      </c>
      <c r="W6" s="95">
        <f t="shared" si="6"/>
        <v>485601</v>
      </c>
    </row>
    <row r="7" ht="14.25" customHeight="1">
      <c r="A7" s="8">
        <v>6.0</v>
      </c>
      <c r="B7" s="8" t="s">
        <v>25</v>
      </c>
      <c r="C7" s="32" t="s">
        <v>31</v>
      </c>
      <c r="D7" s="33">
        <v>7.0</v>
      </c>
      <c r="E7" s="33">
        <v>7.0</v>
      </c>
      <c r="F7" s="88"/>
      <c r="G7" s="89">
        <v>58.0</v>
      </c>
      <c r="H7" s="88"/>
      <c r="I7" s="90">
        <f t="shared" si="1"/>
        <v>123</v>
      </c>
      <c r="J7" s="91"/>
      <c r="K7" s="92">
        <v>181.0</v>
      </c>
      <c r="L7" s="90">
        <f t="shared" si="2"/>
        <v>0</v>
      </c>
      <c r="M7" s="90">
        <f t="shared" si="3"/>
        <v>181</v>
      </c>
      <c r="N7" s="32"/>
      <c r="O7" s="32">
        <v>16.904</v>
      </c>
      <c r="P7" s="32">
        <v>12.699</v>
      </c>
      <c r="Q7" s="32">
        <f t="shared" si="4"/>
        <v>207.221</v>
      </c>
      <c r="R7" s="97"/>
      <c r="S7" s="97"/>
      <c r="T7" s="97"/>
      <c r="U7" s="243">
        <v>182351.0</v>
      </c>
      <c r="V7" s="95">
        <f t="shared" si="5"/>
        <v>0</v>
      </c>
      <c r="W7" s="95">
        <f t="shared" si="6"/>
        <v>182351</v>
      </c>
    </row>
    <row r="8" ht="14.25" customHeight="1">
      <c r="A8" s="8">
        <v>7.0</v>
      </c>
      <c r="B8" s="8" t="s">
        <v>25</v>
      </c>
      <c r="C8" s="32" t="s">
        <v>32</v>
      </c>
      <c r="D8" s="33">
        <v>7.0</v>
      </c>
      <c r="E8" s="33">
        <v>7.0</v>
      </c>
      <c r="F8" s="88"/>
      <c r="G8" s="89">
        <v>48.0</v>
      </c>
      <c r="H8" s="88"/>
      <c r="I8" s="90">
        <f t="shared" si="1"/>
        <v>88</v>
      </c>
      <c r="J8" s="91"/>
      <c r="K8" s="92">
        <v>136.0</v>
      </c>
      <c r="L8" s="90">
        <f t="shared" si="2"/>
        <v>0</v>
      </c>
      <c r="M8" s="90">
        <f t="shared" si="3"/>
        <v>136</v>
      </c>
      <c r="N8" s="32"/>
      <c r="O8" s="32">
        <v>16.904</v>
      </c>
      <c r="P8" s="32">
        <v>12.699</v>
      </c>
      <c r="Q8" s="32">
        <f t="shared" si="4"/>
        <v>207.221</v>
      </c>
      <c r="R8" s="97"/>
      <c r="S8" s="97"/>
      <c r="T8" s="97"/>
      <c r="U8" s="243">
        <v>200308.0</v>
      </c>
      <c r="V8" s="95">
        <f t="shared" si="5"/>
        <v>0</v>
      </c>
      <c r="W8" s="95">
        <f t="shared" si="6"/>
        <v>200308</v>
      </c>
    </row>
    <row r="9" ht="14.25" customHeight="1">
      <c r="A9" s="8">
        <v>8.0</v>
      </c>
      <c r="B9" s="8" t="s">
        <v>25</v>
      </c>
      <c r="C9" s="32" t="s">
        <v>33</v>
      </c>
      <c r="D9" s="33">
        <v>7.0</v>
      </c>
      <c r="E9" s="33">
        <v>7.0</v>
      </c>
      <c r="F9" s="88"/>
      <c r="G9" s="89">
        <v>37.0</v>
      </c>
      <c r="H9" s="88"/>
      <c r="I9" s="90">
        <f t="shared" si="1"/>
        <v>113</v>
      </c>
      <c r="J9" s="91"/>
      <c r="K9" s="92">
        <v>150.0</v>
      </c>
      <c r="L9" s="90">
        <f t="shared" si="2"/>
        <v>0</v>
      </c>
      <c r="M9" s="90">
        <f t="shared" si="3"/>
        <v>150</v>
      </c>
      <c r="N9" s="32"/>
      <c r="O9" s="32">
        <v>16.904</v>
      </c>
      <c r="P9" s="32">
        <v>12.699</v>
      </c>
      <c r="Q9" s="32">
        <f t="shared" si="4"/>
        <v>207.221</v>
      </c>
      <c r="R9" s="97"/>
      <c r="S9" s="97"/>
      <c r="T9" s="97"/>
      <c r="U9" s="243">
        <v>196375.0</v>
      </c>
      <c r="V9" s="95">
        <f t="shared" si="5"/>
        <v>0</v>
      </c>
      <c r="W9" s="95">
        <f t="shared" si="6"/>
        <v>196375</v>
      </c>
    </row>
    <row r="10" ht="14.25" customHeight="1">
      <c r="A10" s="8">
        <v>9.0</v>
      </c>
      <c r="B10" s="8" t="s">
        <v>25</v>
      </c>
      <c r="C10" s="32" t="s">
        <v>34</v>
      </c>
      <c r="D10" s="33">
        <v>7.0</v>
      </c>
      <c r="E10" s="33">
        <v>7.0</v>
      </c>
      <c r="F10" s="88"/>
      <c r="G10" s="89">
        <v>84.0</v>
      </c>
      <c r="H10" s="88"/>
      <c r="I10" s="90">
        <f t="shared" si="1"/>
        <v>90</v>
      </c>
      <c r="J10" s="91"/>
      <c r="K10" s="92">
        <v>174.0</v>
      </c>
      <c r="L10" s="90">
        <f t="shared" si="2"/>
        <v>0</v>
      </c>
      <c r="M10" s="90">
        <f t="shared" si="3"/>
        <v>174</v>
      </c>
      <c r="N10" s="32"/>
      <c r="O10" s="32">
        <v>16.904</v>
      </c>
      <c r="P10" s="32">
        <v>12.699</v>
      </c>
      <c r="Q10" s="32">
        <f t="shared" si="4"/>
        <v>207.221</v>
      </c>
      <c r="R10" s="97"/>
      <c r="S10" s="97"/>
      <c r="T10" s="97"/>
      <c r="U10" s="243">
        <v>538763.0</v>
      </c>
      <c r="V10" s="95">
        <f t="shared" si="5"/>
        <v>0</v>
      </c>
      <c r="W10" s="95">
        <f t="shared" si="6"/>
        <v>538763</v>
      </c>
    </row>
    <row r="11" ht="14.25" customHeight="1">
      <c r="A11" s="8">
        <v>10.0</v>
      </c>
      <c r="B11" s="8" t="s">
        <v>25</v>
      </c>
      <c r="C11" s="32" t="s">
        <v>35</v>
      </c>
      <c r="D11" s="33">
        <v>7.0</v>
      </c>
      <c r="E11" s="33">
        <v>7.0</v>
      </c>
      <c r="F11" s="88"/>
      <c r="G11" s="89">
        <v>47.0</v>
      </c>
      <c r="H11" s="88"/>
      <c r="I11" s="90">
        <f t="shared" si="1"/>
        <v>129</v>
      </c>
      <c r="J11" s="91"/>
      <c r="K11" s="92">
        <v>176.0</v>
      </c>
      <c r="L11" s="90">
        <f t="shared" si="2"/>
        <v>0</v>
      </c>
      <c r="M11" s="90">
        <f t="shared" si="3"/>
        <v>176</v>
      </c>
      <c r="N11" s="32"/>
      <c r="O11" s="32">
        <v>16.904</v>
      </c>
      <c r="P11" s="32">
        <v>12.699</v>
      </c>
      <c r="Q11" s="32">
        <f t="shared" si="4"/>
        <v>207.221</v>
      </c>
      <c r="R11" s="97"/>
      <c r="S11" s="97"/>
      <c r="T11" s="97"/>
      <c r="U11" s="243">
        <v>196869.0</v>
      </c>
      <c r="V11" s="95">
        <f t="shared" si="5"/>
        <v>0</v>
      </c>
      <c r="W11" s="95">
        <f t="shared" si="6"/>
        <v>196869</v>
      </c>
    </row>
    <row r="12" ht="14.25" customHeight="1">
      <c r="A12" s="8">
        <v>11.0</v>
      </c>
      <c r="B12" s="8" t="s">
        <v>25</v>
      </c>
      <c r="C12" s="65" t="s">
        <v>36</v>
      </c>
      <c r="D12" s="66">
        <v>4.0</v>
      </c>
      <c r="E12" s="66">
        <v>4.0</v>
      </c>
      <c r="F12" s="233"/>
      <c r="G12" s="233"/>
      <c r="H12" s="233"/>
      <c r="I12" s="235">
        <f t="shared" si="1"/>
        <v>65</v>
      </c>
      <c r="J12" s="236"/>
      <c r="K12" s="237">
        <v>65.0</v>
      </c>
      <c r="L12" s="235">
        <f t="shared" si="2"/>
        <v>0</v>
      </c>
      <c r="M12" s="235">
        <f t="shared" si="3"/>
        <v>65</v>
      </c>
      <c r="N12" s="66" t="s">
        <v>114</v>
      </c>
      <c r="O12" s="65">
        <v>16.904</v>
      </c>
      <c r="P12" s="65">
        <v>12.699</v>
      </c>
      <c r="Q12" s="65">
        <f t="shared" si="4"/>
        <v>118.412</v>
      </c>
      <c r="R12" s="244"/>
      <c r="S12" s="244"/>
      <c r="T12" s="244"/>
      <c r="U12" s="240"/>
      <c r="V12" s="241">
        <f t="shared" si="5"/>
        <v>0</v>
      </c>
      <c r="W12" s="241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3">
        <v>7.0</v>
      </c>
      <c r="E13" s="33">
        <v>7.0</v>
      </c>
      <c r="F13" s="88"/>
      <c r="G13" s="89">
        <v>40.0</v>
      </c>
      <c r="H13" s="88"/>
      <c r="I13" s="90">
        <f t="shared" si="1"/>
        <v>96</v>
      </c>
      <c r="J13" s="91"/>
      <c r="K13" s="92">
        <v>136.0</v>
      </c>
      <c r="L13" s="90">
        <f t="shared" si="2"/>
        <v>0</v>
      </c>
      <c r="M13" s="90">
        <f t="shared" si="3"/>
        <v>136</v>
      </c>
      <c r="N13" s="33"/>
      <c r="O13" s="32">
        <v>16.904</v>
      </c>
      <c r="P13" s="32">
        <v>12.699</v>
      </c>
      <c r="Q13" s="32">
        <f t="shared" si="4"/>
        <v>207.221</v>
      </c>
      <c r="R13" s="97"/>
      <c r="S13" s="97"/>
      <c r="T13" s="97"/>
      <c r="U13" s="243">
        <v>584597.0</v>
      </c>
      <c r="V13" s="95">
        <f t="shared" si="5"/>
        <v>0</v>
      </c>
      <c r="W13" s="95">
        <f t="shared" si="6"/>
        <v>584597</v>
      </c>
    </row>
    <row r="14" ht="14.25" customHeight="1">
      <c r="A14" s="8">
        <v>13.0</v>
      </c>
      <c r="B14" s="8" t="s">
        <v>25</v>
      </c>
      <c r="C14" s="32" t="s">
        <v>38</v>
      </c>
      <c r="D14" s="33">
        <v>7.0</v>
      </c>
      <c r="E14" s="33">
        <v>7.0</v>
      </c>
      <c r="F14" s="88"/>
      <c r="G14" s="89">
        <v>54.0</v>
      </c>
      <c r="H14" s="88"/>
      <c r="I14" s="90">
        <f t="shared" si="1"/>
        <v>77</v>
      </c>
      <c r="J14" s="91"/>
      <c r="K14" s="92">
        <v>131.0</v>
      </c>
      <c r="L14" s="90">
        <f t="shared" si="2"/>
        <v>0</v>
      </c>
      <c r="M14" s="90">
        <f t="shared" si="3"/>
        <v>131</v>
      </c>
      <c r="N14" s="32"/>
      <c r="O14" s="32">
        <v>16.904</v>
      </c>
      <c r="P14" s="32">
        <v>12.699</v>
      </c>
      <c r="Q14" s="32">
        <f t="shared" si="4"/>
        <v>207.221</v>
      </c>
      <c r="R14" s="97"/>
      <c r="S14" s="97"/>
      <c r="T14" s="97"/>
      <c r="U14" s="243">
        <v>200144.0</v>
      </c>
      <c r="V14" s="95">
        <f t="shared" si="5"/>
        <v>0</v>
      </c>
      <c r="W14" s="95">
        <f t="shared" si="6"/>
        <v>200144</v>
      </c>
    </row>
    <row r="15" ht="14.25" customHeight="1">
      <c r="A15" s="8">
        <v>14.0</v>
      </c>
      <c r="B15" s="8" t="s">
        <v>25</v>
      </c>
      <c r="C15" s="32" t="s">
        <v>39</v>
      </c>
      <c r="D15" s="33">
        <v>7.0</v>
      </c>
      <c r="E15" s="33">
        <v>7.0</v>
      </c>
      <c r="F15" s="88"/>
      <c r="G15" s="89">
        <v>59.0</v>
      </c>
      <c r="H15" s="88"/>
      <c r="I15" s="90">
        <f t="shared" si="1"/>
        <v>92</v>
      </c>
      <c r="J15" s="91"/>
      <c r="K15" s="92">
        <v>151.0</v>
      </c>
      <c r="L15" s="90">
        <f t="shared" si="2"/>
        <v>0</v>
      </c>
      <c r="M15" s="90">
        <f t="shared" si="3"/>
        <v>151</v>
      </c>
      <c r="N15" s="32"/>
      <c r="O15" s="32">
        <v>16.904</v>
      </c>
      <c r="P15" s="32">
        <v>12.699</v>
      </c>
      <c r="Q15" s="32">
        <f t="shared" si="4"/>
        <v>207.221</v>
      </c>
      <c r="R15" s="97"/>
      <c r="S15" s="97"/>
      <c r="T15" s="97"/>
      <c r="U15" s="243">
        <v>241374.0</v>
      </c>
      <c r="V15" s="95">
        <f t="shared" si="5"/>
        <v>0</v>
      </c>
      <c r="W15" s="95">
        <f t="shared" si="6"/>
        <v>241374</v>
      </c>
    </row>
    <row r="16" ht="14.25" customHeight="1">
      <c r="A16" s="8">
        <v>15.0</v>
      </c>
      <c r="B16" s="8" t="s">
        <v>25</v>
      </c>
      <c r="C16" s="32" t="s">
        <v>40</v>
      </c>
      <c r="D16" s="33">
        <v>6.0</v>
      </c>
      <c r="E16" s="33">
        <v>6.0</v>
      </c>
      <c r="F16" s="88"/>
      <c r="G16" s="89">
        <v>51.0</v>
      </c>
      <c r="H16" s="88"/>
      <c r="I16" s="90">
        <f t="shared" si="1"/>
        <v>44</v>
      </c>
      <c r="J16" s="91"/>
      <c r="K16" s="92">
        <v>95.0</v>
      </c>
      <c r="L16" s="90">
        <f t="shared" si="2"/>
        <v>0</v>
      </c>
      <c r="M16" s="90">
        <f t="shared" si="3"/>
        <v>95</v>
      </c>
      <c r="N16" s="32"/>
      <c r="O16" s="32">
        <v>16.904</v>
      </c>
      <c r="P16" s="32">
        <v>12.699</v>
      </c>
      <c r="Q16" s="32">
        <f t="shared" si="4"/>
        <v>177.618</v>
      </c>
      <c r="R16" s="97"/>
      <c r="S16" s="97"/>
      <c r="T16" s="97"/>
      <c r="U16" s="243">
        <v>553170.0</v>
      </c>
      <c r="V16" s="95">
        <f t="shared" si="5"/>
        <v>0</v>
      </c>
      <c r="W16" s="95">
        <f t="shared" si="6"/>
        <v>553170</v>
      </c>
    </row>
    <row r="17" ht="14.25" customHeight="1">
      <c r="A17" s="8">
        <v>16.0</v>
      </c>
      <c r="B17" s="8" t="s">
        <v>25</v>
      </c>
      <c r="C17" s="32" t="s">
        <v>41</v>
      </c>
      <c r="D17" s="33">
        <v>6.0</v>
      </c>
      <c r="E17" s="33">
        <v>6.0</v>
      </c>
      <c r="F17" s="88"/>
      <c r="G17" s="89">
        <v>63.0</v>
      </c>
      <c r="H17" s="88"/>
      <c r="I17" s="90">
        <f t="shared" si="1"/>
        <v>78</v>
      </c>
      <c r="J17" s="91"/>
      <c r="K17" s="92">
        <v>141.0</v>
      </c>
      <c r="L17" s="90">
        <f t="shared" si="2"/>
        <v>0</v>
      </c>
      <c r="M17" s="90">
        <f t="shared" si="3"/>
        <v>141</v>
      </c>
      <c r="N17" s="32"/>
      <c r="O17" s="32">
        <v>16.904</v>
      </c>
      <c r="P17" s="32">
        <v>12.699</v>
      </c>
      <c r="Q17" s="32">
        <f t="shared" si="4"/>
        <v>177.618</v>
      </c>
      <c r="R17" s="97"/>
      <c r="S17" s="97"/>
      <c r="T17" s="97"/>
      <c r="U17" s="243">
        <v>177613.0</v>
      </c>
      <c r="V17" s="95">
        <f t="shared" si="5"/>
        <v>0</v>
      </c>
      <c r="W17" s="95">
        <f t="shared" si="6"/>
        <v>177613</v>
      </c>
    </row>
    <row r="18" ht="14.25" customHeight="1">
      <c r="A18" s="8">
        <v>17.0</v>
      </c>
      <c r="B18" s="8" t="s">
        <v>25</v>
      </c>
      <c r="C18" s="32" t="s">
        <v>42</v>
      </c>
      <c r="D18" s="33">
        <v>7.0</v>
      </c>
      <c r="E18" s="33">
        <v>7.0</v>
      </c>
      <c r="F18" s="88"/>
      <c r="G18" s="89">
        <v>80.0</v>
      </c>
      <c r="H18" s="88"/>
      <c r="I18" s="90">
        <f t="shared" si="1"/>
        <v>109</v>
      </c>
      <c r="J18" s="91"/>
      <c r="K18" s="92">
        <v>189.0</v>
      </c>
      <c r="L18" s="90">
        <f t="shared" si="2"/>
        <v>0</v>
      </c>
      <c r="M18" s="90">
        <f t="shared" si="3"/>
        <v>189</v>
      </c>
      <c r="N18" s="32"/>
      <c r="O18" s="32">
        <v>16.904</v>
      </c>
      <c r="P18" s="32">
        <v>12.699</v>
      </c>
      <c r="Q18" s="32">
        <f t="shared" si="4"/>
        <v>207.221</v>
      </c>
      <c r="R18" s="97"/>
      <c r="S18" s="97"/>
      <c r="T18" s="97"/>
      <c r="U18" s="243">
        <v>173457.0</v>
      </c>
      <c r="V18" s="95">
        <f t="shared" si="5"/>
        <v>0</v>
      </c>
      <c r="W18" s="95">
        <f t="shared" si="6"/>
        <v>173457</v>
      </c>
    </row>
    <row r="19" ht="14.25" customHeight="1">
      <c r="A19" s="8">
        <v>18.0</v>
      </c>
      <c r="B19" s="8" t="s">
        <v>25</v>
      </c>
      <c r="C19" s="32" t="s">
        <v>43</v>
      </c>
      <c r="D19" s="33">
        <v>7.0</v>
      </c>
      <c r="E19" s="33">
        <v>7.0</v>
      </c>
      <c r="F19" s="88"/>
      <c r="G19" s="89">
        <v>48.0</v>
      </c>
      <c r="H19" s="88"/>
      <c r="I19" s="90">
        <f t="shared" si="1"/>
        <v>120</v>
      </c>
      <c r="J19" s="91"/>
      <c r="K19" s="92">
        <v>168.0</v>
      </c>
      <c r="L19" s="90">
        <f t="shared" si="2"/>
        <v>0</v>
      </c>
      <c r="M19" s="90">
        <f t="shared" si="3"/>
        <v>168</v>
      </c>
      <c r="N19" s="32"/>
      <c r="O19" s="32">
        <v>16.904</v>
      </c>
      <c r="P19" s="32">
        <v>12.699</v>
      </c>
      <c r="Q19" s="32">
        <f t="shared" si="4"/>
        <v>207.221</v>
      </c>
      <c r="R19" s="97"/>
      <c r="S19" s="97"/>
      <c r="T19" s="97"/>
      <c r="U19" s="243">
        <v>201162.0</v>
      </c>
      <c r="V19" s="95">
        <f t="shared" si="5"/>
        <v>0</v>
      </c>
      <c r="W19" s="95">
        <f t="shared" si="6"/>
        <v>201162</v>
      </c>
    </row>
    <row r="20" ht="14.25" customHeight="1">
      <c r="A20" s="8">
        <v>19.0</v>
      </c>
      <c r="B20" s="8" t="s">
        <v>25</v>
      </c>
      <c r="C20" s="32" t="s">
        <v>44</v>
      </c>
      <c r="D20" s="33">
        <v>6.0</v>
      </c>
      <c r="E20" s="33">
        <v>6.0</v>
      </c>
      <c r="F20" s="88"/>
      <c r="G20" s="89">
        <v>54.0</v>
      </c>
      <c r="H20" s="88"/>
      <c r="I20" s="90">
        <f t="shared" si="1"/>
        <v>70</v>
      </c>
      <c r="J20" s="91"/>
      <c r="K20" s="92">
        <v>124.0</v>
      </c>
      <c r="L20" s="90">
        <f t="shared" si="2"/>
        <v>0</v>
      </c>
      <c r="M20" s="90">
        <f t="shared" si="3"/>
        <v>124</v>
      </c>
      <c r="N20" s="32"/>
      <c r="O20" s="32">
        <v>16.904</v>
      </c>
      <c r="P20" s="32">
        <v>12.699</v>
      </c>
      <c r="Q20" s="32">
        <f t="shared" si="4"/>
        <v>177.618</v>
      </c>
      <c r="R20" s="97"/>
      <c r="S20" s="97"/>
      <c r="T20" s="97"/>
      <c r="U20" s="243">
        <v>200481.0</v>
      </c>
      <c r="V20" s="95">
        <f t="shared" si="5"/>
        <v>0</v>
      </c>
      <c r="W20" s="95">
        <f t="shared" si="6"/>
        <v>200481</v>
      </c>
    </row>
    <row r="21" ht="14.25" customHeight="1">
      <c r="A21" s="8">
        <v>20.0</v>
      </c>
      <c r="B21" s="8" t="s">
        <v>25</v>
      </c>
      <c r="C21" s="32" t="s">
        <v>45</v>
      </c>
      <c r="D21" s="33">
        <v>6.0</v>
      </c>
      <c r="E21" s="33">
        <v>6.0</v>
      </c>
      <c r="F21" s="88"/>
      <c r="G21" s="89">
        <v>42.0</v>
      </c>
      <c r="H21" s="88"/>
      <c r="I21" s="90">
        <f t="shared" si="1"/>
        <v>108</v>
      </c>
      <c r="J21" s="91"/>
      <c r="K21" s="92">
        <v>150.0</v>
      </c>
      <c r="L21" s="90">
        <f t="shared" si="2"/>
        <v>0</v>
      </c>
      <c r="M21" s="90">
        <f t="shared" si="3"/>
        <v>150</v>
      </c>
      <c r="N21" s="32"/>
      <c r="O21" s="32">
        <v>16.904</v>
      </c>
      <c r="P21" s="32">
        <v>12.699</v>
      </c>
      <c r="Q21" s="32">
        <f t="shared" si="4"/>
        <v>177.618</v>
      </c>
      <c r="R21" s="97"/>
      <c r="S21" s="97"/>
      <c r="T21" s="97"/>
      <c r="U21" s="243">
        <v>176616.0</v>
      </c>
      <c r="V21" s="95">
        <f t="shared" si="5"/>
        <v>0</v>
      </c>
      <c r="W21" s="95">
        <f t="shared" si="6"/>
        <v>176616</v>
      </c>
    </row>
    <row r="22" ht="14.25" customHeight="1">
      <c r="A22" s="8">
        <v>21.0</v>
      </c>
      <c r="B22" s="8" t="s">
        <v>25</v>
      </c>
      <c r="C22" s="32" t="s">
        <v>46</v>
      </c>
      <c r="D22" s="33">
        <v>7.0</v>
      </c>
      <c r="E22" s="33">
        <v>7.0</v>
      </c>
      <c r="F22" s="88"/>
      <c r="G22" s="89">
        <v>36.0</v>
      </c>
      <c r="H22" s="88"/>
      <c r="I22" s="90">
        <f t="shared" si="1"/>
        <v>97</v>
      </c>
      <c r="J22" s="91"/>
      <c r="K22" s="92">
        <v>133.0</v>
      </c>
      <c r="L22" s="90">
        <f t="shared" si="2"/>
        <v>0</v>
      </c>
      <c r="M22" s="90">
        <f t="shared" si="3"/>
        <v>133</v>
      </c>
      <c r="N22" s="32"/>
      <c r="O22" s="32">
        <v>16.904</v>
      </c>
      <c r="P22" s="32">
        <v>12.699</v>
      </c>
      <c r="Q22" s="32">
        <f t="shared" si="4"/>
        <v>207.221</v>
      </c>
      <c r="R22" s="97"/>
      <c r="S22" s="97"/>
      <c r="T22" s="97"/>
      <c r="U22" s="243">
        <v>201060.0</v>
      </c>
      <c r="V22" s="95">
        <f t="shared" si="5"/>
        <v>0</v>
      </c>
      <c r="W22" s="95">
        <f t="shared" si="6"/>
        <v>201060</v>
      </c>
    </row>
    <row r="23" ht="14.25" customHeight="1">
      <c r="A23" s="8">
        <v>22.0</v>
      </c>
      <c r="B23" s="8" t="s">
        <v>25</v>
      </c>
      <c r="C23" s="32" t="s">
        <v>47</v>
      </c>
      <c r="D23" s="33">
        <v>7.0</v>
      </c>
      <c r="E23" s="33">
        <v>7.0</v>
      </c>
      <c r="F23" s="88"/>
      <c r="G23" s="89">
        <v>34.0</v>
      </c>
      <c r="H23" s="88"/>
      <c r="I23" s="90">
        <f t="shared" si="1"/>
        <v>112</v>
      </c>
      <c r="J23" s="91"/>
      <c r="K23" s="92">
        <v>146.0</v>
      </c>
      <c r="L23" s="90">
        <f t="shared" si="2"/>
        <v>0</v>
      </c>
      <c r="M23" s="90">
        <f t="shared" si="3"/>
        <v>146</v>
      </c>
      <c r="N23" s="32"/>
      <c r="O23" s="32">
        <v>16.904</v>
      </c>
      <c r="P23" s="32">
        <v>12.699</v>
      </c>
      <c r="Q23" s="32">
        <f t="shared" si="4"/>
        <v>207.221</v>
      </c>
      <c r="R23" s="97"/>
      <c r="S23" s="97"/>
      <c r="T23" s="97"/>
      <c r="U23" s="243">
        <v>455694.0</v>
      </c>
      <c r="V23" s="95">
        <f t="shared" si="5"/>
        <v>0</v>
      </c>
      <c r="W23" s="95">
        <f t="shared" si="6"/>
        <v>455694</v>
      </c>
    </row>
    <row r="24" ht="14.25" customHeight="1">
      <c r="A24" s="8">
        <v>23.0</v>
      </c>
      <c r="B24" s="8" t="s">
        <v>25</v>
      </c>
      <c r="C24" s="32" t="s">
        <v>48</v>
      </c>
      <c r="D24" s="33">
        <v>7.0</v>
      </c>
      <c r="E24" s="33">
        <v>7.0</v>
      </c>
      <c r="F24" s="88"/>
      <c r="G24" s="89">
        <v>49.0</v>
      </c>
      <c r="H24" s="88"/>
      <c r="I24" s="90">
        <f t="shared" si="1"/>
        <v>88</v>
      </c>
      <c r="J24" s="91"/>
      <c r="K24" s="92">
        <v>137.0</v>
      </c>
      <c r="L24" s="90">
        <f t="shared" si="2"/>
        <v>0</v>
      </c>
      <c r="M24" s="90">
        <f t="shared" si="3"/>
        <v>137</v>
      </c>
      <c r="N24" s="32"/>
      <c r="O24" s="32">
        <v>16.904</v>
      </c>
      <c r="P24" s="32">
        <v>12.699</v>
      </c>
      <c r="Q24" s="32">
        <f t="shared" si="4"/>
        <v>207.221</v>
      </c>
      <c r="R24" s="97"/>
      <c r="S24" s="97"/>
      <c r="T24" s="97"/>
      <c r="U24" s="243">
        <v>551300.0</v>
      </c>
      <c r="V24" s="95">
        <f t="shared" si="5"/>
        <v>0</v>
      </c>
      <c r="W24" s="95">
        <f t="shared" si="6"/>
        <v>551300</v>
      </c>
    </row>
    <row r="25" ht="14.25" customHeight="1">
      <c r="A25" s="8">
        <v>24.0</v>
      </c>
      <c r="B25" s="8" t="s">
        <v>25</v>
      </c>
      <c r="C25" s="32" t="s">
        <v>49</v>
      </c>
      <c r="D25" s="33">
        <v>7.0</v>
      </c>
      <c r="E25" s="33">
        <v>7.0</v>
      </c>
      <c r="F25" s="88"/>
      <c r="G25" s="89">
        <v>65.0</v>
      </c>
      <c r="H25" s="88"/>
      <c r="I25" s="90">
        <f t="shared" si="1"/>
        <v>109</v>
      </c>
      <c r="J25" s="91"/>
      <c r="K25" s="92">
        <v>174.0</v>
      </c>
      <c r="L25" s="90">
        <f t="shared" si="2"/>
        <v>0</v>
      </c>
      <c r="M25" s="90">
        <f t="shared" si="3"/>
        <v>174</v>
      </c>
      <c r="N25" s="32"/>
      <c r="O25" s="32">
        <v>16.904</v>
      </c>
      <c r="P25" s="32">
        <v>12.699</v>
      </c>
      <c r="Q25" s="32">
        <f t="shared" si="4"/>
        <v>207.221</v>
      </c>
      <c r="R25" s="97"/>
      <c r="S25" s="97"/>
      <c r="T25" s="97"/>
      <c r="U25" s="243">
        <v>376453.0</v>
      </c>
      <c r="V25" s="95">
        <f t="shared" si="5"/>
        <v>0</v>
      </c>
      <c r="W25" s="95">
        <f t="shared" si="6"/>
        <v>376453</v>
      </c>
    </row>
    <row r="26" ht="14.25" customHeight="1">
      <c r="A26" s="8">
        <v>25.0</v>
      </c>
      <c r="B26" s="8" t="s">
        <v>25</v>
      </c>
      <c r="C26" s="32" t="s">
        <v>50</v>
      </c>
      <c r="D26" s="33">
        <v>6.0</v>
      </c>
      <c r="E26" s="33">
        <v>6.0</v>
      </c>
      <c r="F26" s="88"/>
      <c r="G26" s="89">
        <v>52.0</v>
      </c>
      <c r="H26" s="88"/>
      <c r="I26" s="90">
        <f t="shared" si="1"/>
        <v>70</v>
      </c>
      <c r="J26" s="91"/>
      <c r="K26" s="92">
        <v>122.0</v>
      </c>
      <c r="L26" s="90">
        <f t="shared" si="2"/>
        <v>0</v>
      </c>
      <c r="M26" s="90">
        <f t="shared" si="3"/>
        <v>122</v>
      </c>
      <c r="N26" s="32"/>
      <c r="O26" s="32">
        <v>16.904</v>
      </c>
      <c r="P26" s="32">
        <v>12.699</v>
      </c>
      <c r="Q26" s="32">
        <f t="shared" si="4"/>
        <v>177.618</v>
      </c>
      <c r="R26" s="97"/>
      <c r="S26" s="97"/>
      <c r="T26" s="97"/>
      <c r="U26" s="243">
        <v>194754.0</v>
      </c>
      <c r="V26" s="95">
        <f t="shared" si="5"/>
        <v>0</v>
      </c>
      <c r="W26" s="95">
        <f t="shared" si="6"/>
        <v>194754</v>
      </c>
    </row>
    <row r="27" ht="14.25" customHeight="1">
      <c r="A27" s="8">
        <v>26.0</v>
      </c>
      <c r="B27" s="8" t="s">
        <v>25</v>
      </c>
      <c r="C27" s="32" t="s">
        <v>51</v>
      </c>
      <c r="D27" s="33">
        <v>7.0</v>
      </c>
      <c r="E27" s="33">
        <v>7.0</v>
      </c>
      <c r="F27" s="88"/>
      <c r="G27" s="89">
        <v>35.0</v>
      </c>
      <c r="H27" s="88"/>
      <c r="I27" s="90">
        <f t="shared" si="1"/>
        <v>81</v>
      </c>
      <c r="J27" s="91"/>
      <c r="K27" s="92">
        <v>116.0</v>
      </c>
      <c r="L27" s="90">
        <f t="shared" si="2"/>
        <v>0</v>
      </c>
      <c r="M27" s="90">
        <f t="shared" si="3"/>
        <v>116</v>
      </c>
      <c r="N27" s="32"/>
      <c r="O27" s="32">
        <v>16.904</v>
      </c>
      <c r="P27" s="32">
        <v>12.699</v>
      </c>
      <c r="Q27" s="32">
        <f t="shared" si="4"/>
        <v>207.221</v>
      </c>
      <c r="R27" s="97"/>
      <c r="S27" s="97"/>
      <c r="T27" s="97"/>
      <c r="U27" s="243">
        <v>190953.0</v>
      </c>
      <c r="V27" s="95">
        <f t="shared" si="5"/>
        <v>0</v>
      </c>
      <c r="W27" s="95">
        <f t="shared" si="6"/>
        <v>190953</v>
      </c>
    </row>
    <row r="28" ht="14.25" customHeight="1">
      <c r="A28" s="8">
        <v>27.0</v>
      </c>
      <c r="B28" s="8" t="s">
        <v>25</v>
      </c>
      <c r="C28" s="32" t="s">
        <v>52</v>
      </c>
      <c r="D28" s="33">
        <v>7.0</v>
      </c>
      <c r="E28" s="33">
        <v>7.0</v>
      </c>
      <c r="F28" s="88"/>
      <c r="G28" s="89">
        <v>36.0</v>
      </c>
      <c r="H28" s="88"/>
      <c r="I28" s="90">
        <f t="shared" si="1"/>
        <v>65</v>
      </c>
      <c r="J28" s="91"/>
      <c r="K28" s="92">
        <v>101.0</v>
      </c>
      <c r="L28" s="90">
        <f t="shared" si="2"/>
        <v>0</v>
      </c>
      <c r="M28" s="90">
        <f t="shared" si="3"/>
        <v>101</v>
      </c>
      <c r="N28" s="32"/>
      <c r="O28" s="32">
        <v>16.904</v>
      </c>
      <c r="P28" s="32">
        <v>12.699</v>
      </c>
      <c r="Q28" s="32">
        <f t="shared" si="4"/>
        <v>207.221</v>
      </c>
      <c r="R28" s="97"/>
      <c r="S28" s="97"/>
      <c r="T28" s="97"/>
      <c r="U28" s="243">
        <v>184462.0</v>
      </c>
      <c r="V28" s="95">
        <f t="shared" si="5"/>
        <v>0</v>
      </c>
      <c r="W28" s="95">
        <f t="shared" si="6"/>
        <v>184462</v>
      </c>
    </row>
    <row r="29" ht="14.25" customHeight="1">
      <c r="A29" s="8">
        <v>28.0</v>
      </c>
      <c r="B29" s="8" t="s">
        <v>25</v>
      </c>
      <c r="C29" s="32" t="s">
        <v>53</v>
      </c>
      <c r="D29" s="33">
        <v>7.0</v>
      </c>
      <c r="E29" s="33">
        <v>7.0</v>
      </c>
      <c r="F29" s="88"/>
      <c r="G29" s="89">
        <v>33.0</v>
      </c>
      <c r="H29" s="88"/>
      <c r="I29" s="90">
        <f t="shared" si="1"/>
        <v>91</v>
      </c>
      <c r="J29" s="91"/>
      <c r="K29" s="92">
        <v>124.0</v>
      </c>
      <c r="L29" s="90">
        <f t="shared" si="2"/>
        <v>0</v>
      </c>
      <c r="M29" s="90">
        <f t="shared" si="3"/>
        <v>124</v>
      </c>
      <c r="N29" s="32"/>
      <c r="O29" s="32">
        <v>16.904</v>
      </c>
      <c r="P29" s="32">
        <v>12.699</v>
      </c>
      <c r="Q29" s="32">
        <f t="shared" si="4"/>
        <v>207.221</v>
      </c>
      <c r="R29" s="113"/>
      <c r="S29" s="113"/>
      <c r="T29" s="113"/>
      <c r="U29" s="242">
        <v>181778.0</v>
      </c>
      <c r="V29" s="95">
        <f t="shared" si="5"/>
        <v>0</v>
      </c>
      <c r="W29" s="95">
        <f t="shared" si="6"/>
        <v>181778</v>
      </c>
    </row>
    <row r="30" ht="14.25" customHeight="1">
      <c r="A30" s="8">
        <v>29.0</v>
      </c>
      <c r="B30" s="8" t="s">
        <v>25</v>
      </c>
      <c r="C30" s="32" t="s">
        <v>54</v>
      </c>
      <c r="D30" s="33">
        <v>7.0</v>
      </c>
      <c r="E30" s="33">
        <v>7.0</v>
      </c>
      <c r="F30" s="88"/>
      <c r="G30" s="89">
        <v>59.0</v>
      </c>
      <c r="H30" s="88"/>
      <c r="I30" s="90">
        <f t="shared" si="1"/>
        <v>65</v>
      </c>
      <c r="J30" s="91"/>
      <c r="K30" s="92">
        <v>124.0</v>
      </c>
      <c r="L30" s="90">
        <f t="shared" si="2"/>
        <v>0</v>
      </c>
      <c r="M30" s="90">
        <f t="shared" si="3"/>
        <v>124</v>
      </c>
      <c r="N30" s="32"/>
      <c r="O30" s="32">
        <v>16.904</v>
      </c>
      <c r="P30" s="32">
        <v>12.699</v>
      </c>
      <c r="Q30" s="32">
        <f t="shared" si="4"/>
        <v>207.221</v>
      </c>
      <c r="R30" s="113"/>
      <c r="S30" s="113"/>
      <c r="T30" s="97"/>
      <c r="U30" s="243">
        <v>201042.0</v>
      </c>
      <c r="V30" s="95">
        <f t="shared" si="5"/>
        <v>0</v>
      </c>
      <c r="W30" s="95">
        <f t="shared" si="6"/>
        <v>201042</v>
      </c>
    </row>
    <row r="31" ht="14.25" customHeight="1">
      <c r="A31" s="8">
        <v>30.0</v>
      </c>
      <c r="B31" s="8" t="s">
        <v>25</v>
      </c>
      <c r="C31" s="32" t="s">
        <v>55</v>
      </c>
      <c r="D31" s="33">
        <v>7.0</v>
      </c>
      <c r="E31" s="33">
        <v>7.0</v>
      </c>
      <c r="F31" s="88"/>
      <c r="G31" s="89">
        <v>51.0</v>
      </c>
      <c r="H31" s="88"/>
      <c r="I31" s="90">
        <f t="shared" si="1"/>
        <v>87</v>
      </c>
      <c r="J31" s="91"/>
      <c r="K31" s="92">
        <v>138.0</v>
      </c>
      <c r="L31" s="90">
        <f t="shared" si="2"/>
        <v>0</v>
      </c>
      <c r="M31" s="90">
        <f t="shared" si="3"/>
        <v>138</v>
      </c>
      <c r="N31" s="32"/>
      <c r="O31" s="32">
        <v>16.904</v>
      </c>
      <c r="P31" s="32">
        <v>12.699</v>
      </c>
      <c r="Q31" s="32">
        <f t="shared" si="4"/>
        <v>207.221</v>
      </c>
      <c r="R31" s="97"/>
      <c r="S31" s="97"/>
      <c r="T31" s="97"/>
      <c r="U31" s="243">
        <v>204611.0</v>
      </c>
      <c r="V31" s="95">
        <f t="shared" si="5"/>
        <v>0</v>
      </c>
      <c r="W31" s="95">
        <f t="shared" si="6"/>
        <v>204611</v>
      </c>
    </row>
    <row r="32" ht="14.25" customHeight="1">
      <c r="A32" s="8">
        <v>31.0</v>
      </c>
      <c r="B32" s="8" t="s">
        <v>25</v>
      </c>
      <c r="C32" s="32" t="s">
        <v>56</v>
      </c>
      <c r="D32" s="33">
        <v>7.0</v>
      </c>
      <c r="E32" s="33">
        <v>7.0</v>
      </c>
      <c r="F32" s="88"/>
      <c r="G32" s="89">
        <v>44.0</v>
      </c>
      <c r="H32" s="88"/>
      <c r="I32" s="90">
        <f t="shared" si="1"/>
        <v>80</v>
      </c>
      <c r="J32" s="91"/>
      <c r="K32" s="92">
        <v>124.0</v>
      </c>
      <c r="L32" s="90">
        <f t="shared" si="2"/>
        <v>0</v>
      </c>
      <c r="M32" s="90">
        <f t="shared" si="3"/>
        <v>124</v>
      </c>
      <c r="N32" s="32"/>
      <c r="O32" s="32">
        <v>16.904</v>
      </c>
      <c r="P32" s="32">
        <v>12.699</v>
      </c>
      <c r="Q32" s="32">
        <f t="shared" si="4"/>
        <v>207.221</v>
      </c>
      <c r="R32" s="97"/>
      <c r="S32" s="97"/>
      <c r="T32" s="97"/>
      <c r="U32" s="243">
        <v>184672.0</v>
      </c>
      <c r="V32" s="95">
        <f t="shared" si="5"/>
        <v>0</v>
      </c>
      <c r="W32" s="95">
        <f t="shared" si="6"/>
        <v>184672</v>
      </c>
    </row>
    <row r="33" ht="14.25" customHeight="1">
      <c r="A33" s="8">
        <v>32.0</v>
      </c>
      <c r="B33" s="8" t="s">
        <v>25</v>
      </c>
      <c r="C33" s="32" t="s">
        <v>57</v>
      </c>
      <c r="D33" s="33">
        <v>7.0</v>
      </c>
      <c r="E33" s="33">
        <v>7.0</v>
      </c>
      <c r="F33" s="88"/>
      <c r="G33" s="89">
        <v>77.0</v>
      </c>
      <c r="H33" s="88"/>
      <c r="I33" s="90">
        <f t="shared" si="1"/>
        <v>68</v>
      </c>
      <c r="J33" s="91"/>
      <c r="K33" s="92">
        <v>145.0</v>
      </c>
      <c r="L33" s="90">
        <f t="shared" si="2"/>
        <v>0</v>
      </c>
      <c r="M33" s="90">
        <f t="shared" si="3"/>
        <v>145</v>
      </c>
      <c r="N33" s="32"/>
      <c r="O33" s="32">
        <v>16.904</v>
      </c>
      <c r="P33" s="32">
        <v>12.699</v>
      </c>
      <c r="Q33" s="32">
        <f t="shared" si="4"/>
        <v>207.221</v>
      </c>
      <c r="R33" s="97"/>
      <c r="S33" s="97"/>
      <c r="T33" s="97"/>
      <c r="U33" s="98"/>
      <c r="V33" s="95">
        <f t="shared" si="5"/>
        <v>0</v>
      </c>
      <c r="W33" s="9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3">
        <v>7.0</v>
      </c>
      <c r="E34" s="33">
        <v>7.0</v>
      </c>
      <c r="F34" s="88"/>
      <c r="G34" s="89">
        <v>59.0</v>
      </c>
      <c r="H34" s="88"/>
      <c r="I34" s="90">
        <f t="shared" si="1"/>
        <v>102</v>
      </c>
      <c r="J34" s="91"/>
      <c r="K34" s="92">
        <v>161.0</v>
      </c>
      <c r="L34" s="90">
        <f t="shared" si="2"/>
        <v>0</v>
      </c>
      <c r="M34" s="90">
        <f t="shared" si="3"/>
        <v>161</v>
      </c>
      <c r="N34" s="32"/>
      <c r="O34" s="32">
        <v>16.904</v>
      </c>
      <c r="P34" s="32">
        <v>12.699</v>
      </c>
      <c r="Q34" s="32">
        <f t="shared" si="4"/>
        <v>207.221</v>
      </c>
      <c r="R34" s="97"/>
      <c r="S34" s="97"/>
      <c r="T34" s="97"/>
      <c r="U34" s="98"/>
      <c r="V34" s="95">
        <f t="shared" si="5"/>
        <v>0</v>
      </c>
      <c r="W34" s="9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3">
        <v>6.0</v>
      </c>
      <c r="E35" s="33">
        <v>6.0</v>
      </c>
      <c r="F35" s="88"/>
      <c r="G35" s="89">
        <v>46.0</v>
      </c>
      <c r="H35" s="88"/>
      <c r="I35" s="90">
        <f t="shared" si="1"/>
        <v>78</v>
      </c>
      <c r="J35" s="91"/>
      <c r="K35" s="92">
        <v>124.0</v>
      </c>
      <c r="L35" s="90">
        <f t="shared" si="2"/>
        <v>0</v>
      </c>
      <c r="M35" s="90">
        <f t="shared" si="3"/>
        <v>124</v>
      </c>
      <c r="N35" s="32"/>
      <c r="O35" s="32">
        <v>16.904</v>
      </c>
      <c r="P35" s="32">
        <v>12.699</v>
      </c>
      <c r="Q35" s="32">
        <f t="shared" si="4"/>
        <v>177.618</v>
      </c>
      <c r="R35" s="97"/>
      <c r="S35" s="97"/>
      <c r="T35" s="97"/>
      <c r="U35" s="243">
        <v>189983.0</v>
      </c>
      <c r="V35" s="95">
        <f t="shared" si="5"/>
        <v>0</v>
      </c>
      <c r="W35" s="95">
        <f t="shared" si="6"/>
        <v>189983</v>
      </c>
    </row>
    <row r="36" ht="14.25" customHeight="1">
      <c r="A36" s="8">
        <v>35.0</v>
      </c>
      <c r="B36" s="8" t="s">
        <v>25</v>
      </c>
      <c r="C36" s="32" t="s">
        <v>60</v>
      </c>
      <c r="D36" s="33">
        <v>7.0</v>
      </c>
      <c r="E36" s="33">
        <v>7.0</v>
      </c>
      <c r="F36" s="88"/>
      <c r="G36" s="89">
        <v>62.0</v>
      </c>
      <c r="H36" s="88"/>
      <c r="I36" s="90">
        <f t="shared" si="1"/>
        <v>51</v>
      </c>
      <c r="J36" s="91"/>
      <c r="K36" s="92">
        <v>113.0</v>
      </c>
      <c r="L36" s="90">
        <f t="shared" si="2"/>
        <v>0</v>
      </c>
      <c r="M36" s="90">
        <f t="shared" si="3"/>
        <v>113</v>
      </c>
      <c r="N36" s="32"/>
      <c r="O36" s="32">
        <v>16.904</v>
      </c>
      <c r="P36" s="32">
        <v>12.699</v>
      </c>
      <c r="Q36" s="32">
        <f t="shared" si="4"/>
        <v>207.221</v>
      </c>
      <c r="R36" s="97"/>
      <c r="S36" s="97"/>
      <c r="T36" s="97"/>
      <c r="U36" s="98"/>
      <c r="V36" s="95">
        <f t="shared" si="5"/>
        <v>0</v>
      </c>
      <c r="W36" s="9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3">
        <v>6.0</v>
      </c>
      <c r="E37" s="33">
        <v>6.0</v>
      </c>
      <c r="F37" s="88"/>
      <c r="G37" s="89">
        <v>61.0</v>
      </c>
      <c r="H37" s="88"/>
      <c r="I37" s="90">
        <f t="shared" si="1"/>
        <v>48</v>
      </c>
      <c r="J37" s="91"/>
      <c r="K37" s="92">
        <v>109.0</v>
      </c>
      <c r="L37" s="90">
        <f t="shared" si="2"/>
        <v>0</v>
      </c>
      <c r="M37" s="90">
        <f t="shared" si="3"/>
        <v>109</v>
      </c>
      <c r="N37" s="32"/>
      <c r="O37" s="32">
        <v>16.904</v>
      </c>
      <c r="P37" s="32">
        <v>12.699</v>
      </c>
      <c r="Q37" s="32">
        <f t="shared" si="4"/>
        <v>177.618</v>
      </c>
      <c r="R37" s="97"/>
      <c r="S37" s="245" t="s">
        <v>115</v>
      </c>
      <c r="T37" s="97"/>
      <c r="U37" s="98"/>
      <c r="V37" s="95">
        <f t="shared" si="5"/>
        <v>467613</v>
      </c>
      <c r="W37" s="9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3">
        <v>6.0</v>
      </c>
      <c r="E38" s="33">
        <v>6.0</v>
      </c>
      <c r="F38" s="88"/>
      <c r="G38" s="89">
        <v>58.0</v>
      </c>
      <c r="H38" s="88"/>
      <c r="I38" s="90">
        <f t="shared" si="1"/>
        <v>66</v>
      </c>
      <c r="J38" s="91"/>
      <c r="K38" s="92">
        <v>124.0</v>
      </c>
      <c r="L38" s="90">
        <f t="shared" si="2"/>
        <v>0</v>
      </c>
      <c r="M38" s="90">
        <f t="shared" si="3"/>
        <v>124</v>
      </c>
      <c r="N38" s="32"/>
      <c r="O38" s="32">
        <v>16.904</v>
      </c>
      <c r="P38" s="32">
        <v>12.699</v>
      </c>
      <c r="Q38" s="32">
        <f t="shared" si="4"/>
        <v>177.618</v>
      </c>
      <c r="R38" s="97"/>
      <c r="S38" s="97"/>
      <c r="T38" s="97"/>
      <c r="U38" s="243">
        <v>200308.0</v>
      </c>
      <c r="V38" s="95">
        <f t="shared" si="5"/>
        <v>0</v>
      </c>
      <c r="W38" s="95">
        <f t="shared" si="6"/>
        <v>200308</v>
      </c>
    </row>
    <row r="39" ht="14.25" customHeight="1">
      <c r="A39" s="8">
        <v>38.0</v>
      </c>
      <c r="B39" s="8" t="s">
        <v>25</v>
      </c>
      <c r="C39" s="32" t="s">
        <v>63</v>
      </c>
      <c r="D39" s="33">
        <v>7.0</v>
      </c>
      <c r="E39" s="33">
        <v>7.0</v>
      </c>
      <c r="F39" s="88"/>
      <c r="G39" s="89">
        <v>68.0</v>
      </c>
      <c r="H39" s="88"/>
      <c r="I39" s="90">
        <f t="shared" si="1"/>
        <v>64</v>
      </c>
      <c r="J39" s="91"/>
      <c r="K39" s="92">
        <v>132.0</v>
      </c>
      <c r="L39" s="90">
        <f t="shared" si="2"/>
        <v>0</v>
      </c>
      <c r="M39" s="90">
        <f t="shared" si="3"/>
        <v>132</v>
      </c>
      <c r="N39" s="32"/>
      <c r="O39" s="32">
        <v>16.904</v>
      </c>
      <c r="P39" s="32">
        <v>12.699</v>
      </c>
      <c r="Q39" s="32">
        <f t="shared" si="4"/>
        <v>207.221</v>
      </c>
      <c r="R39" s="97"/>
      <c r="S39" s="97"/>
      <c r="T39" s="97"/>
      <c r="U39" s="98"/>
      <c r="V39" s="95">
        <f t="shared" si="5"/>
        <v>0</v>
      </c>
      <c r="W39" s="9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3">
        <v>6.0</v>
      </c>
      <c r="E40" s="33">
        <v>6.0</v>
      </c>
      <c r="F40" s="88"/>
      <c r="G40" s="89">
        <v>69.0</v>
      </c>
      <c r="H40" s="88"/>
      <c r="I40" s="90">
        <f t="shared" si="1"/>
        <v>53</v>
      </c>
      <c r="J40" s="91"/>
      <c r="K40" s="92">
        <v>122.0</v>
      </c>
      <c r="L40" s="90">
        <f t="shared" si="2"/>
        <v>0</v>
      </c>
      <c r="M40" s="90">
        <f t="shared" si="3"/>
        <v>122</v>
      </c>
      <c r="N40" s="32"/>
      <c r="O40" s="32">
        <v>16.904</v>
      </c>
      <c r="P40" s="32">
        <v>12.699</v>
      </c>
      <c r="Q40" s="32">
        <f t="shared" si="4"/>
        <v>177.618</v>
      </c>
      <c r="R40" s="97"/>
      <c r="S40" s="97"/>
      <c r="T40" s="97"/>
      <c r="U40" s="243">
        <v>173605.0</v>
      </c>
      <c r="V40" s="95">
        <f t="shared" si="5"/>
        <v>0</v>
      </c>
      <c r="W40" s="95">
        <f t="shared" si="6"/>
        <v>173605</v>
      </c>
    </row>
    <row r="41" ht="14.25" customHeight="1">
      <c r="A41" s="8">
        <v>40.0</v>
      </c>
      <c r="B41" s="8" t="s">
        <v>25</v>
      </c>
      <c r="C41" s="32" t="s">
        <v>65</v>
      </c>
      <c r="D41" s="33">
        <v>7.0</v>
      </c>
      <c r="E41" s="33">
        <v>7.0</v>
      </c>
      <c r="F41" s="88"/>
      <c r="G41" s="89">
        <v>84.0</v>
      </c>
      <c r="H41" s="88"/>
      <c r="I41" s="90">
        <f t="shared" si="1"/>
        <v>72</v>
      </c>
      <c r="J41" s="91"/>
      <c r="K41" s="92">
        <v>156.0</v>
      </c>
      <c r="L41" s="90">
        <f t="shared" si="2"/>
        <v>0</v>
      </c>
      <c r="M41" s="90">
        <f t="shared" si="3"/>
        <v>156</v>
      </c>
      <c r="N41" s="32"/>
      <c r="O41" s="32">
        <v>16.904</v>
      </c>
      <c r="P41" s="32">
        <v>12.699</v>
      </c>
      <c r="Q41" s="32">
        <f t="shared" si="4"/>
        <v>207.221</v>
      </c>
      <c r="R41" s="97"/>
      <c r="S41" s="97"/>
      <c r="T41" s="97"/>
      <c r="U41" s="98"/>
      <c r="V41" s="95">
        <f t="shared" si="5"/>
        <v>0</v>
      </c>
      <c r="W41" s="9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3">
        <v>6.0</v>
      </c>
      <c r="E42" s="33">
        <v>6.0</v>
      </c>
      <c r="F42" s="88"/>
      <c r="G42" s="89">
        <v>47.0</v>
      </c>
      <c r="H42" s="88"/>
      <c r="I42" s="90">
        <f t="shared" si="1"/>
        <v>54</v>
      </c>
      <c r="J42" s="91"/>
      <c r="K42" s="92">
        <v>101.0</v>
      </c>
      <c r="L42" s="90">
        <f t="shared" si="2"/>
        <v>0</v>
      </c>
      <c r="M42" s="90">
        <f t="shared" si="3"/>
        <v>101</v>
      </c>
      <c r="N42" s="32"/>
      <c r="O42" s="32">
        <v>16.904</v>
      </c>
      <c r="P42" s="32">
        <v>12.699</v>
      </c>
      <c r="Q42" s="32">
        <f t="shared" si="4"/>
        <v>177.618</v>
      </c>
      <c r="R42" s="97"/>
      <c r="S42" s="97"/>
      <c r="T42" s="97"/>
      <c r="U42" s="243">
        <v>203850.0</v>
      </c>
      <c r="V42" s="95">
        <f t="shared" si="5"/>
        <v>0</v>
      </c>
      <c r="W42" s="95">
        <f t="shared" si="6"/>
        <v>203850</v>
      </c>
    </row>
    <row r="43" ht="14.25" customHeight="1">
      <c r="A43" s="8">
        <v>42.0</v>
      </c>
      <c r="B43" s="8" t="s">
        <v>25</v>
      </c>
      <c r="C43" s="32" t="s">
        <v>67</v>
      </c>
      <c r="D43" s="33">
        <v>6.0</v>
      </c>
      <c r="E43" s="33">
        <v>6.0</v>
      </c>
      <c r="F43" s="88"/>
      <c r="G43" s="89">
        <v>67.0</v>
      </c>
      <c r="H43" s="88"/>
      <c r="I43" s="90">
        <f t="shared" si="1"/>
        <v>67</v>
      </c>
      <c r="J43" s="91"/>
      <c r="K43" s="92">
        <v>134.0</v>
      </c>
      <c r="L43" s="90">
        <f t="shared" si="2"/>
        <v>0</v>
      </c>
      <c r="M43" s="90">
        <f t="shared" si="3"/>
        <v>134</v>
      </c>
      <c r="N43" s="32"/>
      <c r="O43" s="32">
        <v>16.904</v>
      </c>
      <c r="P43" s="32">
        <v>12.699</v>
      </c>
      <c r="Q43" s="32">
        <f t="shared" si="4"/>
        <v>177.618</v>
      </c>
      <c r="R43" s="97"/>
      <c r="S43" s="97"/>
      <c r="T43" s="97"/>
      <c r="U43" s="243">
        <v>181402.0</v>
      </c>
      <c r="V43" s="95">
        <f t="shared" si="5"/>
        <v>0</v>
      </c>
      <c r="W43" s="95">
        <f t="shared" si="6"/>
        <v>181402</v>
      </c>
    </row>
    <row r="44" ht="14.25" customHeight="1">
      <c r="A44" s="8">
        <v>43.0</v>
      </c>
      <c r="B44" s="8" t="s">
        <v>25</v>
      </c>
      <c r="C44" s="32" t="s">
        <v>68</v>
      </c>
      <c r="D44" s="33">
        <v>7.0</v>
      </c>
      <c r="E44" s="33">
        <v>7.0</v>
      </c>
      <c r="F44" s="88"/>
      <c r="G44" s="89">
        <v>36.0</v>
      </c>
      <c r="H44" s="88"/>
      <c r="I44" s="90">
        <f t="shared" si="1"/>
        <v>141</v>
      </c>
      <c r="J44" s="91"/>
      <c r="K44" s="92">
        <v>177.0</v>
      </c>
      <c r="L44" s="90">
        <f t="shared" si="2"/>
        <v>0</v>
      </c>
      <c r="M44" s="90">
        <f t="shared" si="3"/>
        <v>177</v>
      </c>
      <c r="N44" s="32"/>
      <c r="O44" s="32">
        <v>16.904</v>
      </c>
      <c r="P44" s="32">
        <v>12.699</v>
      </c>
      <c r="Q44" s="32">
        <f t="shared" si="4"/>
        <v>207.221</v>
      </c>
      <c r="R44" s="97"/>
      <c r="S44" s="97"/>
      <c r="T44" s="97"/>
      <c r="U44" s="243">
        <v>206245.0</v>
      </c>
      <c r="V44" s="95">
        <f t="shared" si="5"/>
        <v>0</v>
      </c>
      <c r="W44" s="95">
        <f t="shared" si="6"/>
        <v>206245</v>
      </c>
    </row>
    <row r="45" ht="14.25" customHeight="1">
      <c r="A45" s="8">
        <v>44.0</v>
      </c>
      <c r="B45" s="8" t="s">
        <v>25</v>
      </c>
      <c r="C45" s="32" t="s">
        <v>69</v>
      </c>
      <c r="D45" s="33">
        <v>7.0</v>
      </c>
      <c r="E45" s="33">
        <v>7.0</v>
      </c>
      <c r="F45" s="88"/>
      <c r="G45" s="89">
        <v>67.0</v>
      </c>
      <c r="H45" s="88"/>
      <c r="I45" s="90">
        <f t="shared" si="1"/>
        <v>80</v>
      </c>
      <c r="J45" s="91"/>
      <c r="K45" s="92">
        <v>147.0</v>
      </c>
      <c r="L45" s="90">
        <f t="shared" si="2"/>
        <v>0</v>
      </c>
      <c r="M45" s="90">
        <f t="shared" si="3"/>
        <v>147</v>
      </c>
      <c r="N45" s="32"/>
      <c r="O45" s="32">
        <v>16.904</v>
      </c>
      <c r="P45" s="32">
        <v>12.699</v>
      </c>
      <c r="Q45" s="32">
        <f t="shared" si="4"/>
        <v>207.221</v>
      </c>
      <c r="R45" s="97"/>
      <c r="S45" s="97"/>
      <c r="T45" s="97"/>
      <c r="U45" s="98"/>
      <c r="V45" s="95">
        <f t="shared" si="5"/>
        <v>0</v>
      </c>
      <c r="W45" s="9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3">
        <v>7.0</v>
      </c>
      <c r="E46" s="33">
        <v>7.0</v>
      </c>
      <c r="F46" s="88"/>
      <c r="G46" s="89">
        <v>93.0</v>
      </c>
      <c r="H46" s="88"/>
      <c r="I46" s="90">
        <f t="shared" si="1"/>
        <v>43</v>
      </c>
      <c r="J46" s="91"/>
      <c r="K46" s="92">
        <v>136.0</v>
      </c>
      <c r="L46" s="90">
        <f t="shared" si="2"/>
        <v>0</v>
      </c>
      <c r="M46" s="90">
        <f t="shared" si="3"/>
        <v>136</v>
      </c>
      <c r="N46" s="32"/>
      <c r="O46" s="32">
        <v>16.904</v>
      </c>
      <c r="P46" s="32">
        <v>12.699</v>
      </c>
      <c r="Q46" s="32">
        <f t="shared" si="4"/>
        <v>207.221</v>
      </c>
      <c r="R46" s="97"/>
      <c r="S46" s="97"/>
      <c r="T46" s="97"/>
      <c r="U46" s="243">
        <v>558287.0</v>
      </c>
      <c r="V46" s="95">
        <f t="shared" si="5"/>
        <v>0</v>
      </c>
      <c r="W46" s="95">
        <f t="shared" si="6"/>
        <v>558287</v>
      </c>
    </row>
    <row r="47" ht="14.25" customHeight="1">
      <c r="A47" s="8">
        <v>46.0</v>
      </c>
      <c r="B47" s="8" t="s">
        <v>25</v>
      </c>
      <c r="C47" s="32" t="s">
        <v>71</v>
      </c>
      <c r="D47" s="33">
        <v>7.0</v>
      </c>
      <c r="E47" s="33">
        <v>7.0</v>
      </c>
      <c r="F47" s="88"/>
      <c r="G47" s="89">
        <v>70.0</v>
      </c>
      <c r="H47" s="88"/>
      <c r="I47" s="90">
        <f t="shared" si="1"/>
        <v>65</v>
      </c>
      <c r="J47" s="91"/>
      <c r="K47" s="92">
        <v>135.0</v>
      </c>
      <c r="L47" s="90">
        <f t="shared" si="2"/>
        <v>0</v>
      </c>
      <c r="M47" s="90">
        <f t="shared" si="3"/>
        <v>135</v>
      </c>
      <c r="N47" s="32"/>
      <c r="O47" s="32">
        <v>16.904</v>
      </c>
      <c r="P47" s="32">
        <v>12.699</v>
      </c>
      <c r="Q47" s="32">
        <f t="shared" si="4"/>
        <v>207.221</v>
      </c>
      <c r="R47" s="97"/>
      <c r="S47" s="97"/>
      <c r="T47" s="97"/>
      <c r="U47" s="243">
        <v>183567.0</v>
      </c>
      <c r="V47" s="95">
        <f t="shared" si="5"/>
        <v>0</v>
      </c>
      <c r="W47" s="95">
        <f t="shared" si="6"/>
        <v>183567</v>
      </c>
    </row>
    <row r="48" ht="14.25" customHeight="1">
      <c r="A48" s="8">
        <v>47.0</v>
      </c>
      <c r="B48" s="8" t="s">
        <v>25</v>
      </c>
      <c r="C48" s="44" t="s">
        <v>72</v>
      </c>
      <c r="D48" s="45">
        <v>3.0</v>
      </c>
      <c r="E48" s="45">
        <v>3.0</v>
      </c>
      <c r="F48" s="81"/>
      <c r="G48" s="99">
        <v>56.0</v>
      </c>
      <c r="H48" s="81"/>
      <c r="I48" s="82">
        <f t="shared" si="1"/>
        <v>0</v>
      </c>
      <c r="J48" s="83"/>
      <c r="K48" s="83"/>
      <c r="L48" s="82">
        <f t="shared" si="2"/>
        <v>0</v>
      </c>
      <c r="M48" s="82">
        <f t="shared" si="3"/>
        <v>56</v>
      </c>
      <c r="N48" s="45" t="s">
        <v>99</v>
      </c>
      <c r="O48" s="44">
        <v>16.904</v>
      </c>
      <c r="P48" s="44">
        <v>12.699</v>
      </c>
      <c r="Q48" s="44">
        <f t="shared" si="4"/>
        <v>88.809</v>
      </c>
      <c r="R48" s="101"/>
      <c r="S48" s="101"/>
      <c r="T48" s="101"/>
      <c r="U48" s="86"/>
      <c r="V48" s="87">
        <f t="shared" si="5"/>
        <v>0</v>
      </c>
      <c r="W48" s="87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3">
        <v>7.0</v>
      </c>
      <c r="E49" s="33">
        <v>7.0</v>
      </c>
      <c r="F49" s="88"/>
      <c r="G49" s="89">
        <v>69.0</v>
      </c>
      <c r="H49" s="88"/>
      <c r="I49" s="90">
        <f t="shared" si="1"/>
        <v>92</v>
      </c>
      <c r="J49" s="91"/>
      <c r="K49" s="92">
        <v>161.0</v>
      </c>
      <c r="L49" s="90">
        <f t="shared" si="2"/>
        <v>0</v>
      </c>
      <c r="M49" s="90">
        <f t="shared" si="3"/>
        <v>161</v>
      </c>
      <c r="N49" s="32"/>
      <c r="O49" s="32">
        <v>16.904</v>
      </c>
      <c r="P49" s="32">
        <v>12.699</v>
      </c>
      <c r="Q49" s="32">
        <f t="shared" si="4"/>
        <v>207.221</v>
      </c>
      <c r="R49" s="97"/>
      <c r="S49" s="97"/>
      <c r="T49" s="97"/>
      <c r="U49" s="98"/>
      <c r="V49" s="95">
        <f t="shared" si="5"/>
        <v>0</v>
      </c>
      <c r="W49" s="9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3">
        <v>7.0</v>
      </c>
      <c r="E50" s="33">
        <v>7.0</v>
      </c>
      <c r="F50" s="88"/>
      <c r="G50" s="89">
        <v>51.0</v>
      </c>
      <c r="H50" s="88"/>
      <c r="I50" s="90">
        <f t="shared" si="1"/>
        <v>50</v>
      </c>
      <c r="J50" s="91"/>
      <c r="K50" s="92">
        <v>101.0</v>
      </c>
      <c r="L50" s="90">
        <f t="shared" si="2"/>
        <v>0</v>
      </c>
      <c r="M50" s="90">
        <f t="shared" si="3"/>
        <v>101</v>
      </c>
      <c r="N50" s="32"/>
      <c r="O50" s="32">
        <v>16.904</v>
      </c>
      <c r="P50" s="32">
        <v>12.699</v>
      </c>
      <c r="Q50" s="32">
        <f t="shared" si="4"/>
        <v>207.221</v>
      </c>
      <c r="R50" s="97"/>
      <c r="S50" s="97"/>
      <c r="T50" s="97"/>
      <c r="U50" s="243">
        <v>177966.0</v>
      </c>
      <c r="V50" s="95">
        <f t="shared" si="5"/>
        <v>0</v>
      </c>
      <c r="W50" s="95">
        <f t="shared" si="6"/>
        <v>177966</v>
      </c>
    </row>
    <row r="51" ht="14.25" customHeight="1">
      <c r="A51" s="8">
        <v>50.0</v>
      </c>
      <c r="B51" s="8" t="s">
        <v>25</v>
      </c>
      <c r="C51" s="32" t="s">
        <v>75</v>
      </c>
      <c r="D51" s="33">
        <v>7.0</v>
      </c>
      <c r="E51" s="33">
        <v>7.0</v>
      </c>
      <c r="F51" s="88"/>
      <c r="G51" s="89">
        <v>59.0</v>
      </c>
      <c r="H51" s="88"/>
      <c r="I51" s="90">
        <f t="shared" si="1"/>
        <v>79</v>
      </c>
      <c r="J51" s="91"/>
      <c r="K51" s="92">
        <v>138.0</v>
      </c>
      <c r="L51" s="90">
        <f t="shared" si="2"/>
        <v>0</v>
      </c>
      <c r="M51" s="90">
        <f t="shared" si="3"/>
        <v>138</v>
      </c>
      <c r="N51" s="32"/>
      <c r="O51" s="32">
        <v>16.904</v>
      </c>
      <c r="P51" s="32">
        <v>12.699</v>
      </c>
      <c r="Q51" s="32">
        <f t="shared" si="4"/>
        <v>207.221</v>
      </c>
      <c r="R51" s="97"/>
      <c r="S51" s="97"/>
      <c r="T51" s="97"/>
      <c r="U51" s="243">
        <v>198452.0</v>
      </c>
      <c r="V51" s="95">
        <f t="shared" si="5"/>
        <v>0</v>
      </c>
      <c r="W51" s="95">
        <f t="shared" si="6"/>
        <v>198452</v>
      </c>
    </row>
    <row r="52" ht="14.25" customHeight="1">
      <c r="A52" s="8">
        <v>51.0</v>
      </c>
      <c r="B52" s="8" t="s">
        <v>25</v>
      </c>
      <c r="C52" s="32" t="s">
        <v>76</v>
      </c>
      <c r="D52" s="33">
        <v>6.0</v>
      </c>
      <c r="E52" s="33">
        <v>6.0</v>
      </c>
      <c r="F52" s="88"/>
      <c r="G52" s="89">
        <v>65.0</v>
      </c>
      <c r="H52" s="88"/>
      <c r="I52" s="90">
        <f t="shared" si="1"/>
        <v>95</v>
      </c>
      <c r="J52" s="91"/>
      <c r="K52" s="92">
        <v>160.0</v>
      </c>
      <c r="L52" s="90">
        <f t="shared" si="2"/>
        <v>0</v>
      </c>
      <c r="M52" s="90">
        <f t="shared" si="3"/>
        <v>160</v>
      </c>
      <c r="N52" s="32"/>
      <c r="O52" s="32">
        <v>16.904</v>
      </c>
      <c r="P52" s="32">
        <v>12.699</v>
      </c>
      <c r="Q52" s="32">
        <f t="shared" si="4"/>
        <v>177.618</v>
      </c>
      <c r="R52" s="97"/>
      <c r="S52" s="97"/>
      <c r="T52" s="97"/>
      <c r="U52" s="243">
        <v>529971.0</v>
      </c>
      <c r="V52" s="95">
        <f t="shared" si="5"/>
        <v>0</v>
      </c>
      <c r="W52" s="95">
        <f t="shared" si="6"/>
        <v>529971</v>
      </c>
    </row>
    <row r="53" ht="14.25" customHeight="1">
      <c r="A53" s="8">
        <v>52.0</v>
      </c>
      <c r="B53" s="8" t="s">
        <v>25</v>
      </c>
      <c r="C53" s="32" t="s">
        <v>77</v>
      </c>
      <c r="D53" s="33">
        <v>6.0</v>
      </c>
      <c r="E53" s="33">
        <v>6.0</v>
      </c>
      <c r="F53" s="88"/>
      <c r="G53" s="89">
        <v>55.0</v>
      </c>
      <c r="H53" s="88"/>
      <c r="I53" s="90">
        <f t="shared" si="1"/>
        <v>82</v>
      </c>
      <c r="J53" s="91"/>
      <c r="K53" s="92">
        <v>137.0</v>
      </c>
      <c r="L53" s="90">
        <f t="shared" si="2"/>
        <v>0</v>
      </c>
      <c r="M53" s="90">
        <f t="shared" si="3"/>
        <v>137</v>
      </c>
      <c r="N53" s="32"/>
      <c r="O53" s="32">
        <v>16.904</v>
      </c>
      <c r="P53" s="32">
        <v>12.699</v>
      </c>
      <c r="Q53" s="32">
        <f t="shared" si="4"/>
        <v>177.618</v>
      </c>
      <c r="R53" s="97"/>
      <c r="S53" s="97"/>
      <c r="T53" s="97"/>
      <c r="U53" s="243">
        <v>479750.0</v>
      </c>
      <c r="V53" s="95">
        <f t="shared" si="5"/>
        <v>0</v>
      </c>
      <c r="W53" s="95">
        <f t="shared" si="6"/>
        <v>479750</v>
      </c>
    </row>
    <row r="54" ht="14.25" customHeight="1">
      <c r="A54" s="8">
        <v>53.0</v>
      </c>
      <c r="B54" s="8" t="s">
        <v>25</v>
      </c>
      <c r="C54" s="32" t="s">
        <v>78</v>
      </c>
      <c r="D54" s="33">
        <v>7.0</v>
      </c>
      <c r="E54" s="33">
        <v>7.0</v>
      </c>
      <c r="F54" s="88"/>
      <c r="G54" s="89">
        <v>76.0</v>
      </c>
      <c r="H54" s="88"/>
      <c r="I54" s="90">
        <f t="shared" si="1"/>
        <v>98</v>
      </c>
      <c r="J54" s="91"/>
      <c r="K54" s="92">
        <v>174.0</v>
      </c>
      <c r="L54" s="90">
        <f t="shared" si="2"/>
        <v>0</v>
      </c>
      <c r="M54" s="90">
        <f t="shared" si="3"/>
        <v>174</v>
      </c>
      <c r="N54" s="32"/>
      <c r="O54" s="32">
        <v>16.904</v>
      </c>
      <c r="P54" s="32">
        <v>12.699</v>
      </c>
      <c r="Q54" s="32">
        <f t="shared" si="4"/>
        <v>207.221</v>
      </c>
      <c r="R54" s="97"/>
      <c r="S54" s="97"/>
      <c r="T54" s="97"/>
      <c r="U54" s="243">
        <v>493164.0</v>
      </c>
      <c r="V54" s="95">
        <f t="shared" si="5"/>
        <v>0</v>
      </c>
      <c r="W54" s="95">
        <f t="shared" si="6"/>
        <v>493164</v>
      </c>
    </row>
    <row r="55" ht="14.25" customHeight="1">
      <c r="A55" s="8">
        <v>54.0</v>
      </c>
      <c r="B55" s="8" t="s">
        <v>25</v>
      </c>
      <c r="C55" s="32" t="s">
        <v>79</v>
      </c>
      <c r="D55" s="33">
        <v>6.0</v>
      </c>
      <c r="E55" s="33">
        <v>6.0</v>
      </c>
      <c r="F55" s="88"/>
      <c r="G55" s="89">
        <v>62.0</v>
      </c>
      <c r="H55" s="88"/>
      <c r="I55" s="90">
        <f t="shared" si="1"/>
        <v>90</v>
      </c>
      <c r="J55" s="91"/>
      <c r="K55" s="92">
        <v>152.0</v>
      </c>
      <c r="L55" s="90">
        <f t="shared" si="2"/>
        <v>0</v>
      </c>
      <c r="M55" s="90">
        <f t="shared" si="3"/>
        <v>152</v>
      </c>
      <c r="N55" s="32"/>
      <c r="O55" s="32">
        <v>16.904</v>
      </c>
      <c r="P55" s="32">
        <v>12.699</v>
      </c>
      <c r="Q55" s="32">
        <f t="shared" si="4"/>
        <v>177.618</v>
      </c>
      <c r="R55" s="97"/>
      <c r="S55" s="97"/>
      <c r="T55" s="97"/>
      <c r="U55" s="243">
        <v>521761.0</v>
      </c>
      <c r="V55" s="95">
        <f t="shared" si="5"/>
        <v>0</v>
      </c>
      <c r="W55" s="95">
        <f t="shared" si="6"/>
        <v>521761</v>
      </c>
    </row>
    <row r="56" ht="14.25" customHeight="1">
      <c r="A56" s="8">
        <v>55.0</v>
      </c>
      <c r="B56" s="8" t="s">
        <v>25</v>
      </c>
      <c r="C56" s="53" t="s">
        <v>80</v>
      </c>
      <c r="D56" s="53"/>
      <c r="E56" s="54">
        <v>1.0</v>
      </c>
      <c r="F56" s="246"/>
      <c r="G56" s="247">
        <v>13.0</v>
      </c>
      <c r="H56" s="246"/>
      <c r="I56" s="248">
        <f t="shared" si="1"/>
        <v>0</v>
      </c>
      <c r="J56" s="249"/>
      <c r="K56" s="249"/>
      <c r="L56" s="248">
        <f t="shared" si="2"/>
        <v>0</v>
      </c>
      <c r="M56" s="248">
        <f t="shared" si="3"/>
        <v>13</v>
      </c>
      <c r="N56" s="54" t="s">
        <v>116</v>
      </c>
      <c r="O56" s="53">
        <v>16.904</v>
      </c>
      <c r="P56" s="53">
        <v>12.699</v>
      </c>
      <c r="Q56" s="53">
        <f t="shared" si="4"/>
        <v>12.699</v>
      </c>
      <c r="R56" s="250"/>
      <c r="S56" s="250"/>
      <c r="T56" s="251"/>
      <c r="U56" s="252"/>
      <c r="V56" s="253">
        <f t="shared" si="5"/>
        <v>0</v>
      </c>
      <c r="W56" s="253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3">
        <v>7.0</v>
      </c>
      <c r="E57" s="33">
        <v>7.0</v>
      </c>
      <c r="F57" s="88"/>
      <c r="G57" s="89">
        <v>54.0</v>
      </c>
      <c r="H57" s="88"/>
      <c r="I57" s="90">
        <f t="shared" si="1"/>
        <v>41</v>
      </c>
      <c r="J57" s="91"/>
      <c r="K57" s="92">
        <v>95.0</v>
      </c>
      <c r="L57" s="90">
        <f t="shared" si="2"/>
        <v>0</v>
      </c>
      <c r="M57" s="90">
        <f t="shared" si="3"/>
        <v>95</v>
      </c>
      <c r="N57" s="32"/>
      <c r="O57" s="32">
        <v>16.904</v>
      </c>
      <c r="P57" s="32">
        <v>12.699</v>
      </c>
      <c r="Q57" s="32">
        <f t="shared" si="4"/>
        <v>207.221</v>
      </c>
      <c r="R57" s="97"/>
      <c r="S57" s="97"/>
      <c r="T57" s="97"/>
      <c r="U57" s="98"/>
      <c r="V57" s="95">
        <f t="shared" si="5"/>
        <v>0</v>
      </c>
      <c r="W57" s="9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3">
        <v>7.0</v>
      </c>
      <c r="E58" s="33">
        <v>7.0</v>
      </c>
      <c r="F58" s="88"/>
      <c r="G58" s="89">
        <v>65.0</v>
      </c>
      <c r="H58" s="88"/>
      <c r="I58" s="90">
        <f t="shared" si="1"/>
        <v>134</v>
      </c>
      <c r="J58" s="91"/>
      <c r="K58" s="92">
        <v>199.0</v>
      </c>
      <c r="L58" s="90">
        <f t="shared" si="2"/>
        <v>0</v>
      </c>
      <c r="M58" s="90">
        <f t="shared" si="3"/>
        <v>199</v>
      </c>
      <c r="N58" s="32"/>
      <c r="O58" s="32">
        <v>16.904</v>
      </c>
      <c r="P58" s="32">
        <v>12.699</v>
      </c>
      <c r="Q58" s="32">
        <f t="shared" si="4"/>
        <v>207.221</v>
      </c>
      <c r="R58" s="97"/>
      <c r="S58" s="97"/>
      <c r="T58" s="97"/>
      <c r="U58" s="98"/>
      <c r="V58" s="95">
        <f t="shared" si="5"/>
        <v>0</v>
      </c>
      <c r="W58" s="9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3">
        <v>7.0</v>
      </c>
      <c r="E59" s="33">
        <v>7.0</v>
      </c>
      <c r="F59" s="88"/>
      <c r="G59" s="89">
        <v>48.0</v>
      </c>
      <c r="H59" s="88"/>
      <c r="I59" s="90">
        <f t="shared" si="1"/>
        <v>75</v>
      </c>
      <c r="J59" s="91"/>
      <c r="K59" s="92">
        <v>123.0</v>
      </c>
      <c r="L59" s="90">
        <f t="shared" si="2"/>
        <v>0</v>
      </c>
      <c r="M59" s="90">
        <f t="shared" si="3"/>
        <v>123</v>
      </c>
      <c r="N59" s="32"/>
      <c r="O59" s="32">
        <v>16.904</v>
      </c>
      <c r="P59" s="32">
        <v>12.699</v>
      </c>
      <c r="Q59" s="32">
        <f t="shared" si="4"/>
        <v>207.221</v>
      </c>
      <c r="R59" s="97"/>
      <c r="S59" s="97"/>
      <c r="T59" s="113"/>
      <c r="U59" s="94"/>
      <c r="V59" s="95">
        <f t="shared" si="5"/>
        <v>0</v>
      </c>
      <c r="W59" s="9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3">
        <v>7.0</v>
      </c>
      <c r="E60" s="33">
        <v>7.0</v>
      </c>
      <c r="F60" s="88"/>
      <c r="G60" s="89">
        <v>59.0</v>
      </c>
      <c r="H60" s="88"/>
      <c r="I60" s="90">
        <f t="shared" si="1"/>
        <v>108</v>
      </c>
      <c r="J60" s="91"/>
      <c r="K60" s="92">
        <v>167.0</v>
      </c>
      <c r="L60" s="90">
        <f t="shared" si="2"/>
        <v>0</v>
      </c>
      <c r="M60" s="90">
        <f t="shared" si="3"/>
        <v>167</v>
      </c>
      <c r="N60" s="32"/>
      <c r="O60" s="32">
        <v>16.904</v>
      </c>
      <c r="P60" s="32">
        <v>12.699</v>
      </c>
      <c r="Q60" s="32">
        <f t="shared" si="4"/>
        <v>207.221</v>
      </c>
      <c r="R60" s="118"/>
      <c r="S60" s="118"/>
      <c r="T60" s="118"/>
      <c r="U60" s="119"/>
      <c r="V60" s="120">
        <f t="shared" si="5"/>
        <v>0</v>
      </c>
      <c r="W60" s="120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3">
        <v>7.0</v>
      </c>
      <c r="E61" s="33">
        <v>7.0</v>
      </c>
      <c r="F61" s="88"/>
      <c r="G61" s="89">
        <v>52.0</v>
      </c>
      <c r="H61" s="88"/>
      <c r="I61" s="90">
        <f t="shared" si="1"/>
        <v>95</v>
      </c>
      <c r="J61" s="91"/>
      <c r="K61" s="92">
        <v>147.0</v>
      </c>
      <c r="L61" s="90">
        <f t="shared" si="2"/>
        <v>0</v>
      </c>
      <c r="M61" s="90">
        <f t="shared" si="3"/>
        <v>147</v>
      </c>
      <c r="N61" s="32"/>
      <c r="O61" s="32">
        <v>16.904</v>
      </c>
      <c r="P61" s="32">
        <v>12.699</v>
      </c>
      <c r="Q61" s="32">
        <f t="shared" si="4"/>
        <v>207.221</v>
      </c>
      <c r="R61" s="122"/>
      <c r="S61" s="122"/>
      <c r="T61" s="122"/>
      <c r="U61" s="122"/>
      <c r="V61" s="123">
        <f t="shared" si="5"/>
        <v>0</v>
      </c>
      <c r="W61" s="123">
        <f t="shared" si="6"/>
        <v>0</v>
      </c>
    </row>
    <row r="62" ht="14.25" customHeight="1">
      <c r="A62" s="124"/>
      <c r="D62" s="125" t="s">
        <v>86</v>
      </c>
      <c r="E62" s="125">
        <f>SUM(M:M)</f>
        <v>8128</v>
      </c>
    </row>
    <row r="63" ht="14.25" customHeight="1">
      <c r="A63" s="124"/>
      <c r="D63" s="125" t="s">
        <v>87</v>
      </c>
      <c r="E63" s="125">
        <f>SUM(Q:Q)</f>
        <v>11485.964</v>
      </c>
    </row>
    <row r="64" ht="14.25" customHeight="1">
      <c r="A64" s="124"/>
      <c r="D64" s="125" t="s">
        <v>88</v>
      </c>
      <c r="E64" s="125">
        <f>E62/E63</f>
        <v>0.7076463064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>
        <f>AVERAGEIF(Q:Q,"&gt;0",Q:Q)</f>
        <v>191.4327333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3255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3255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4873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4873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8128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77" t="s">
        <v>19</v>
      </c>
      <c r="S1" s="78" t="s">
        <v>20</v>
      </c>
      <c r="T1" s="78" t="s">
        <v>21</v>
      </c>
      <c r="U1" s="78" t="s">
        <v>22</v>
      </c>
      <c r="V1" s="79" t="s">
        <v>23</v>
      </c>
      <c r="W1" s="79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44" t="s">
        <v>26</v>
      </c>
      <c r="D2" s="45">
        <v>3.0</v>
      </c>
      <c r="E2" s="45">
        <v>3.0</v>
      </c>
      <c r="F2" s="81"/>
      <c r="G2" s="99">
        <v>45.0</v>
      </c>
      <c r="H2" s="81"/>
      <c r="I2" s="82">
        <f t="shared" ref="I2:I61" si="1">max(0,K2-G2)</f>
        <v>0</v>
      </c>
      <c r="J2" s="83"/>
      <c r="K2" s="83"/>
      <c r="L2" s="82">
        <f t="shared" ref="L2:L61" si="2">J2+H2</f>
        <v>0</v>
      </c>
      <c r="M2" s="82">
        <f t="shared" ref="M2:M61" si="3">G2+H2+I2+J2</f>
        <v>45</v>
      </c>
      <c r="N2" s="45" t="s">
        <v>117</v>
      </c>
      <c r="O2" s="44">
        <v>16.904</v>
      </c>
      <c r="P2" s="44">
        <v>12.699</v>
      </c>
      <c r="Q2" s="44">
        <f t="shared" ref="Q2:Q61" si="4">(D2*O2)+(E2*P2)</f>
        <v>88.809</v>
      </c>
      <c r="R2" s="84"/>
      <c r="S2" s="85"/>
      <c r="T2" s="86"/>
      <c r="U2" s="86"/>
      <c r="V2" s="87">
        <f t="shared" ref="V2:V61" si="5">S2-R2</f>
        <v>0</v>
      </c>
      <c r="W2" s="87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3">
        <v>7.0</v>
      </c>
      <c r="E3" s="33">
        <v>7.0</v>
      </c>
      <c r="F3" s="88"/>
      <c r="G3" s="89">
        <v>55.0</v>
      </c>
      <c r="H3" s="88"/>
      <c r="I3" s="90">
        <f t="shared" si="1"/>
        <v>74</v>
      </c>
      <c r="J3" s="91"/>
      <c r="K3" s="92">
        <v>129.0</v>
      </c>
      <c r="L3" s="90">
        <f t="shared" si="2"/>
        <v>0</v>
      </c>
      <c r="M3" s="90">
        <f t="shared" si="3"/>
        <v>129</v>
      </c>
      <c r="N3" s="32"/>
      <c r="O3" s="32">
        <v>16.904</v>
      </c>
      <c r="P3" s="32">
        <v>12.699</v>
      </c>
      <c r="Q3" s="32">
        <f t="shared" si="4"/>
        <v>207.221</v>
      </c>
      <c r="R3" s="113"/>
      <c r="S3" s="94"/>
      <c r="T3" s="94"/>
      <c r="U3" s="94"/>
      <c r="V3" s="95">
        <f t="shared" si="5"/>
        <v>0</v>
      </c>
      <c r="W3" s="9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3">
        <v>7.0</v>
      </c>
      <c r="E4" s="33">
        <v>7.0</v>
      </c>
      <c r="F4" s="88"/>
      <c r="G4" s="88"/>
      <c r="H4" s="88"/>
      <c r="I4" s="90">
        <f t="shared" si="1"/>
        <v>111</v>
      </c>
      <c r="J4" s="91"/>
      <c r="K4" s="92">
        <v>111.0</v>
      </c>
      <c r="L4" s="90">
        <f t="shared" si="2"/>
        <v>0</v>
      </c>
      <c r="M4" s="90">
        <f t="shared" si="3"/>
        <v>111</v>
      </c>
      <c r="N4" s="32"/>
      <c r="O4" s="32">
        <v>16.904</v>
      </c>
      <c r="P4" s="32">
        <v>12.699</v>
      </c>
      <c r="Q4" s="32">
        <f t="shared" si="4"/>
        <v>207.221</v>
      </c>
      <c r="R4" s="97"/>
      <c r="S4" s="97"/>
      <c r="T4" s="97"/>
      <c r="U4" s="98"/>
      <c r="V4" s="95">
        <f t="shared" si="5"/>
        <v>0</v>
      </c>
      <c r="W4" s="95">
        <f t="shared" si="6"/>
        <v>0</v>
      </c>
    </row>
    <row r="5" ht="14.25" customHeight="1">
      <c r="A5" s="8">
        <v>4.0</v>
      </c>
      <c r="B5" s="8" t="s">
        <v>25</v>
      </c>
      <c r="C5" s="44" t="s">
        <v>29</v>
      </c>
      <c r="D5" s="45">
        <v>7.0</v>
      </c>
      <c r="E5" s="45">
        <v>7.0</v>
      </c>
      <c r="F5" s="81"/>
      <c r="G5" s="99">
        <v>60.0</v>
      </c>
      <c r="H5" s="81"/>
      <c r="I5" s="82">
        <f t="shared" si="1"/>
        <v>0</v>
      </c>
      <c r="J5" s="83"/>
      <c r="K5" s="83"/>
      <c r="L5" s="82">
        <f t="shared" si="2"/>
        <v>0</v>
      </c>
      <c r="M5" s="82">
        <f t="shared" si="3"/>
        <v>60</v>
      </c>
      <c r="N5" s="45" t="s">
        <v>117</v>
      </c>
      <c r="O5" s="44">
        <v>16.904</v>
      </c>
      <c r="P5" s="44">
        <v>12.699</v>
      </c>
      <c r="Q5" s="44">
        <f t="shared" si="4"/>
        <v>207.221</v>
      </c>
      <c r="R5" s="101"/>
      <c r="S5" s="101"/>
      <c r="T5" s="101"/>
      <c r="U5" s="86"/>
      <c r="V5" s="87">
        <f t="shared" si="5"/>
        <v>0</v>
      </c>
      <c r="W5" s="87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3">
        <v>6.0</v>
      </c>
      <c r="E6" s="33">
        <v>6.0</v>
      </c>
      <c r="F6" s="88"/>
      <c r="G6" s="89">
        <v>38.0</v>
      </c>
      <c r="H6" s="88"/>
      <c r="I6" s="90">
        <f t="shared" si="1"/>
        <v>97</v>
      </c>
      <c r="J6" s="91"/>
      <c r="K6" s="92">
        <v>135.0</v>
      </c>
      <c r="L6" s="90">
        <f t="shared" si="2"/>
        <v>0</v>
      </c>
      <c r="M6" s="90">
        <f t="shared" si="3"/>
        <v>135</v>
      </c>
      <c r="N6" s="32"/>
      <c r="O6" s="32">
        <v>16.904</v>
      </c>
      <c r="P6" s="32">
        <v>12.699</v>
      </c>
      <c r="Q6" s="32">
        <f t="shared" si="4"/>
        <v>177.618</v>
      </c>
      <c r="R6" s="97"/>
      <c r="S6" s="97"/>
      <c r="T6" s="97"/>
      <c r="U6" s="98"/>
      <c r="V6" s="95">
        <f t="shared" si="5"/>
        <v>0</v>
      </c>
      <c r="W6" s="9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3">
        <v>7.0</v>
      </c>
      <c r="E7" s="33">
        <v>7.0</v>
      </c>
      <c r="F7" s="88"/>
      <c r="G7" s="89">
        <v>52.0</v>
      </c>
      <c r="H7" s="88"/>
      <c r="I7" s="90">
        <f t="shared" si="1"/>
        <v>125</v>
      </c>
      <c r="J7" s="91"/>
      <c r="K7" s="92">
        <v>177.0</v>
      </c>
      <c r="L7" s="90">
        <f t="shared" si="2"/>
        <v>0</v>
      </c>
      <c r="M7" s="90">
        <f t="shared" si="3"/>
        <v>177</v>
      </c>
      <c r="N7" s="32"/>
      <c r="O7" s="32">
        <v>16.904</v>
      </c>
      <c r="P7" s="32">
        <v>12.699</v>
      </c>
      <c r="Q7" s="32">
        <f t="shared" si="4"/>
        <v>207.221</v>
      </c>
      <c r="R7" s="97"/>
      <c r="S7" s="97"/>
      <c r="T7" s="97"/>
      <c r="U7" s="98"/>
      <c r="V7" s="95">
        <f t="shared" si="5"/>
        <v>0</v>
      </c>
      <c r="W7" s="9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3">
        <v>7.0</v>
      </c>
      <c r="E8" s="33">
        <v>7.0</v>
      </c>
      <c r="F8" s="88"/>
      <c r="G8" s="89">
        <v>33.0</v>
      </c>
      <c r="H8" s="88"/>
      <c r="I8" s="90">
        <f t="shared" si="1"/>
        <v>62</v>
      </c>
      <c r="J8" s="91"/>
      <c r="K8" s="92">
        <v>95.0</v>
      </c>
      <c r="L8" s="90">
        <f t="shared" si="2"/>
        <v>0</v>
      </c>
      <c r="M8" s="90">
        <f t="shared" si="3"/>
        <v>95</v>
      </c>
      <c r="N8" s="32"/>
      <c r="O8" s="32">
        <v>16.904</v>
      </c>
      <c r="P8" s="32">
        <v>12.699</v>
      </c>
      <c r="Q8" s="32">
        <f t="shared" si="4"/>
        <v>207.221</v>
      </c>
      <c r="R8" s="97"/>
      <c r="S8" s="97"/>
      <c r="T8" s="97"/>
      <c r="U8" s="98"/>
      <c r="V8" s="95">
        <f t="shared" si="5"/>
        <v>0</v>
      </c>
      <c r="W8" s="95">
        <f t="shared" si="6"/>
        <v>0</v>
      </c>
    </row>
    <row r="9" ht="14.25" customHeight="1">
      <c r="A9" s="8">
        <v>8.0</v>
      </c>
      <c r="B9" s="8" t="s">
        <v>25</v>
      </c>
      <c r="C9" s="44" t="s">
        <v>33</v>
      </c>
      <c r="D9" s="45">
        <v>3.0</v>
      </c>
      <c r="E9" s="45">
        <v>3.0</v>
      </c>
      <c r="F9" s="81"/>
      <c r="G9" s="99">
        <v>43.0</v>
      </c>
      <c r="H9" s="81"/>
      <c r="I9" s="82">
        <f t="shared" si="1"/>
        <v>0</v>
      </c>
      <c r="J9" s="83"/>
      <c r="K9" s="83"/>
      <c r="L9" s="82">
        <f t="shared" si="2"/>
        <v>0</v>
      </c>
      <c r="M9" s="82">
        <f t="shared" si="3"/>
        <v>43</v>
      </c>
      <c r="N9" s="45" t="s">
        <v>117</v>
      </c>
      <c r="O9" s="44">
        <v>16.904</v>
      </c>
      <c r="P9" s="44">
        <v>12.699</v>
      </c>
      <c r="Q9" s="44">
        <f t="shared" si="4"/>
        <v>88.809</v>
      </c>
      <c r="R9" s="101"/>
      <c r="S9" s="101"/>
      <c r="T9" s="101"/>
      <c r="U9" s="86"/>
      <c r="V9" s="87">
        <f t="shared" si="5"/>
        <v>0</v>
      </c>
      <c r="W9" s="87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3">
        <v>6.0</v>
      </c>
      <c r="E10" s="33">
        <v>6.0</v>
      </c>
      <c r="F10" s="88"/>
      <c r="G10" s="89">
        <v>66.0</v>
      </c>
      <c r="H10" s="88"/>
      <c r="I10" s="90">
        <f t="shared" si="1"/>
        <v>52</v>
      </c>
      <c r="J10" s="91"/>
      <c r="K10" s="92">
        <v>118.0</v>
      </c>
      <c r="L10" s="90">
        <f t="shared" si="2"/>
        <v>0</v>
      </c>
      <c r="M10" s="90">
        <f t="shared" si="3"/>
        <v>118</v>
      </c>
      <c r="N10" s="32"/>
      <c r="O10" s="32">
        <v>16.904</v>
      </c>
      <c r="P10" s="32">
        <v>12.699</v>
      </c>
      <c r="Q10" s="32">
        <f t="shared" si="4"/>
        <v>177.618</v>
      </c>
      <c r="R10" s="97"/>
      <c r="S10" s="97"/>
      <c r="T10" s="97"/>
      <c r="U10" s="98"/>
      <c r="V10" s="95">
        <f t="shared" si="5"/>
        <v>0</v>
      </c>
      <c r="W10" s="9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3">
        <v>7.0</v>
      </c>
      <c r="E11" s="33">
        <v>7.0</v>
      </c>
      <c r="F11" s="88"/>
      <c r="G11" s="89">
        <v>62.0</v>
      </c>
      <c r="H11" s="88"/>
      <c r="I11" s="90">
        <f t="shared" si="1"/>
        <v>87</v>
      </c>
      <c r="J11" s="91"/>
      <c r="K11" s="92">
        <v>149.0</v>
      </c>
      <c r="L11" s="90">
        <f t="shared" si="2"/>
        <v>0</v>
      </c>
      <c r="M11" s="90">
        <f t="shared" si="3"/>
        <v>149</v>
      </c>
      <c r="N11" s="32"/>
      <c r="O11" s="32">
        <v>16.904</v>
      </c>
      <c r="P11" s="32">
        <v>12.699</v>
      </c>
      <c r="Q11" s="32">
        <f t="shared" si="4"/>
        <v>207.221</v>
      </c>
      <c r="R11" s="97"/>
      <c r="S11" s="97"/>
      <c r="T11" s="97"/>
      <c r="U11" s="98"/>
      <c r="V11" s="95">
        <f t="shared" si="5"/>
        <v>0</v>
      </c>
      <c r="W11" s="9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3">
        <v>7.0</v>
      </c>
      <c r="E12" s="33">
        <v>7.0</v>
      </c>
      <c r="F12" s="88"/>
      <c r="G12" s="89">
        <v>60.0</v>
      </c>
      <c r="H12" s="88"/>
      <c r="I12" s="90">
        <f t="shared" si="1"/>
        <v>72</v>
      </c>
      <c r="J12" s="91"/>
      <c r="K12" s="92">
        <v>132.0</v>
      </c>
      <c r="L12" s="90">
        <f t="shared" si="2"/>
        <v>0</v>
      </c>
      <c r="M12" s="90">
        <f t="shared" si="3"/>
        <v>132</v>
      </c>
      <c r="N12" s="32"/>
      <c r="O12" s="32">
        <v>16.904</v>
      </c>
      <c r="P12" s="32">
        <v>12.699</v>
      </c>
      <c r="Q12" s="32">
        <f t="shared" si="4"/>
        <v>207.221</v>
      </c>
      <c r="R12" s="97"/>
      <c r="S12" s="97"/>
      <c r="T12" s="97"/>
      <c r="U12" s="98"/>
      <c r="V12" s="95">
        <f t="shared" si="5"/>
        <v>0</v>
      </c>
      <c r="W12" s="9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3">
        <v>7.0</v>
      </c>
      <c r="E13" s="33">
        <v>7.0</v>
      </c>
      <c r="F13" s="88"/>
      <c r="G13" s="89">
        <v>61.0</v>
      </c>
      <c r="H13" s="88"/>
      <c r="I13" s="90">
        <f t="shared" si="1"/>
        <v>89</v>
      </c>
      <c r="J13" s="91"/>
      <c r="K13" s="92">
        <v>150.0</v>
      </c>
      <c r="L13" s="90">
        <f t="shared" si="2"/>
        <v>0</v>
      </c>
      <c r="M13" s="90">
        <f t="shared" si="3"/>
        <v>150</v>
      </c>
      <c r="N13" s="32"/>
      <c r="O13" s="32">
        <v>16.904</v>
      </c>
      <c r="P13" s="32">
        <v>12.699</v>
      </c>
      <c r="Q13" s="32">
        <f t="shared" si="4"/>
        <v>207.221</v>
      </c>
      <c r="R13" s="97"/>
      <c r="S13" s="97"/>
      <c r="T13" s="97"/>
      <c r="U13" s="98"/>
      <c r="V13" s="95">
        <f t="shared" si="5"/>
        <v>0</v>
      </c>
      <c r="W13" s="9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3">
        <v>6.0</v>
      </c>
      <c r="E14" s="33">
        <v>6.0</v>
      </c>
      <c r="F14" s="88"/>
      <c r="G14" s="89">
        <v>49.0</v>
      </c>
      <c r="H14" s="88"/>
      <c r="I14" s="90">
        <f t="shared" si="1"/>
        <v>53</v>
      </c>
      <c r="J14" s="91"/>
      <c r="K14" s="92">
        <v>102.0</v>
      </c>
      <c r="L14" s="90">
        <f t="shared" si="2"/>
        <v>0</v>
      </c>
      <c r="M14" s="90">
        <f t="shared" si="3"/>
        <v>102</v>
      </c>
      <c r="N14" s="32"/>
      <c r="O14" s="32">
        <v>16.904</v>
      </c>
      <c r="P14" s="32">
        <v>12.699</v>
      </c>
      <c r="Q14" s="32">
        <f t="shared" si="4"/>
        <v>177.618</v>
      </c>
      <c r="R14" s="97"/>
      <c r="S14" s="97"/>
      <c r="T14" s="97"/>
      <c r="U14" s="98"/>
      <c r="V14" s="95">
        <f t="shared" si="5"/>
        <v>0</v>
      </c>
      <c r="W14" s="9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3">
        <v>6.0</v>
      </c>
      <c r="E15" s="33">
        <v>6.0</v>
      </c>
      <c r="F15" s="88"/>
      <c r="G15" s="89">
        <v>41.0</v>
      </c>
      <c r="H15" s="88"/>
      <c r="I15" s="90">
        <f t="shared" si="1"/>
        <v>81</v>
      </c>
      <c r="J15" s="91"/>
      <c r="K15" s="92">
        <v>122.0</v>
      </c>
      <c r="L15" s="90">
        <f t="shared" si="2"/>
        <v>0</v>
      </c>
      <c r="M15" s="90">
        <f t="shared" si="3"/>
        <v>122</v>
      </c>
      <c r="N15" s="32"/>
      <c r="O15" s="32">
        <v>16.904</v>
      </c>
      <c r="P15" s="32">
        <v>12.699</v>
      </c>
      <c r="Q15" s="32">
        <f t="shared" si="4"/>
        <v>177.618</v>
      </c>
      <c r="R15" s="97"/>
      <c r="S15" s="97"/>
      <c r="T15" s="97"/>
      <c r="U15" s="98"/>
      <c r="V15" s="95">
        <f t="shared" si="5"/>
        <v>0</v>
      </c>
      <c r="W15" s="9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3">
        <v>7.0</v>
      </c>
      <c r="E16" s="33">
        <v>7.0</v>
      </c>
      <c r="F16" s="88"/>
      <c r="G16" s="89">
        <v>47.0</v>
      </c>
      <c r="H16" s="89">
        <v>10.0</v>
      </c>
      <c r="I16" s="90">
        <f t="shared" si="1"/>
        <v>84</v>
      </c>
      <c r="J16" s="91"/>
      <c r="K16" s="92">
        <v>131.0</v>
      </c>
      <c r="L16" s="90">
        <f t="shared" si="2"/>
        <v>10</v>
      </c>
      <c r="M16" s="90">
        <f t="shared" si="3"/>
        <v>141</v>
      </c>
      <c r="N16" s="32"/>
      <c r="O16" s="32">
        <v>16.904</v>
      </c>
      <c r="P16" s="32">
        <v>12.699</v>
      </c>
      <c r="Q16" s="32">
        <f t="shared" si="4"/>
        <v>207.221</v>
      </c>
      <c r="R16" s="97"/>
      <c r="S16" s="97"/>
      <c r="T16" s="97"/>
      <c r="U16" s="98"/>
      <c r="V16" s="95">
        <f t="shared" si="5"/>
        <v>0</v>
      </c>
      <c r="W16" s="9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3">
        <v>7.0</v>
      </c>
      <c r="E17" s="33">
        <v>7.0</v>
      </c>
      <c r="F17" s="88"/>
      <c r="G17" s="89">
        <v>49.0</v>
      </c>
      <c r="H17" s="88"/>
      <c r="I17" s="90">
        <f t="shared" si="1"/>
        <v>86</v>
      </c>
      <c r="J17" s="91"/>
      <c r="K17" s="92">
        <v>135.0</v>
      </c>
      <c r="L17" s="90">
        <f t="shared" si="2"/>
        <v>0</v>
      </c>
      <c r="M17" s="90">
        <f t="shared" si="3"/>
        <v>135</v>
      </c>
      <c r="N17" s="32"/>
      <c r="O17" s="32">
        <v>16.904</v>
      </c>
      <c r="P17" s="32">
        <v>12.699</v>
      </c>
      <c r="Q17" s="32">
        <f t="shared" si="4"/>
        <v>207.221</v>
      </c>
      <c r="R17" s="97"/>
      <c r="S17" s="97"/>
      <c r="T17" s="97"/>
      <c r="U17" s="98"/>
      <c r="V17" s="95">
        <f t="shared" si="5"/>
        <v>0</v>
      </c>
      <c r="W17" s="9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3">
        <v>7.0</v>
      </c>
      <c r="E18" s="33">
        <v>7.0</v>
      </c>
      <c r="F18" s="88"/>
      <c r="G18" s="89">
        <v>54.0</v>
      </c>
      <c r="H18" s="88"/>
      <c r="I18" s="90">
        <f t="shared" si="1"/>
        <v>126</v>
      </c>
      <c r="J18" s="91"/>
      <c r="K18" s="92">
        <v>180.0</v>
      </c>
      <c r="L18" s="90">
        <f t="shared" si="2"/>
        <v>0</v>
      </c>
      <c r="M18" s="90">
        <f t="shared" si="3"/>
        <v>180</v>
      </c>
      <c r="N18" s="32"/>
      <c r="O18" s="32">
        <v>16.904</v>
      </c>
      <c r="P18" s="32">
        <v>12.699</v>
      </c>
      <c r="Q18" s="32">
        <f t="shared" si="4"/>
        <v>207.221</v>
      </c>
      <c r="R18" s="97"/>
      <c r="S18" s="97"/>
      <c r="T18" s="97"/>
      <c r="U18" s="98"/>
      <c r="V18" s="95">
        <f t="shared" si="5"/>
        <v>0</v>
      </c>
      <c r="W18" s="9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3">
        <v>7.0</v>
      </c>
      <c r="E19" s="33">
        <v>7.0</v>
      </c>
      <c r="F19" s="88"/>
      <c r="G19" s="89">
        <v>63.0</v>
      </c>
      <c r="H19" s="88"/>
      <c r="I19" s="90">
        <f t="shared" si="1"/>
        <v>120</v>
      </c>
      <c r="J19" s="91"/>
      <c r="K19" s="92">
        <v>183.0</v>
      </c>
      <c r="L19" s="90">
        <f t="shared" si="2"/>
        <v>0</v>
      </c>
      <c r="M19" s="90">
        <f t="shared" si="3"/>
        <v>183</v>
      </c>
      <c r="N19" s="32"/>
      <c r="O19" s="32">
        <v>16.904</v>
      </c>
      <c r="P19" s="32">
        <v>12.699</v>
      </c>
      <c r="Q19" s="32">
        <f t="shared" si="4"/>
        <v>207.221</v>
      </c>
      <c r="R19" s="97"/>
      <c r="S19" s="97"/>
      <c r="T19" s="97"/>
      <c r="U19" s="98"/>
      <c r="V19" s="95">
        <f t="shared" si="5"/>
        <v>0</v>
      </c>
      <c r="W19" s="9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3">
        <v>7.0</v>
      </c>
      <c r="E20" s="33">
        <v>7.0</v>
      </c>
      <c r="F20" s="88"/>
      <c r="G20" s="89">
        <v>36.0</v>
      </c>
      <c r="H20" s="88"/>
      <c r="I20" s="90">
        <f t="shared" si="1"/>
        <v>88</v>
      </c>
      <c r="J20" s="91"/>
      <c r="K20" s="92">
        <v>124.0</v>
      </c>
      <c r="L20" s="90">
        <f t="shared" si="2"/>
        <v>0</v>
      </c>
      <c r="M20" s="90">
        <f t="shared" si="3"/>
        <v>124</v>
      </c>
      <c r="N20" s="32"/>
      <c r="O20" s="32">
        <v>16.904</v>
      </c>
      <c r="P20" s="32">
        <v>12.699</v>
      </c>
      <c r="Q20" s="32">
        <f t="shared" si="4"/>
        <v>207.221</v>
      </c>
      <c r="R20" s="97"/>
      <c r="S20" s="97"/>
      <c r="T20" s="97"/>
      <c r="U20" s="98"/>
      <c r="V20" s="95">
        <f t="shared" si="5"/>
        <v>0</v>
      </c>
      <c r="W20" s="9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3">
        <v>6.0</v>
      </c>
      <c r="E21" s="33">
        <v>6.0</v>
      </c>
      <c r="F21" s="88"/>
      <c r="G21" s="89">
        <v>51.0</v>
      </c>
      <c r="H21" s="88"/>
      <c r="I21" s="90">
        <f t="shared" si="1"/>
        <v>56</v>
      </c>
      <c r="J21" s="91"/>
      <c r="K21" s="92">
        <v>107.0</v>
      </c>
      <c r="L21" s="90">
        <f t="shared" si="2"/>
        <v>0</v>
      </c>
      <c r="M21" s="90">
        <f t="shared" si="3"/>
        <v>107</v>
      </c>
      <c r="N21" s="32"/>
      <c r="O21" s="32">
        <v>16.904</v>
      </c>
      <c r="P21" s="32">
        <v>12.699</v>
      </c>
      <c r="Q21" s="32">
        <f t="shared" si="4"/>
        <v>177.618</v>
      </c>
      <c r="R21" s="97"/>
      <c r="S21" s="97"/>
      <c r="T21" s="97"/>
      <c r="U21" s="98"/>
      <c r="V21" s="95">
        <f t="shared" si="5"/>
        <v>0</v>
      </c>
      <c r="W21" s="9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3">
        <v>6.0</v>
      </c>
      <c r="E22" s="33">
        <v>7.0</v>
      </c>
      <c r="F22" s="88"/>
      <c r="G22" s="89">
        <v>33.0</v>
      </c>
      <c r="H22" s="88"/>
      <c r="I22" s="90">
        <f t="shared" si="1"/>
        <v>112</v>
      </c>
      <c r="J22" s="91"/>
      <c r="K22" s="92">
        <v>145.0</v>
      </c>
      <c r="L22" s="90">
        <f t="shared" si="2"/>
        <v>0</v>
      </c>
      <c r="M22" s="90">
        <f t="shared" si="3"/>
        <v>145</v>
      </c>
      <c r="N22" s="32"/>
      <c r="O22" s="32">
        <v>16.904</v>
      </c>
      <c r="P22" s="32">
        <v>12.699</v>
      </c>
      <c r="Q22" s="32">
        <f t="shared" si="4"/>
        <v>190.317</v>
      </c>
      <c r="R22" s="97"/>
      <c r="S22" s="97"/>
      <c r="T22" s="97"/>
      <c r="U22" s="98"/>
      <c r="V22" s="95">
        <f t="shared" si="5"/>
        <v>0</v>
      </c>
      <c r="W22" s="9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3">
        <v>7.0</v>
      </c>
      <c r="E23" s="33">
        <v>7.0</v>
      </c>
      <c r="F23" s="88"/>
      <c r="G23" s="89">
        <v>25.0</v>
      </c>
      <c r="H23" s="88"/>
      <c r="I23" s="90">
        <f t="shared" si="1"/>
        <v>100</v>
      </c>
      <c r="J23" s="91"/>
      <c r="K23" s="92">
        <v>125.0</v>
      </c>
      <c r="L23" s="90">
        <f t="shared" si="2"/>
        <v>0</v>
      </c>
      <c r="M23" s="90">
        <f t="shared" si="3"/>
        <v>125</v>
      </c>
      <c r="N23" s="32"/>
      <c r="O23" s="32">
        <v>16.904</v>
      </c>
      <c r="P23" s="32">
        <v>12.699</v>
      </c>
      <c r="Q23" s="32">
        <f t="shared" si="4"/>
        <v>207.221</v>
      </c>
      <c r="R23" s="97"/>
      <c r="S23" s="97"/>
      <c r="T23" s="97"/>
      <c r="U23" s="98"/>
      <c r="V23" s="95">
        <f t="shared" si="5"/>
        <v>0</v>
      </c>
      <c r="W23" s="9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3">
        <v>6.0</v>
      </c>
      <c r="E24" s="33">
        <v>6.0</v>
      </c>
      <c r="F24" s="88"/>
      <c r="G24" s="89">
        <v>25.0</v>
      </c>
      <c r="H24" s="89">
        <v>34.0</v>
      </c>
      <c r="I24" s="90">
        <f t="shared" si="1"/>
        <v>82</v>
      </c>
      <c r="J24" s="91"/>
      <c r="K24" s="92">
        <v>107.0</v>
      </c>
      <c r="L24" s="90">
        <f t="shared" si="2"/>
        <v>34</v>
      </c>
      <c r="M24" s="90">
        <f t="shared" si="3"/>
        <v>141</v>
      </c>
      <c r="N24" s="32"/>
      <c r="O24" s="32">
        <v>16.904</v>
      </c>
      <c r="P24" s="32">
        <v>12.699</v>
      </c>
      <c r="Q24" s="32">
        <f t="shared" si="4"/>
        <v>177.618</v>
      </c>
      <c r="R24" s="97"/>
      <c r="S24" s="97"/>
      <c r="T24" s="97"/>
      <c r="U24" s="98"/>
      <c r="V24" s="95">
        <f t="shared" si="5"/>
        <v>0</v>
      </c>
      <c r="W24" s="9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3">
        <v>6.0</v>
      </c>
      <c r="E25" s="33">
        <v>6.0</v>
      </c>
      <c r="F25" s="88"/>
      <c r="G25" s="89">
        <v>27.0</v>
      </c>
      <c r="H25" s="88"/>
      <c r="I25" s="90">
        <f t="shared" si="1"/>
        <v>105</v>
      </c>
      <c r="J25" s="91"/>
      <c r="K25" s="92">
        <v>132.0</v>
      </c>
      <c r="L25" s="90">
        <f t="shared" si="2"/>
        <v>0</v>
      </c>
      <c r="M25" s="90">
        <f t="shared" si="3"/>
        <v>132</v>
      </c>
      <c r="N25" s="32"/>
      <c r="O25" s="32">
        <v>16.904</v>
      </c>
      <c r="P25" s="32">
        <v>12.699</v>
      </c>
      <c r="Q25" s="32">
        <f t="shared" si="4"/>
        <v>177.618</v>
      </c>
      <c r="R25" s="97"/>
      <c r="S25" s="97"/>
      <c r="T25" s="97"/>
      <c r="U25" s="98"/>
      <c r="V25" s="95">
        <f t="shared" si="5"/>
        <v>0</v>
      </c>
      <c r="W25" s="9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3">
        <v>6.0</v>
      </c>
      <c r="E26" s="33">
        <v>6.0</v>
      </c>
      <c r="F26" s="88"/>
      <c r="G26" s="89">
        <v>49.0</v>
      </c>
      <c r="H26" s="88"/>
      <c r="I26" s="90">
        <f t="shared" si="1"/>
        <v>95</v>
      </c>
      <c r="J26" s="91"/>
      <c r="K26" s="92">
        <v>144.0</v>
      </c>
      <c r="L26" s="90">
        <f t="shared" si="2"/>
        <v>0</v>
      </c>
      <c r="M26" s="90">
        <f t="shared" si="3"/>
        <v>144</v>
      </c>
      <c r="N26" s="32"/>
      <c r="O26" s="32">
        <v>16.904</v>
      </c>
      <c r="P26" s="32">
        <v>12.699</v>
      </c>
      <c r="Q26" s="32">
        <f t="shared" si="4"/>
        <v>177.618</v>
      </c>
      <c r="R26" s="97"/>
      <c r="S26" s="97"/>
      <c r="T26" s="97"/>
      <c r="U26" s="98"/>
      <c r="V26" s="95">
        <f t="shared" si="5"/>
        <v>0</v>
      </c>
      <c r="W26" s="9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3">
        <v>7.0</v>
      </c>
      <c r="E27" s="33">
        <v>7.0</v>
      </c>
      <c r="F27" s="88"/>
      <c r="G27" s="89">
        <v>51.0</v>
      </c>
      <c r="H27" s="88"/>
      <c r="I27" s="90">
        <f t="shared" si="1"/>
        <v>82</v>
      </c>
      <c r="J27" s="91"/>
      <c r="K27" s="92">
        <v>133.0</v>
      </c>
      <c r="L27" s="90">
        <f t="shared" si="2"/>
        <v>0</v>
      </c>
      <c r="M27" s="90">
        <f t="shared" si="3"/>
        <v>133</v>
      </c>
      <c r="N27" s="32"/>
      <c r="O27" s="32">
        <v>16.904</v>
      </c>
      <c r="P27" s="32">
        <v>12.699</v>
      </c>
      <c r="Q27" s="32">
        <f t="shared" si="4"/>
        <v>207.221</v>
      </c>
      <c r="R27" s="97"/>
      <c r="S27" s="97"/>
      <c r="T27" s="97"/>
      <c r="U27" s="98"/>
      <c r="V27" s="95">
        <f t="shared" si="5"/>
        <v>0</v>
      </c>
      <c r="W27" s="9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3">
        <v>7.0</v>
      </c>
      <c r="E28" s="33">
        <v>7.0</v>
      </c>
      <c r="F28" s="88"/>
      <c r="G28" s="89">
        <v>40.0</v>
      </c>
      <c r="H28" s="88"/>
      <c r="I28" s="90">
        <f t="shared" si="1"/>
        <v>83</v>
      </c>
      <c r="J28" s="91"/>
      <c r="K28" s="92">
        <v>123.0</v>
      </c>
      <c r="L28" s="90">
        <f t="shared" si="2"/>
        <v>0</v>
      </c>
      <c r="M28" s="90">
        <f t="shared" si="3"/>
        <v>123</v>
      </c>
      <c r="N28" s="32"/>
      <c r="O28" s="32">
        <v>16.904</v>
      </c>
      <c r="P28" s="32">
        <v>12.699</v>
      </c>
      <c r="Q28" s="32">
        <f t="shared" si="4"/>
        <v>207.221</v>
      </c>
      <c r="R28" s="97"/>
      <c r="S28" s="97"/>
      <c r="T28" s="97"/>
      <c r="U28" s="98"/>
      <c r="V28" s="95">
        <f t="shared" si="5"/>
        <v>0</v>
      </c>
      <c r="W28" s="9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3">
        <v>7.0</v>
      </c>
      <c r="E29" s="33">
        <v>7.0</v>
      </c>
      <c r="F29" s="88"/>
      <c r="G29" s="89">
        <v>38.0</v>
      </c>
      <c r="H29" s="88"/>
      <c r="I29" s="90">
        <f t="shared" si="1"/>
        <v>111</v>
      </c>
      <c r="J29" s="91"/>
      <c r="K29" s="92">
        <v>149.0</v>
      </c>
      <c r="L29" s="90">
        <f t="shared" si="2"/>
        <v>0</v>
      </c>
      <c r="M29" s="90">
        <f t="shared" si="3"/>
        <v>149</v>
      </c>
      <c r="N29" s="32"/>
      <c r="O29" s="32">
        <v>16.904</v>
      </c>
      <c r="P29" s="32">
        <v>12.699</v>
      </c>
      <c r="Q29" s="32">
        <f t="shared" si="4"/>
        <v>207.221</v>
      </c>
      <c r="R29" s="113"/>
      <c r="S29" s="113"/>
      <c r="T29" s="113"/>
      <c r="U29" s="94"/>
      <c r="V29" s="95">
        <f t="shared" si="5"/>
        <v>0</v>
      </c>
      <c r="W29" s="9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3">
        <v>7.0</v>
      </c>
      <c r="E30" s="33">
        <v>6.0</v>
      </c>
      <c r="F30" s="88"/>
      <c r="G30" s="89">
        <v>57.0</v>
      </c>
      <c r="H30" s="88"/>
      <c r="I30" s="90">
        <f t="shared" si="1"/>
        <v>55</v>
      </c>
      <c r="J30" s="91"/>
      <c r="K30" s="92">
        <v>112.0</v>
      </c>
      <c r="L30" s="90">
        <f t="shared" si="2"/>
        <v>0</v>
      </c>
      <c r="M30" s="90">
        <f t="shared" si="3"/>
        <v>112</v>
      </c>
      <c r="N30" s="32"/>
      <c r="O30" s="32">
        <v>16.904</v>
      </c>
      <c r="P30" s="32">
        <v>12.699</v>
      </c>
      <c r="Q30" s="32">
        <f t="shared" si="4"/>
        <v>194.522</v>
      </c>
      <c r="R30" s="113"/>
      <c r="S30" s="113"/>
      <c r="T30" s="97"/>
      <c r="U30" s="98"/>
      <c r="V30" s="95">
        <f t="shared" si="5"/>
        <v>0</v>
      </c>
      <c r="W30" s="9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3">
        <v>7.0</v>
      </c>
      <c r="E31" s="33">
        <v>6.0</v>
      </c>
      <c r="F31" s="88"/>
      <c r="G31" s="89">
        <v>47.0</v>
      </c>
      <c r="H31" s="88"/>
      <c r="I31" s="90">
        <f t="shared" si="1"/>
        <v>52</v>
      </c>
      <c r="J31" s="91"/>
      <c r="K31" s="92">
        <v>99.0</v>
      </c>
      <c r="L31" s="90">
        <f t="shared" si="2"/>
        <v>0</v>
      </c>
      <c r="M31" s="90">
        <f t="shared" si="3"/>
        <v>99</v>
      </c>
      <c r="N31" s="32"/>
      <c r="O31" s="32">
        <v>16.904</v>
      </c>
      <c r="P31" s="32">
        <v>12.699</v>
      </c>
      <c r="Q31" s="32">
        <f t="shared" si="4"/>
        <v>194.522</v>
      </c>
      <c r="R31" s="97"/>
      <c r="S31" s="97"/>
      <c r="T31" s="97"/>
      <c r="U31" s="98"/>
      <c r="V31" s="95">
        <f t="shared" si="5"/>
        <v>0</v>
      </c>
      <c r="W31" s="9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3">
        <v>7.0</v>
      </c>
      <c r="E32" s="33">
        <v>7.0</v>
      </c>
      <c r="F32" s="88"/>
      <c r="G32" s="89">
        <v>37.0</v>
      </c>
      <c r="H32" s="88"/>
      <c r="I32" s="90">
        <f t="shared" si="1"/>
        <v>102</v>
      </c>
      <c r="J32" s="91"/>
      <c r="K32" s="92">
        <v>139.0</v>
      </c>
      <c r="L32" s="90">
        <f t="shared" si="2"/>
        <v>0</v>
      </c>
      <c r="M32" s="90">
        <f t="shared" si="3"/>
        <v>139</v>
      </c>
      <c r="N32" s="32"/>
      <c r="O32" s="32">
        <v>16.904</v>
      </c>
      <c r="P32" s="32">
        <v>12.699</v>
      </c>
      <c r="Q32" s="32">
        <f t="shared" si="4"/>
        <v>207.221</v>
      </c>
      <c r="R32" s="97"/>
      <c r="S32" s="97"/>
      <c r="T32" s="97"/>
      <c r="U32" s="98"/>
      <c r="V32" s="95">
        <f t="shared" si="5"/>
        <v>0</v>
      </c>
      <c r="W32" s="9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3">
        <v>7.0</v>
      </c>
      <c r="E33" s="33">
        <v>7.0</v>
      </c>
      <c r="F33" s="88"/>
      <c r="G33" s="89">
        <v>53.0</v>
      </c>
      <c r="H33" s="88"/>
      <c r="I33" s="90">
        <f t="shared" si="1"/>
        <v>89</v>
      </c>
      <c r="J33" s="91"/>
      <c r="K33" s="92">
        <v>142.0</v>
      </c>
      <c r="L33" s="90">
        <f t="shared" si="2"/>
        <v>0</v>
      </c>
      <c r="M33" s="90">
        <f t="shared" si="3"/>
        <v>142</v>
      </c>
      <c r="N33" s="32"/>
      <c r="O33" s="32">
        <v>16.904</v>
      </c>
      <c r="P33" s="32">
        <v>12.699</v>
      </c>
      <c r="Q33" s="32">
        <f t="shared" si="4"/>
        <v>207.221</v>
      </c>
      <c r="R33" s="97"/>
      <c r="S33" s="97"/>
      <c r="T33" s="97"/>
      <c r="U33" s="98"/>
      <c r="V33" s="95">
        <f t="shared" si="5"/>
        <v>0</v>
      </c>
      <c r="W33" s="9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3">
        <v>7.0</v>
      </c>
      <c r="E34" s="33">
        <v>7.0</v>
      </c>
      <c r="F34" s="88"/>
      <c r="G34" s="89">
        <v>60.0</v>
      </c>
      <c r="H34" s="88"/>
      <c r="I34" s="90">
        <f t="shared" si="1"/>
        <v>71</v>
      </c>
      <c r="J34" s="91"/>
      <c r="K34" s="92">
        <v>131.0</v>
      </c>
      <c r="L34" s="90">
        <f t="shared" si="2"/>
        <v>0</v>
      </c>
      <c r="M34" s="90">
        <f t="shared" si="3"/>
        <v>131</v>
      </c>
      <c r="N34" s="32"/>
      <c r="O34" s="32">
        <v>16.904</v>
      </c>
      <c r="P34" s="32">
        <v>12.699</v>
      </c>
      <c r="Q34" s="32">
        <f t="shared" si="4"/>
        <v>207.221</v>
      </c>
      <c r="R34" s="97"/>
      <c r="S34" s="97"/>
      <c r="T34" s="97"/>
      <c r="U34" s="98"/>
      <c r="V34" s="95">
        <f t="shared" si="5"/>
        <v>0</v>
      </c>
      <c r="W34" s="9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3">
        <v>7.0</v>
      </c>
      <c r="E35" s="33">
        <v>7.0</v>
      </c>
      <c r="F35" s="88"/>
      <c r="G35" s="89">
        <v>49.0</v>
      </c>
      <c r="H35" s="88"/>
      <c r="I35" s="90">
        <f t="shared" si="1"/>
        <v>145</v>
      </c>
      <c r="J35" s="91"/>
      <c r="K35" s="92">
        <v>194.0</v>
      </c>
      <c r="L35" s="90">
        <f t="shared" si="2"/>
        <v>0</v>
      </c>
      <c r="M35" s="90">
        <f t="shared" si="3"/>
        <v>194</v>
      </c>
      <c r="N35" s="32"/>
      <c r="O35" s="32">
        <v>16.904</v>
      </c>
      <c r="P35" s="32">
        <v>12.699</v>
      </c>
      <c r="Q35" s="32">
        <f t="shared" si="4"/>
        <v>207.221</v>
      </c>
      <c r="R35" s="97"/>
      <c r="S35" s="97"/>
      <c r="T35" s="97"/>
      <c r="U35" s="98"/>
      <c r="V35" s="95">
        <f t="shared" si="5"/>
        <v>0</v>
      </c>
      <c r="W35" s="9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3">
        <v>7.0</v>
      </c>
      <c r="E36" s="33">
        <v>7.0</v>
      </c>
      <c r="F36" s="88"/>
      <c r="G36" s="89">
        <v>45.0</v>
      </c>
      <c r="H36" s="88"/>
      <c r="I36" s="90">
        <f t="shared" si="1"/>
        <v>80</v>
      </c>
      <c r="J36" s="91"/>
      <c r="K36" s="92">
        <v>125.0</v>
      </c>
      <c r="L36" s="90">
        <f t="shared" si="2"/>
        <v>0</v>
      </c>
      <c r="M36" s="90">
        <f t="shared" si="3"/>
        <v>125</v>
      </c>
      <c r="N36" s="32"/>
      <c r="O36" s="32">
        <v>16.904</v>
      </c>
      <c r="P36" s="32">
        <v>12.699</v>
      </c>
      <c r="Q36" s="32">
        <f t="shared" si="4"/>
        <v>207.221</v>
      </c>
      <c r="R36" s="97"/>
      <c r="S36" s="97"/>
      <c r="T36" s="97"/>
      <c r="U36" s="98"/>
      <c r="V36" s="95">
        <f t="shared" si="5"/>
        <v>0</v>
      </c>
      <c r="W36" s="9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3">
        <v>7.0</v>
      </c>
      <c r="E37" s="33">
        <v>7.0</v>
      </c>
      <c r="F37" s="88"/>
      <c r="G37" s="89">
        <v>37.0</v>
      </c>
      <c r="H37" s="88"/>
      <c r="I37" s="90">
        <f t="shared" si="1"/>
        <v>102</v>
      </c>
      <c r="J37" s="91"/>
      <c r="K37" s="92">
        <v>139.0</v>
      </c>
      <c r="L37" s="90">
        <f t="shared" si="2"/>
        <v>0</v>
      </c>
      <c r="M37" s="90">
        <f t="shared" si="3"/>
        <v>139</v>
      </c>
      <c r="N37" s="32"/>
      <c r="O37" s="32">
        <v>16.904</v>
      </c>
      <c r="P37" s="32">
        <v>12.699</v>
      </c>
      <c r="Q37" s="32">
        <f t="shared" si="4"/>
        <v>207.221</v>
      </c>
      <c r="R37" s="97"/>
      <c r="S37" s="97"/>
      <c r="T37" s="97"/>
      <c r="U37" s="98"/>
      <c r="V37" s="95">
        <f t="shared" si="5"/>
        <v>0</v>
      </c>
      <c r="W37" s="9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3">
        <v>7.0</v>
      </c>
      <c r="E38" s="33">
        <v>7.0</v>
      </c>
      <c r="F38" s="88"/>
      <c r="G38" s="89">
        <v>48.0</v>
      </c>
      <c r="H38" s="88"/>
      <c r="I38" s="90">
        <f t="shared" si="1"/>
        <v>70</v>
      </c>
      <c r="J38" s="91"/>
      <c r="K38" s="92">
        <v>118.0</v>
      </c>
      <c r="L38" s="90">
        <f t="shared" si="2"/>
        <v>0</v>
      </c>
      <c r="M38" s="90">
        <f t="shared" si="3"/>
        <v>118</v>
      </c>
      <c r="N38" s="32"/>
      <c r="O38" s="32">
        <v>16.904</v>
      </c>
      <c r="P38" s="32">
        <v>12.699</v>
      </c>
      <c r="Q38" s="32">
        <f t="shared" si="4"/>
        <v>207.221</v>
      </c>
      <c r="R38" s="97"/>
      <c r="S38" s="97"/>
      <c r="T38" s="97"/>
      <c r="U38" s="98"/>
      <c r="V38" s="95">
        <f t="shared" si="5"/>
        <v>0</v>
      </c>
      <c r="W38" s="9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3">
        <v>7.0</v>
      </c>
      <c r="E39" s="33">
        <v>7.0</v>
      </c>
      <c r="F39" s="88"/>
      <c r="G39" s="89">
        <v>58.0</v>
      </c>
      <c r="H39" s="88"/>
      <c r="I39" s="90">
        <f t="shared" si="1"/>
        <v>79</v>
      </c>
      <c r="J39" s="91"/>
      <c r="K39" s="92">
        <v>137.0</v>
      </c>
      <c r="L39" s="90">
        <f t="shared" si="2"/>
        <v>0</v>
      </c>
      <c r="M39" s="90">
        <f t="shared" si="3"/>
        <v>137</v>
      </c>
      <c r="N39" s="32"/>
      <c r="O39" s="32">
        <v>16.904</v>
      </c>
      <c r="P39" s="32">
        <v>12.699</v>
      </c>
      <c r="Q39" s="32">
        <f t="shared" si="4"/>
        <v>207.221</v>
      </c>
      <c r="R39" s="97"/>
      <c r="S39" s="97"/>
      <c r="T39" s="97"/>
      <c r="U39" s="98"/>
      <c r="V39" s="95">
        <f t="shared" si="5"/>
        <v>0</v>
      </c>
      <c r="W39" s="9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3">
        <v>7.0</v>
      </c>
      <c r="E40" s="33">
        <v>7.0</v>
      </c>
      <c r="F40" s="88"/>
      <c r="G40" s="89">
        <v>31.0</v>
      </c>
      <c r="H40" s="89">
        <v>17.0</v>
      </c>
      <c r="I40" s="90">
        <f t="shared" si="1"/>
        <v>73</v>
      </c>
      <c r="J40" s="91"/>
      <c r="K40" s="92">
        <v>104.0</v>
      </c>
      <c r="L40" s="90">
        <f t="shared" si="2"/>
        <v>17</v>
      </c>
      <c r="M40" s="90">
        <f t="shared" si="3"/>
        <v>121</v>
      </c>
      <c r="N40" s="32"/>
      <c r="O40" s="32">
        <v>16.904</v>
      </c>
      <c r="P40" s="32">
        <v>12.699</v>
      </c>
      <c r="Q40" s="32">
        <f t="shared" si="4"/>
        <v>207.221</v>
      </c>
      <c r="R40" s="97"/>
      <c r="S40" s="97"/>
      <c r="T40" s="97"/>
      <c r="U40" s="98"/>
      <c r="V40" s="95">
        <f t="shared" si="5"/>
        <v>0</v>
      </c>
      <c r="W40" s="9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3">
        <v>6.0</v>
      </c>
      <c r="E41" s="33">
        <v>6.0</v>
      </c>
      <c r="F41" s="88"/>
      <c r="G41" s="89">
        <v>53.0</v>
      </c>
      <c r="H41" s="88"/>
      <c r="I41" s="90">
        <f t="shared" si="1"/>
        <v>88</v>
      </c>
      <c r="J41" s="91"/>
      <c r="K41" s="92">
        <v>141.0</v>
      </c>
      <c r="L41" s="90">
        <f t="shared" si="2"/>
        <v>0</v>
      </c>
      <c r="M41" s="90">
        <f t="shared" si="3"/>
        <v>141</v>
      </c>
      <c r="N41" s="32"/>
      <c r="O41" s="32">
        <v>16.904</v>
      </c>
      <c r="P41" s="32">
        <v>12.699</v>
      </c>
      <c r="Q41" s="32">
        <f t="shared" si="4"/>
        <v>177.618</v>
      </c>
      <c r="R41" s="97"/>
      <c r="S41" s="97"/>
      <c r="T41" s="97"/>
      <c r="U41" s="98"/>
      <c r="V41" s="95">
        <f t="shared" si="5"/>
        <v>0</v>
      </c>
      <c r="W41" s="9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3">
        <v>6.0</v>
      </c>
      <c r="E42" s="33">
        <v>7.0</v>
      </c>
      <c r="F42" s="88"/>
      <c r="G42" s="89">
        <v>43.0</v>
      </c>
      <c r="H42" s="89">
        <v>13.0</v>
      </c>
      <c r="I42" s="90">
        <f t="shared" si="1"/>
        <v>72</v>
      </c>
      <c r="J42" s="91"/>
      <c r="K42" s="92">
        <v>115.0</v>
      </c>
      <c r="L42" s="90">
        <f t="shared" si="2"/>
        <v>13</v>
      </c>
      <c r="M42" s="90">
        <f t="shared" si="3"/>
        <v>128</v>
      </c>
      <c r="N42" s="32"/>
      <c r="O42" s="32">
        <v>16.904</v>
      </c>
      <c r="P42" s="32">
        <v>12.699</v>
      </c>
      <c r="Q42" s="32">
        <f t="shared" si="4"/>
        <v>190.317</v>
      </c>
      <c r="R42" s="97"/>
      <c r="S42" s="97"/>
      <c r="T42" s="97"/>
      <c r="U42" s="98"/>
      <c r="V42" s="95">
        <f t="shared" si="5"/>
        <v>0</v>
      </c>
      <c r="W42" s="9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3">
        <v>7.0</v>
      </c>
      <c r="E43" s="33">
        <v>7.0</v>
      </c>
      <c r="F43" s="88"/>
      <c r="G43" s="89">
        <v>34.0</v>
      </c>
      <c r="H43" s="89">
        <v>10.0</v>
      </c>
      <c r="I43" s="90">
        <f t="shared" si="1"/>
        <v>63</v>
      </c>
      <c r="J43" s="91"/>
      <c r="K43" s="92">
        <v>97.0</v>
      </c>
      <c r="L43" s="90">
        <f t="shared" si="2"/>
        <v>10</v>
      </c>
      <c r="M43" s="90">
        <f t="shared" si="3"/>
        <v>107</v>
      </c>
      <c r="N43" s="32"/>
      <c r="O43" s="32">
        <v>16.904</v>
      </c>
      <c r="P43" s="32">
        <v>12.699</v>
      </c>
      <c r="Q43" s="32">
        <f t="shared" si="4"/>
        <v>207.221</v>
      </c>
      <c r="R43" s="97"/>
      <c r="S43" s="97"/>
      <c r="T43" s="97"/>
      <c r="U43" s="98"/>
      <c r="V43" s="95">
        <f t="shared" si="5"/>
        <v>0</v>
      </c>
      <c r="W43" s="9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3">
        <v>6.0</v>
      </c>
      <c r="E44" s="33">
        <v>6.0</v>
      </c>
      <c r="F44" s="88"/>
      <c r="G44" s="89">
        <v>47.0</v>
      </c>
      <c r="H44" s="88"/>
      <c r="I44" s="90">
        <f t="shared" si="1"/>
        <v>116</v>
      </c>
      <c r="J44" s="91"/>
      <c r="K44" s="92">
        <v>163.0</v>
      </c>
      <c r="L44" s="90">
        <f t="shared" si="2"/>
        <v>0</v>
      </c>
      <c r="M44" s="90">
        <f t="shared" si="3"/>
        <v>163</v>
      </c>
      <c r="N44" s="32"/>
      <c r="O44" s="32">
        <v>16.904</v>
      </c>
      <c r="P44" s="32">
        <v>12.699</v>
      </c>
      <c r="Q44" s="32">
        <f t="shared" si="4"/>
        <v>177.618</v>
      </c>
      <c r="R44" s="97"/>
      <c r="S44" s="97"/>
      <c r="T44" s="97"/>
      <c r="U44" s="98"/>
      <c r="V44" s="95">
        <f t="shared" si="5"/>
        <v>0</v>
      </c>
      <c r="W44" s="9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3">
        <v>6.0</v>
      </c>
      <c r="E45" s="33">
        <v>6.0</v>
      </c>
      <c r="F45" s="88"/>
      <c r="G45" s="89">
        <v>51.0</v>
      </c>
      <c r="H45" s="88"/>
      <c r="I45" s="90">
        <f t="shared" si="1"/>
        <v>62</v>
      </c>
      <c r="J45" s="91"/>
      <c r="K45" s="92">
        <v>113.0</v>
      </c>
      <c r="L45" s="90">
        <f t="shared" si="2"/>
        <v>0</v>
      </c>
      <c r="M45" s="90">
        <f t="shared" si="3"/>
        <v>113</v>
      </c>
      <c r="N45" s="32"/>
      <c r="O45" s="32">
        <v>16.904</v>
      </c>
      <c r="P45" s="32">
        <v>12.699</v>
      </c>
      <c r="Q45" s="32">
        <f t="shared" si="4"/>
        <v>177.618</v>
      </c>
      <c r="R45" s="97"/>
      <c r="S45" s="97"/>
      <c r="T45" s="97"/>
      <c r="U45" s="98"/>
      <c r="V45" s="95">
        <f t="shared" si="5"/>
        <v>0</v>
      </c>
      <c r="W45" s="9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3">
        <v>7.0</v>
      </c>
      <c r="E46" s="33">
        <v>7.0</v>
      </c>
      <c r="F46" s="88"/>
      <c r="G46" s="89">
        <v>36.0</v>
      </c>
      <c r="H46" s="88"/>
      <c r="I46" s="90">
        <f t="shared" si="1"/>
        <v>87</v>
      </c>
      <c r="J46" s="91"/>
      <c r="K46" s="92">
        <v>123.0</v>
      </c>
      <c r="L46" s="90">
        <f t="shared" si="2"/>
        <v>0</v>
      </c>
      <c r="M46" s="90">
        <f t="shared" si="3"/>
        <v>123</v>
      </c>
      <c r="N46" s="32"/>
      <c r="O46" s="32">
        <v>16.904</v>
      </c>
      <c r="P46" s="32">
        <v>12.699</v>
      </c>
      <c r="Q46" s="32">
        <f t="shared" si="4"/>
        <v>207.221</v>
      </c>
      <c r="R46" s="97"/>
      <c r="S46" s="97"/>
      <c r="T46" s="97"/>
      <c r="U46" s="98"/>
      <c r="V46" s="95">
        <f t="shared" si="5"/>
        <v>0</v>
      </c>
      <c r="W46" s="9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3">
        <v>7.0</v>
      </c>
      <c r="E47" s="33">
        <v>7.0</v>
      </c>
      <c r="F47" s="88"/>
      <c r="G47" s="89">
        <v>78.0</v>
      </c>
      <c r="H47" s="88"/>
      <c r="I47" s="90">
        <f t="shared" si="1"/>
        <v>70</v>
      </c>
      <c r="J47" s="91"/>
      <c r="K47" s="92">
        <v>148.0</v>
      </c>
      <c r="L47" s="90">
        <f t="shared" si="2"/>
        <v>0</v>
      </c>
      <c r="M47" s="90">
        <f t="shared" si="3"/>
        <v>148</v>
      </c>
      <c r="N47" s="32"/>
      <c r="O47" s="32">
        <v>16.904</v>
      </c>
      <c r="P47" s="32">
        <v>12.699</v>
      </c>
      <c r="Q47" s="32">
        <f t="shared" si="4"/>
        <v>207.221</v>
      </c>
      <c r="R47" s="97"/>
      <c r="S47" s="97"/>
      <c r="T47" s="97"/>
      <c r="U47" s="98"/>
      <c r="V47" s="95">
        <f t="shared" si="5"/>
        <v>0</v>
      </c>
      <c r="W47" s="95">
        <f t="shared" si="6"/>
        <v>0</v>
      </c>
    </row>
    <row r="48" ht="14.25" customHeight="1">
      <c r="A48" s="8">
        <v>47.0</v>
      </c>
      <c r="B48" s="8" t="s">
        <v>25</v>
      </c>
      <c r="C48" s="44" t="s">
        <v>72</v>
      </c>
      <c r="D48" s="45">
        <v>3.0</v>
      </c>
      <c r="E48" s="45">
        <v>3.0</v>
      </c>
      <c r="F48" s="81"/>
      <c r="G48" s="99">
        <v>63.0</v>
      </c>
      <c r="H48" s="81"/>
      <c r="I48" s="82">
        <f t="shared" si="1"/>
        <v>0</v>
      </c>
      <c r="J48" s="83"/>
      <c r="K48" s="83"/>
      <c r="L48" s="82">
        <f t="shared" si="2"/>
        <v>0</v>
      </c>
      <c r="M48" s="82">
        <f t="shared" si="3"/>
        <v>63</v>
      </c>
      <c r="N48" s="45" t="s">
        <v>117</v>
      </c>
      <c r="O48" s="44">
        <v>16.904</v>
      </c>
      <c r="P48" s="44">
        <v>12.699</v>
      </c>
      <c r="Q48" s="44">
        <f t="shared" si="4"/>
        <v>88.809</v>
      </c>
      <c r="R48" s="101"/>
      <c r="S48" s="101"/>
      <c r="T48" s="101"/>
      <c r="U48" s="86"/>
      <c r="V48" s="87">
        <f t="shared" si="5"/>
        <v>0</v>
      </c>
      <c r="W48" s="87">
        <f t="shared" si="6"/>
        <v>0</v>
      </c>
    </row>
    <row r="49" ht="14.25" customHeight="1">
      <c r="A49" s="8">
        <v>48.0</v>
      </c>
      <c r="B49" s="8" t="s">
        <v>25</v>
      </c>
      <c r="C49" s="103" t="s">
        <v>73</v>
      </c>
      <c r="D49" s="104">
        <v>4.0</v>
      </c>
      <c r="E49" s="104">
        <v>4.0</v>
      </c>
      <c r="F49" s="105"/>
      <c r="G49" s="105"/>
      <c r="H49" s="105"/>
      <c r="I49" s="107">
        <f t="shared" si="1"/>
        <v>62</v>
      </c>
      <c r="J49" s="108"/>
      <c r="K49" s="114">
        <v>62.0</v>
      </c>
      <c r="L49" s="107">
        <f t="shared" si="2"/>
        <v>0</v>
      </c>
      <c r="M49" s="107">
        <f t="shared" si="3"/>
        <v>62</v>
      </c>
      <c r="N49" s="104" t="s">
        <v>118</v>
      </c>
      <c r="O49" s="103">
        <v>16.904</v>
      </c>
      <c r="P49" s="103">
        <v>12.699</v>
      </c>
      <c r="Q49" s="103">
        <f t="shared" si="4"/>
        <v>118.412</v>
      </c>
      <c r="R49" s="110"/>
      <c r="S49" s="110"/>
      <c r="T49" s="110"/>
      <c r="U49" s="111"/>
      <c r="V49" s="112">
        <f t="shared" si="5"/>
        <v>0</v>
      </c>
      <c r="W49" s="112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3">
        <v>7.0</v>
      </c>
      <c r="E50" s="33">
        <v>7.0</v>
      </c>
      <c r="F50" s="88"/>
      <c r="G50" s="89">
        <v>59.0</v>
      </c>
      <c r="H50" s="88"/>
      <c r="I50" s="90">
        <f t="shared" si="1"/>
        <v>102</v>
      </c>
      <c r="J50" s="91"/>
      <c r="K50" s="92">
        <v>161.0</v>
      </c>
      <c r="L50" s="90">
        <f t="shared" si="2"/>
        <v>0</v>
      </c>
      <c r="M50" s="90">
        <f t="shared" si="3"/>
        <v>161</v>
      </c>
      <c r="N50" s="32"/>
      <c r="O50" s="32">
        <v>16.904</v>
      </c>
      <c r="P50" s="32">
        <v>12.699</v>
      </c>
      <c r="Q50" s="32">
        <f t="shared" si="4"/>
        <v>207.221</v>
      </c>
      <c r="R50" s="97"/>
      <c r="S50" s="97"/>
      <c r="T50" s="97"/>
      <c r="U50" s="98"/>
      <c r="V50" s="95">
        <f t="shared" si="5"/>
        <v>0</v>
      </c>
      <c r="W50" s="9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3">
        <v>7.0</v>
      </c>
      <c r="E51" s="33">
        <v>7.0</v>
      </c>
      <c r="F51" s="88"/>
      <c r="G51" s="89">
        <v>49.0</v>
      </c>
      <c r="H51" s="88"/>
      <c r="I51" s="90">
        <f t="shared" si="1"/>
        <v>132</v>
      </c>
      <c r="J51" s="91"/>
      <c r="K51" s="92">
        <v>181.0</v>
      </c>
      <c r="L51" s="90">
        <f t="shared" si="2"/>
        <v>0</v>
      </c>
      <c r="M51" s="90">
        <f t="shared" si="3"/>
        <v>181</v>
      </c>
      <c r="N51" s="32"/>
      <c r="O51" s="32">
        <v>16.904</v>
      </c>
      <c r="P51" s="32">
        <v>12.699</v>
      </c>
      <c r="Q51" s="32">
        <f t="shared" si="4"/>
        <v>207.221</v>
      </c>
      <c r="R51" s="97"/>
      <c r="S51" s="97"/>
      <c r="T51" s="97"/>
      <c r="U51" s="98"/>
      <c r="V51" s="95">
        <f t="shared" si="5"/>
        <v>0</v>
      </c>
      <c r="W51" s="9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3">
        <v>7.0</v>
      </c>
      <c r="E52" s="33">
        <v>7.0</v>
      </c>
      <c r="F52" s="88"/>
      <c r="G52" s="89">
        <v>39.0</v>
      </c>
      <c r="H52" s="89">
        <v>7.0</v>
      </c>
      <c r="I52" s="90">
        <f t="shared" si="1"/>
        <v>120</v>
      </c>
      <c r="J52" s="91"/>
      <c r="K52" s="92">
        <v>159.0</v>
      </c>
      <c r="L52" s="90">
        <f t="shared" si="2"/>
        <v>7</v>
      </c>
      <c r="M52" s="90">
        <f t="shared" si="3"/>
        <v>166</v>
      </c>
      <c r="N52" s="32"/>
      <c r="O52" s="32">
        <v>16.904</v>
      </c>
      <c r="P52" s="32">
        <v>12.699</v>
      </c>
      <c r="Q52" s="32">
        <f t="shared" si="4"/>
        <v>207.221</v>
      </c>
      <c r="R52" s="97"/>
      <c r="S52" s="97"/>
      <c r="T52" s="97"/>
      <c r="U52" s="98"/>
      <c r="V52" s="95">
        <f t="shared" si="5"/>
        <v>0</v>
      </c>
      <c r="W52" s="95">
        <f t="shared" si="6"/>
        <v>0</v>
      </c>
    </row>
    <row r="53" ht="14.25" customHeight="1">
      <c r="A53" s="8">
        <v>52.0</v>
      </c>
      <c r="B53" s="8" t="s">
        <v>25</v>
      </c>
      <c r="C53" s="44" t="s">
        <v>77</v>
      </c>
      <c r="D53" s="45">
        <v>3.0</v>
      </c>
      <c r="E53" s="45">
        <v>3.0</v>
      </c>
      <c r="F53" s="81"/>
      <c r="G53" s="99">
        <v>41.0</v>
      </c>
      <c r="H53" s="99"/>
      <c r="I53" s="82">
        <f t="shared" si="1"/>
        <v>0</v>
      </c>
      <c r="J53" s="83"/>
      <c r="K53" s="83"/>
      <c r="L53" s="82">
        <f t="shared" si="2"/>
        <v>0</v>
      </c>
      <c r="M53" s="82">
        <f t="shared" si="3"/>
        <v>41</v>
      </c>
      <c r="N53" s="45" t="s">
        <v>111</v>
      </c>
      <c r="O53" s="44">
        <v>16.904</v>
      </c>
      <c r="P53" s="44">
        <v>12.699</v>
      </c>
      <c r="Q53" s="44">
        <f t="shared" si="4"/>
        <v>88.809</v>
      </c>
      <c r="R53" s="101"/>
      <c r="S53" s="101"/>
      <c r="T53" s="101"/>
      <c r="U53" s="86"/>
      <c r="V53" s="87">
        <f t="shared" si="5"/>
        <v>0</v>
      </c>
      <c r="W53" s="87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3">
        <v>7.0</v>
      </c>
      <c r="E54" s="33">
        <v>7.0</v>
      </c>
      <c r="F54" s="88"/>
      <c r="G54" s="89">
        <v>69.0</v>
      </c>
      <c r="H54" s="88"/>
      <c r="I54" s="90">
        <f t="shared" si="1"/>
        <v>114</v>
      </c>
      <c r="J54" s="91"/>
      <c r="K54" s="92">
        <v>183.0</v>
      </c>
      <c r="L54" s="90">
        <f t="shared" si="2"/>
        <v>0</v>
      </c>
      <c r="M54" s="90">
        <f t="shared" si="3"/>
        <v>183</v>
      </c>
      <c r="N54" s="32"/>
      <c r="O54" s="32">
        <v>16.904</v>
      </c>
      <c r="P54" s="32">
        <v>12.699</v>
      </c>
      <c r="Q54" s="32">
        <f t="shared" si="4"/>
        <v>207.221</v>
      </c>
      <c r="R54" s="97"/>
      <c r="S54" s="97"/>
      <c r="T54" s="97"/>
      <c r="U54" s="98"/>
      <c r="V54" s="95">
        <f t="shared" si="5"/>
        <v>0</v>
      </c>
      <c r="W54" s="95">
        <f t="shared" si="6"/>
        <v>0</v>
      </c>
    </row>
    <row r="55" ht="14.25" customHeight="1">
      <c r="A55" s="8">
        <v>54.0</v>
      </c>
      <c r="B55" s="8" t="s">
        <v>25</v>
      </c>
      <c r="C55" s="44" t="s">
        <v>79</v>
      </c>
      <c r="D55" s="45"/>
      <c r="E55" s="45"/>
      <c r="F55" s="81"/>
      <c r="G55" s="81"/>
      <c r="H55" s="81"/>
      <c r="I55" s="82">
        <f t="shared" si="1"/>
        <v>0</v>
      </c>
      <c r="J55" s="83"/>
      <c r="K55" s="83"/>
      <c r="L55" s="82">
        <f t="shared" si="2"/>
        <v>0</v>
      </c>
      <c r="M55" s="82">
        <f t="shared" si="3"/>
        <v>0</v>
      </c>
      <c r="N55" s="45" t="s">
        <v>119</v>
      </c>
      <c r="O55" s="44">
        <v>16.904</v>
      </c>
      <c r="P55" s="44">
        <v>12.699</v>
      </c>
      <c r="Q55" s="44">
        <f t="shared" si="4"/>
        <v>0</v>
      </c>
      <c r="R55" s="101"/>
      <c r="S55" s="101"/>
      <c r="T55" s="101"/>
      <c r="U55" s="86"/>
      <c r="V55" s="87">
        <f t="shared" si="5"/>
        <v>0</v>
      </c>
      <c r="W55" s="87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3">
        <v>7.0</v>
      </c>
      <c r="E56" s="33">
        <v>7.0</v>
      </c>
      <c r="F56" s="88"/>
      <c r="G56" s="89">
        <v>50.0</v>
      </c>
      <c r="H56" s="88"/>
      <c r="I56" s="90">
        <f t="shared" si="1"/>
        <v>119</v>
      </c>
      <c r="J56" s="91"/>
      <c r="K56" s="92">
        <v>169.0</v>
      </c>
      <c r="L56" s="90">
        <f t="shared" si="2"/>
        <v>0</v>
      </c>
      <c r="M56" s="90">
        <f t="shared" si="3"/>
        <v>169</v>
      </c>
      <c r="N56" s="32"/>
      <c r="O56" s="32">
        <v>16.904</v>
      </c>
      <c r="P56" s="32">
        <v>12.699</v>
      </c>
      <c r="Q56" s="32">
        <f t="shared" si="4"/>
        <v>207.221</v>
      </c>
      <c r="R56" s="97"/>
      <c r="S56" s="97"/>
      <c r="T56" s="113"/>
      <c r="U56" s="94"/>
      <c r="V56" s="95">
        <f t="shared" si="5"/>
        <v>0</v>
      </c>
      <c r="W56" s="9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3">
        <v>6.0</v>
      </c>
      <c r="E57" s="33">
        <v>6.0</v>
      </c>
      <c r="F57" s="88"/>
      <c r="G57" s="88"/>
      <c r="H57" s="88"/>
      <c r="I57" s="90">
        <f t="shared" si="1"/>
        <v>70</v>
      </c>
      <c r="J57" s="91"/>
      <c r="K57" s="92">
        <v>70.0</v>
      </c>
      <c r="L57" s="90">
        <f t="shared" si="2"/>
        <v>0</v>
      </c>
      <c r="M57" s="90">
        <f t="shared" si="3"/>
        <v>70</v>
      </c>
      <c r="N57" s="32"/>
      <c r="O57" s="32">
        <v>16.904</v>
      </c>
      <c r="P57" s="32">
        <v>12.699</v>
      </c>
      <c r="Q57" s="32">
        <f t="shared" si="4"/>
        <v>177.618</v>
      </c>
      <c r="R57" s="97"/>
      <c r="S57" s="97"/>
      <c r="T57" s="97"/>
      <c r="U57" s="98"/>
      <c r="V57" s="95">
        <f t="shared" si="5"/>
        <v>0</v>
      </c>
      <c r="W57" s="9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3">
        <v>7.0</v>
      </c>
      <c r="E58" s="33">
        <v>7.0</v>
      </c>
      <c r="F58" s="88"/>
      <c r="G58" s="89">
        <v>61.0</v>
      </c>
      <c r="H58" s="88"/>
      <c r="I58" s="90">
        <f t="shared" si="1"/>
        <v>122</v>
      </c>
      <c r="J58" s="91"/>
      <c r="K58" s="92">
        <v>183.0</v>
      </c>
      <c r="L58" s="90">
        <f t="shared" si="2"/>
        <v>0</v>
      </c>
      <c r="M58" s="90">
        <f t="shared" si="3"/>
        <v>183</v>
      </c>
      <c r="N58" s="32"/>
      <c r="O58" s="32">
        <v>16.904</v>
      </c>
      <c r="P58" s="32">
        <v>12.699</v>
      </c>
      <c r="Q58" s="32">
        <f t="shared" si="4"/>
        <v>207.221</v>
      </c>
      <c r="R58" s="97"/>
      <c r="S58" s="97"/>
      <c r="T58" s="97"/>
      <c r="U58" s="98"/>
      <c r="V58" s="95">
        <f t="shared" si="5"/>
        <v>0</v>
      </c>
      <c r="W58" s="9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3">
        <v>7.0</v>
      </c>
      <c r="E59" s="33">
        <v>7.0</v>
      </c>
      <c r="F59" s="88"/>
      <c r="G59" s="89">
        <v>74.0</v>
      </c>
      <c r="H59" s="88"/>
      <c r="I59" s="90">
        <f t="shared" si="1"/>
        <v>57</v>
      </c>
      <c r="J59" s="91"/>
      <c r="K59" s="92">
        <v>131.0</v>
      </c>
      <c r="L59" s="90">
        <f t="shared" si="2"/>
        <v>0</v>
      </c>
      <c r="M59" s="90">
        <f t="shared" si="3"/>
        <v>131</v>
      </c>
      <c r="N59" s="32"/>
      <c r="O59" s="32">
        <v>16.904</v>
      </c>
      <c r="P59" s="32">
        <v>12.699</v>
      </c>
      <c r="Q59" s="32">
        <f t="shared" si="4"/>
        <v>207.221</v>
      </c>
      <c r="R59" s="97"/>
      <c r="S59" s="97"/>
      <c r="T59" s="113"/>
      <c r="U59" s="94"/>
      <c r="V59" s="95">
        <f t="shared" si="5"/>
        <v>0</v>
      </c>
      <c r="W59" s="9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3">
        <v>7.0</v>
      </c>
      <c r="E60" s="33">
        <v>7.0</v>
      </c>
      <c r="F60" s="88"/>
      <c r="G60" s="89">
        <v>55.0</v>
      </c>
      <c r="H60" s="88"/>
      <c r="I60" s="90">
        <f t="shared" si="1"/>
        <v>98</v>
      </c>
      <c r="J60" s="91"/>
      <c r="K60" s="92">
        <v>153.0</v>
      </c>
      <c r="L60" s="90">
        <f t="shared" si="2"/>
        <v>0</v>
      </c>
      <c r="M60" s="90">
        <f t="shared" si="3"/>
        <v>153</v>
      </c>
      <c r="N60" s="32"/>
      <c r="O60" s="32">
        <v>16.904</v>
      </c>
      <c r="P60" s="32">
        <v>12.699</v>
      </c>
      <c r="Q60" s="32">
        <f t="shared" si="4"/>
        <v>207.221</v>
      </c>
      <c r="R60" s="118"/>
      <c r="S60" s="118"/>
      <c r="T60" s="118"/>
      <c r="U60" s="119"/>
      <c r="V60" s="120">
        <f t="shared" si="5"/>
        <v>0</v>
      </c>
      <c r="W60" s="120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3">
        <v>7.0</v>
      </c>
      <c r="E61" s="33">
        <v>7.0</v>
      </c>
      <c r="F61" s="88"/>
      <c r="G61" s="89">
        <v>55.0</v>
      </c>
      <c r="H61" s="88"/>
      <c r="I61" s="90">
        <f t="shared" si="1"/>
        <v>31</v>
      </c>
      <c r="J61" s="91"/>
      <c r="K61" s="92">
        <v>86.0</v>
      </c>
      <c r="L61" s="90">
        <f t="shared" si="2"/>
        <v>0</v>
      </c>
      <c r="M61" s="90">
        <f t="shared" si="3"/>
        <v>86</v>
      </c>
      <c r="N61" s="32"/>
      <c r="O61" s="32">
        <v>16.904</v>
      </c>
      <c r="P61" s="32">
        <v>12.699</v>
      </c>
      <c r="Q61" s="32">
        <f t="shared" si="4"/>
        <v>207.221</v>
      </c>
      <c r="R61" s="122"/>
      <c r="S61" s="122"/>
      <c r="T61" s="122"/>
      <c r="U61" s="122"/>
      <c r="V61" s="123">
        <f t="shared" si="5"/>
        <v>0</v>
      </c>
      <c r="W61" s="123">
        <f t="shared" si="6"/>
        <v>0</v>
      </c>
    </row>
    <row r="62" ht="14.25" customHeight="1">
      <c r="A62" s="124"/>
      <c r="D62" s="125" t="s">
        <v>86</v>
      </c>
      <c r="E62" s="125">
        <f>SUM(M:M)</f>
        <v>7559</v>
      </c>
    </row>
    <row r="63" ht="14.25" customHeight="1">
      <c r="A63" s="124"/>
      <c r="D63" s="125" t="s">
        <v>87</v>
      </c>
      <c r="E63" s="125">
        <f>SUM(Q:Q)</f>
        <v>11249.14</v>
      </c>
    </row>
    <row r="64" ht="14.25" customHeight="1">
      <c r="A64" s="124"/>
      <c r="D64" s="125" t="s">
        <v>88</v>
      </c>
      <c r="E64" s="125">
        <f>E62/E63</f>
        <v>0.6719624789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>
        <f>AVERAGEIF(Q:Q,"&gt;0",Q:Q)</f>
        <v>190.6633898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2732</v>
      </c>
    </row>
    <row r="69" ht="14.25" customHeight="1">
      <c r="A69" s="124"/>
      <c r="D69" s="129" t="s">
        <v>91</v>
      </c>
      <c r="E69" s="130">
        <f>SUM(H:H)</f>
        <v>91</v>
      </c>
    </row>
    <row r="70" ht="14.25" customHeight="1">
      <c r="A70" s="124"/>
      <c r="D70" s="129" t="s">
        <v>92</v>
      </c>
      <c r="E70" s="130">
        <f>E69+E68</f>
        <v>2823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4736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4736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7468</v>
      </c>
    </row>
    <row r="77" ht="14.25" customHeight="1">
      <c r="A77" s="124"/>
      <c r="D77" s="133" t="s">
        <v>12</v>
      </c>
      <c r="E77" s="134">
        <f t="shared" si="7"/>
        <v>91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3.86"/>
    <col customWidth="1" min="2" max="2" width="6.29"/>
    <col customWidth="1" min="3" max="3" width="13.0"/>
    <col customWidth="1" min="4" max="5" width="18.57"/>
    <col customWidth="1" min="6" max="6" width="12.29"/>
    <col customWidth="1" min="7" max="10" width="8.71"/>
    <col customWidth="1" min="11" max="11" width="8.29"/>
    <col customWidth="1" min="12" max="12" width="9.29"/>
    <col customWidth="1" min="13" max="13" width="12.29"/>
    <col customWidth="1" min="14" max="14" width="27.0"/>
    <col customWidth="1" min="15" max="15" width="7.14"/>
    <col customWidth="1" min="16" max="16" width="7.29"/>
    <col customWidth="1" min="17" max="17" width="8.86"/>
    <col customWidth="1" min="18" max="28" width="8.71"/>
  </cols>
  <sheetData>
    <row r="1" ht="30.0" customHeight="1">
      <c r="A1" s="152" t="s">
        <v>0</v>
      </c>
      <c r="B1" s="152" t="s">
        <v>1</v>
      </c>
      <c r="C1" s="153" t="s">
        <v>2</v>
      </c>
      <c r="D1" s="153" t="s">
        <v>3</v>
      </c>
      <c r="E1" s="153" t="s">
        <v>4</v>
      </c>
      <c r="F1" s="153" t="s">
        <v>6</v>
      </c>
      <c r="G1" s="153" t="s">
        <v>7</v>
      </c>
      <c r="H1" s="153" t="s">
        <v>8</v>
      </c>
      <c r="I1" s="153" t="s">
        <v>9</v>
      </c>
      <c r="J1" s="153" t="s">
        <v>10</v>
      </c>
      <c r="K1" s="154" t="s">
        <v>11</v>
      </c>
      <c r="L1" s="154" t="s">
        <v>12</v>
      </c>
      <c r="M1" s="153" t="s">
        <v>13</v>
      </c>
      <c r="N1" s="153" t="s">
        <v>14</v>
      </c>
      <c r="O1" s="153" t="s">
        <v>15</v>
      </c>
      <c r="P1" s="153" t="s">
        <v>16</v>
      </c>
      <c r="Q1" s="153" t="s">
        <v>18</v>
      </c>
      <c r="R1" s="155" t="s">
        <v>19</v>
      </c>
      <c r="S1" s="156" t="s">
        <v>20</v>
      </c>
      <c r="T1" s="156" t="s">
        <v>21</v>
      </c>
      <c r="U1" s="156" t="s">
        <v>22</v>
      </c>
      <c r="V1" s="157" t="s">
        <v>23</v>
      </c>
      <c r="W1" s="157" t="s">
        <v>24</v>
      </c>
      <c r="X1" s="159"/>
      <c r="Y1" s="159"/>
      <c r="Z1" s="159"/>
      <c r="AA1" s="159"/>
      <c r="AB1" s="159"/>
    </row>
    <row r="2" ht="14.25" customHeight="1">
      <c r="A2" s="160">
        <v>1.0</v>
      </c>
      <c r="B2" s="160" t="s">
        <v>25</v>
      </c>
      <c r="C2" s="161" t="s">
        <v>26</v>
      </c>
      <c r="D2" s="164">
        <v>7.0</v>
      </c>
      <c r="E2" s="164">
        <v>7.0</v>
      </c>
      <c r="F2" s="161"/>
      <c r="G2" s="164">
        <v>46.0</v>
      </c>
      <c r="H2" s="161"/>
      <c r="I2" s="161">
        <f t="shared" ref="I2:I61" si="1">max(0,K2-G2)</f>
        <v>61</v>
      </c>
      <c r="J2" s="165"/>
      <c r="K2" s="166">
        <v>107.0</v>
      </c>
      <c r="L2" s="161">
        <f t="shared" ref="L2:L11" si="2">J2+H2</f>
        <v>0</v>
      </c>
      <c r="M2" s="161">
        <f t="shared" ref="M2:M61" si="3">G2+H2+I2+J2</f>
        <v>107</v>
      </c>
      <c r="N2" s="167"/>
      <c r="O2" s="161">
        <v>16.904</v>
      </c>
      <c r="P2" s="161">
        <v>12.699</v>
      </c>
      <c r="Q2" s="161">
        <f t="shared" ref="Q2:Q61" si="4">(D2*O2)+(E2*P2)</f>
        <v>207.221</v>
      </c>
      <c r="R2" s="168">
        <v>505207.0</v>
      </c>
      <c r="S2" s="168">
        <v>505269.0</v>
      </c>
      <c r="T2" s="222"/>
      <c r="U2" s="222"/>
      <c r="V2" s="170">
        <f t="shared" ref="V2:V61" si="5">S2-R2</f>
        <v>62</v>
      </c>
      <c r="W2" s="170">
        <f t="shared" ref="W2:W61" si="6">U2-T2</f>
        <v>0</v>
      </c>
      <c r="X2" s="42"/>
      <c r="Y2" s="42"/>
      <c r="Z2" s="42"/>
      <c r="AA2" s="42"/>
      <c r="AB2" s="42"/>
    </row>
    <row r="3" ht="14.25" customHeight="1">
      <c r="A3" s="160">
        <v>2.0</v>
      </c>
      <c r="B3" s="160" t="s">
        <v>25</v>
      </c>
      <c r="C3" s="161" t="s">
        <v>27</v>
      </c>
      <c r="D3" s="164">
        <v>7.0</v>
      </c>
      <c r="E3" s="164">
        <v>7.0</v>
      </c>
      <c r="F3" s="161"/>
      <c r="G3" s="164">
        <v>44.0</v>
      </c>
      <c r="H3" s="161"/>
      <c r="I3" s="161">
        <f t="shared" si="1"/>
        <v>130</v>
      </c>
      <c r="J3" s="165"/>
      <c r="K3" s="166">
        <v>174.0</v>
      </c>
      <c r="L3" s="161">
        <f t="shared" si="2"/>
        <v>0</v>
      </c>
      <c r="M3" s="161">
        <f t="shared" si="3"/>
        <v>174</v>
      </c>
      <c r="N3" s="167"/>
      <c r="O3" s="161">
        <v>16.904</v>
      </c>
      <c r="P3" s="161">
        <v>12.699</v>
      </c>
      <c r="Q3" s="161">
        <f t="shared" si="4"/>
        <v>207.221</v>
      </c>
      <c r="R3" s="168">
        <v>508010.0</v>
      </c>
      <c r="S3" s="168">
        <v>508070.0</v>
      </c>
      <c r="T3" s="222"/>
      <c r="U3" s="222"/>
      <c r="V3" s="170">
        <f t="shared" si="5"/>
        <v>60</v>
      </c>
      <c r="W3" s="170">
        <f t="shared" si="6"/>
        <v>0</v>
      </c>
      <c r="X3" s="42"/>
      <c r="Y3" s="42"/>
      <c r="Z3" s="42"/>
      <c r="AA3" s="42"/>
      <c r="AB3" s="42"/>
    </row>
    <row r="4" ht="14.25" customHeight="1">
      <c r="A4" s="160">
        <v>3.0</v>
      </c>
      <c r="B4" s="160" t="s">
        <v>25</v>
      </c>
      <c r="C4" s="161" t="s">
        <v>28</v>
      </c>
      <c r="D4" s="164">
        <v>7.0</v>
      </c>
      <c r="E4" s="164">
        <v>7.0</v>
      </c>
      <c r="F4" s="161"/>
      <c r="G4" s="164">
        <v>52.0</v>
      </c>
      <c r="H4" s="161"/>
      <c r="I4" s="161">
        <f t="shared" si="1"/>
        <v>63</v>
      </c>
      <c r="J4" s="165"/>
      <c r="K4" s="166">
        <v>115.0</v>
      </c>
      <c r="L4" s="161">
        <f t="shared" si="2"/>
        <v>0</v>
      </c>
      <c r="M4" s="161">
        <f t="shared" si="3"/>
        <v>115</v>
      </c>
      <c r="N4" s="167"/>
      <c r="O4" s="161">
        <v>16.904</v>
      </c>
      <c r="P4" s="161">
        <v>12.699</v>
      </c>
      <c r="Q4" s="161">
        <f t="shared" si="4"/>
        <v>207.221</v>
      </c>
      <c r="R4" s="168">
        <v>513850.0</v>
      </c>
      <c r="S4" s="168">
        <v>513910.0</v>
      </c>
      <c r="T4" s="223"/>
      <c r="U4" s="222"/>
      <c r="V4" s="170">
        <f t="shared" si="5"/>
        <v>60</v>
      </c>
      <c r="W4" s="170">
        <f t="shared" si="6"/>
        <v>0</v>
      </c>
      <c r="X4" s="42"/>
      <c r="Y4" s="42"/>
      <c r="Z4" s="42"/>
      <c r="AA4" s="42"/>
      <c r="AB4" s="42"/>
    </row>
    <row r="5" ht="14.25" customHeight="1">
      <c r="A5" s="160">
        <v>4.0</v>
      </c>
      <c r="B5" s="160" t="s">
        <v>25</v>
      </c>
      <c r="C5" s="193" t="s">
        <v>29</v>
      </c>
      <c r="D5" s="193"/>
      <c r="E5" s="193"/>
      <c r="F5" s="193"/>
      <c r="G5" s="193"/>
      <c r="H5" s="193"/>
      <c r="I5" s="193">
        <f t="shared" si="1"/>
        <v>0</v>
      </c>
      <c r="J5" s="194"/>
      <c r="K5" s="194"/>
      <c r="L5" s="193">
        <f t="shared" si="2"/>
        <v>0</v>
      </c>
      <c r="M5" s="193">
        <f t="shared" si="3"/>
        <v>0</v>
      </c>
      <c r="N5" s="195" t="s">
        <v>120</v>
      </c>
      <c r="O5" s="193">
        <v>16.904</v>
      </c>
      <c r="P5" s="193">
        <v>12.699</v>
      </c>
      <c r="Q5" s="193">
        <f t="shared" si="4"/>
        <v>0</v>
      </c>
      <c r="R5" s="196"/>
      <c r="S5" s="196"/>
      <c r="T5" s="196"/>
      <c r="U5" s="197"/>
      <c r="V5" s="198">
        <f t="shared" si="5"/>
        <v>0</v>
      </c>
      <c r="W5" s="198">
        <f t="shared" si="6"/>
        <v>0</v>
      </c>
      <c r="X5" s="42"/>
      <c r="Y5" s="42"/>
      <c r="Z5" s="42"/>
      <c r="AA5" s="42"/>
      <c r="AB5" s="42"/>
    </row>
    <row r="6" ht="14.25" customHeight="1">
      <c r="A6" s="160">
        <v>5.0</v>
      </c>
      <c r="B6" s="160" t="s">
        <v>25</v>
      </c>
      <c r="C6" s="161" t="s">
        <v>30</v>
      </c>
      <c r="D6" s="164">
        <v>7.0</v>
      </c>
      <c r="E6" s="164">
        <v>7.0</v>
      </c>
      <c r="F6" s="161"/>
      <c r="G6" s="164">
        <v>49.0</v>
      </c>
      <c r="H6" s="161"/>
      <c r="I6" s="161">
        <f t="shared" si="1"/>
        <v>68</v>
      </c>
      <c r="J6" s="165"/>
      <c r="K6" s="166">
        <v>117.0</v>
      </c>
      <c r="L6" s="161">
        <f t="shared" si="2"/>
        <v>0</v>
      </c>
      <c r="M6" s="161">
        <f t="shared" si="3"/>
        <v>117</v>
      </c>
      <c r="N6" s="167"/>
      <c r="O6" s="161">
        <v>16.904</v>
      </c>
      <c r="P6" s="161">
        <v>12.699</v>
      </c>
      <c r="Q6" s="161">
        <f t="shared" si="4"/>
        <v>207.221</v>
      </c>
      <c r="R6" s="168">
        <v>485787.0</v>
      </c>
      <c r="S6" s="168">
        <v>485847.0</v>
      </c>
      <c r="T6" s="223"/>
      <c r="U6" s="222"/>
      <c r="V6" s="170">
        <f t="shared" si="5"/>
        <v>60</v>
      </c>
      <c r="W6" s="170">
        <f t="shared" si="6"/>
        <v>0</v>
      </c>
      <c r="X6" s="42"/>
      <c r="Y6" s="42"/>
      <c r="Z6" s="42"/>
      <c r="AA6" s="42"/>
      <c r="AB6" s="42"/>
    </row>
    <row r="7" ht="14.25" customHeight="1">
      <c r="A7" s="160">
        <v>6.0</v>
      </c>
      <c r="B7" s="160" t="s">
        <v>25</v>
      </c>
      <c r="C7" s="161" t="s">
        <v>31</v>
      </c>
      <c r="D7" s="164">
        <v>6.0</v>
      </c>
      <c r="E7" s="164">
        <v>6.0</v>
      </c>
      <c r="F7" s="161"/>
      <c r="G7" s="164">
        <v>57.0</v>
      </c>
      <c r="H7" s="161"/>
      <c r="I7" s="161">
        <f t="shared" si="1"/>
        <v>37</v>
      </c>
      <c r="J7" s="166">
        <v>10.0</v>
      </c>
      <c r="K7" s="166">
        <v>94.0</v>
      </c>
      <c r="L7" s="161">
        <f t="shared" si="2"/>
        <v>10</v>
      </c>
      <c r="M7" s="161">
        <f t="shared" si="3"/>
        <v>104</v>
      </c>
      <c r="N7" s="167"/>
      <c r="O7" s="161">
        <v>16.904</v>
      </c>
      <c r="P7" s="161">
        <v>12.699</v>
      </c>
      <c r="Q7" s="161">
        <f t="shared" si="4"/>
        <v>177.618</v>
      </c>
      <c r="R7" s="168">
        <v>182567.0</v>
      </c>
      <c r="S7" s="168">
        <v>182629.0</v>
      </c>
      <c r="T7" s="223"/>
      <c r="U7" s="222"/>
      <c r="V7" s="170">
        <f t="shared" si="5"/>
        <v>62</v>
      </c>
      <c r="W7" s="170">
        <f t="shared" si="6"/>
        <v>0</v>
      </c>
      <c r="X7" s="42"/>
      <c r="Y7" s="42"/>
      <c r="Z7" s="42"/>
      <c r="AA7" s="42"/>
      <c r="AB7" s="42"/>
    </row>
    <row r="8" ht="14.25" customHeight="1">
      <c r="A8" s="160">
        <v>7.0</v>
      </c>
      <c r="B8" s="160" t="s">
        <v>25</v>
      </c>
      <c r="C8" s="161" t="s">
        <v>32</v>
      </c>
      <c r="D8" s="164">
        <v>7.0</v>
      </c>
      <c r="E8" s="164">
        <v>7.0</v>
      </c>
      <c r="F8" s="161"/>
      <c r="G8" s="164">
        <v>48.0</v>
      </c>
      <c r="H8" s="161"/>
      <c r="I8" s="161">
        <f t="shared" si="1"/>
        <v>79</v>
      </c>
      <c r="J8" s="165"/>
      <c r="K8" s="166">
        <v>127.0</v>
      </c>
      <c r="L8" s="161">
        <f t="shared" si="2"/>
        <v>0</v>
      </c>
      <c r="M8" s="161">
        <f t="shared" si="3"/>
        <v>127</v>
      </c>
      <c r="N8" s="167"/>
      <c r="O8" s="161">
        <v>16.904</v>
      </c>
      <c r="P8" s="161">
        <v>12.699</v>
      </c>
      <c r="Q8" s="161">
        <f t="shared" si="4"/>
        <v>207.221</v>
      </c>
      <c r="R8" s="168">
        <v>200530.0</v>
      </c>
      <c r="S8" s="168">
        <v>200590.0</v>
      </c>
      <c r="T8" s="223"/>
      <c r="U8" s="222"/>
      <c r="V8" s="170">
        <f t="shared" si="5"/>
        <v>60</v>
      </c>
      <c r="W8" s="170">
        <f t="shared" si="6"/>
        <v>0</v>
      </c>
      <c r="X8" s="42"/>
      <c r="Y8" s="42"/>
      <c r="Z8" s="42"/>
      <c r="AA8" s="42"/>
      <c r="AB8" s="42"/>
    </row>
    <row r="9" ht="14.25" customHeight="1">
      <c r="A9" s="160">
        <v>8.0</v>
      </c>
      <c r="B9" s="160" t="s">
        <v>25</v>
      </c>
      <c r="C9" s="161" t="s">
        <v>33</v>
      </c>
      <c r="D9" s="164">
        <v>7.0</v>
      </c>
      <c r="E9" s="164">
        <v>7.0</v>
      </c>
      <c r="F9" s="161"/>
      <c r="G9" s="164">
        <v>56.0</v>
      </c>
      <c r="H9" s="161"/>
      <c r="I9" s="161">
        <f t="shared" si="1"/>
        <v>54</v>
      </c>
      <c r="J9" s="165"/>
      <c r="K9" s="166">
        <v>110.0</v>
      </c>
      <c r="L9" s="161">
        <f t="shared" si="2"/>
        <v>0</v>
      </c>
      <c r="M9" s="161">
        <f t="shared" si="3"/>
        <v>110</v>
      </c>
      <c r="N9" s="167"/>
      <c r="O9" s="161">
        <v>16.904</v>
      </c>
      <c r="P9" s="161">
        <v>12.699</v>
      </c>
      <c r="Q9" s="161">
        <f t="shared" si="4"/>
        <v>207.221</v>
      </c>
      <c r="R9" s="168">
        <v>196479.0</v>
      </c>
      <c r="S9" s="168">
        <v>196539.0</v>
      </c>
      <c r="T9" s="223"/>
      <c r="U9" s="222"/>
      <c r="V9" s="170">
        <f t="shared" si="5"/>
        <v>60</v>
      </c>
      <c r="W9" s="170">
        <f t="shared" si="6"/>
        <v>0</v>
      </c>
      <c r="X9" s="42"/>
      <c r="Y9" s="42"/>
      <c r="Z9" s="42"/>
      <c r="AA9" s="42"/>
      <c r="AB9" s="42"/>
    </row>
    <row r="10" ht="14.25" customHeight="1">
      <c r="A10" s="160">
        <v>9.0</v>
      </c>
      <c r="B10" s="160" t="s">
        <v>25</v>
      </c>
      <c r="C10" s="161" t="s">
        <v>34</v>
      </c>
      <c r="D10" s="164">
        <v>7.0</v>
      </c>
      <c r="E10" s="164">
        <v>6.0</v>
      </c>
      <c r="F10" s="161"/>
      <c r="G10" s="164">
        <v>52.0</v>
      </c>
      <c r="H10" s="161"/>
      <c r="I10" s="161">
        <f t="shared" si="1"/>
        <v>64</v>
      </c>
      <c r="J10" s="165"/>
      <c r="K10" s="166">
        <v>116.0</v>
      </c>
      <c r="L10" s="161">
        <f t="shared" si="2"/>
        <v>0</v>
      </c>
      <c r="M10" s="161">
        <f t="shared" si="3"/>
        <v>116</v>
      </c>
      <c r="N10" s="167"/>
      <c r="O10" s="161">
        <v>16.904</v>
      </c>
      <c r="P10" s="161">
        <v>12.699</v>
      </c>
      <c r="Q10" s="161">
        <f t="shared" si="4"/>
        <v>194.522</v>
      </c>
      <c r="R10" s="168">
        <v>538951.0</v>
      </c>
      <c r="S10" s="168">
        <v>539041.0</v>
      </c>
      <c r="T10" s="223"/>
      <c r="U10" s="222"/>
      <c r="V10" s="170">
        <f t="shared" si="5"/>
        <v>90</v>
      </c>
      <c r="W10" s="170">
        <f t="shared" si="6"/>
        <v>0</v>
      </c>
      <c r="X10" s="42"/>
      <c r="Y10" s="42"/>
      <c r="Z10" s="42"/>
      <c r="AA10" s="42"/>
      <c r="AB10" s="42"/>
    </row>
    <row r="11" ht="14.25" customHeight="1">
      <c r="A11" s="160">
        <v>10.0</v>
      </c>
      <c r="B11" s="160" t="s">
        <v>25</v>
      </c>
      <c r="C11" s="161" t="s">
        <v>35</v>
      </c>
      <c r="D11" s="164">
        <v>7.0</v>
      </c>
      <c r="E11" s="164">
        <v>7.0</v>
      </c>
      <c r="F11" s="161"/>
      <c r="G11" s="164">
        <v>55.0</v>
      </c>
      <c r="H11" s="161"/>
      <c r="I11" s="161">
        <f t="shared" si="1"/>
        <v>100</v>
      </c>
      <c r="J11" s="165"/>
      <c r="K11" s="166">
        <v>155.0</v>
      </c>
      <c r="L11" s="161">
        <f t="shared" si="2"/>
        <v>0</v>
      </c>
      <c r="M11" s="161">
        <f t="shared" si="3"/>
        <v>155</v>
      </c>
      <c r="N11" s="167"/>
      <c r="O11" s="161">
        <v>16.904</v>
      </c>
      <c r="P11" s="161">
        <v>12.699</v>
      </c>
      <c r="Q11" s="161">
        <f t="shared" si="4"/>
        <v>207.221</v>
      </c>
      <c r="R11" s="168">
        <v>197101.0</v>
      </c>
      <c r="S11" s="168">
        <v>197161.0</v>
      </c>
      <c r="T11" s="223"/>
      <c r="U11" s="222"/>
      <c r="V11" s="170">
        <f t="shared" si="5"/>
        <v>60</v>
      </c>
      <c r="W11" s="170">
        <f t="shared" si="6"/>
        <v>0</v>
      </c>
      <c r="X11" s="42"/>
      <c r="Y11" s="42"/>
      <c r="Z11" s="42"/>
      <c r="AA11" s="42"/>
      <c r="AB11" s="42"/>
    </row>
    <row r="12" ht="14.25" customHeight="1">
      <c r="A12" s="160">
        <v>11.0</v>
      </c>
      <c r="B12" s="160" t="s">
        <v>25</v>
      </c>
      <c r="C12" s="161" t="s">
        <v>36</v>
      </c>
      <c r="D12" s="164">
        <v>6.0</v>
      </c>
      <c r="E12" s="164">
        <v>6.0</v>
      </c>
      <c r="F12" s="161"/>
      <c r="G12" s="164">
        <v>54.0</v>
      </c>
      <c r="H12" s="161"/>
      <c r="I12" s="161">
        <f t="shared" si="1"/>
        <v>31</v>
      </c>
      <c r="J12" s="166">
        <v>16.0</v>
      </c>
      <c r="K12" s="166">
        <v>85.0</v>
      </c>
      <c r="L12" s="161">
        <f>J12+K9</f>
        <v>126</v>
      </c>
      <c r="M12" s="161">
        <f t="shared" si="3"/>
        <v>101</v>
      </c>
      <c r="N12" s="167"/>
      <c r="O12" s="161">
        <v>16.904</v>
      </c>
      <c r="P12" s="161">
        <v>12.699</v>
      </c>
      <c r="Q12" s="161">
        <f t="shared" si="4"/>
        <v>177.618</v>
      </c>
      <c r="R12" s="168">
        <v>587851.0</v>
      </c>
      <c r="S12" s="168">
        <v>587941.0</v>
      </c>
      <c r="T12" s="223"/>
      <c r="U12" s="222"/>
      <c r="V12" s="170">
        <f t="shared" si="5"/>
        <v>90</v>
      </c>
      <c r="W12" s="170">
        <f t="shared" si="6"/>
        <v>0</v>
      </c>
      <c r="X12" s="42"/>
      <c r="Y12" s="42"/>
      <c r="Z12" s="42"/>
      <c r="AA12" s="42"/>
      <c r="AB12" s="42"/>
    </row>
    <row r="13" ht="14.25" customHeight="1">
      <c r="A13" s="160">
        <v>12.0</v>
      </c>
      <c r="B13" s="160" t="s">
        <v>25</v>
      </c>
      <c r="C13" s="161" t="s">
        <v>37</v>
      </c>
      <c r="D13" s="164">
        <v>7.0</v>
      </c>
      <c r="E13" s="164">
        <v>7.0</v>
      </c>
      <c r="F13" s="161"/>
      <c r="G13" s="164">
        <v>44.0</v>
      </c>
      <c r="H13" s="161"/>
      <c r="I13" s="161">
        <f t="shared" si="1"/>
        <v>31</v>
      </c>
      <c r="J13" s="166">
        <v>21.0</v>
      </c>
      <c r="K13" s="166">
        <v>75.0</v>
      </c>
      <c r="L13" s="161">
        <f t="shared" ref="L13:L61" si="7">J13+H13</f>
        <v>21</v>
      </c>
      <c r="M13" s="161">
        <f t="shared" si="3"/>
        <v>96</v>
      </c>
      <c r="N13" s="167"/>
      <c r="O13" s="161">
        <v>16.904</v>
      </c>
      <c r="P13" s="161">
        <v>12.699</v>
      </c>
      <c r="Q13" s="161">
        <f t="shared" si="4"/>
        <v>207.221</v>
      </c>
      <c r="R13" s="168">
        <v>584830.0</v>
      </c>
      <c r="S13" s="168">
        <v>584893.0</v>
      </c>
      <c r="T13" s="223"/>
      <c r="U13" s="222"/>
      <c r="V13" s="170">
        <f t="shared" si="5"/>
        <v>63</v>
      </c>
      <c r="W13" s="170">
        <f t="shared" si="6"/>
        <v>0</v>
      </c>
      <c r="X13" s="42"/>
      <c r="Y13" s="42"/>
      <c r="Z13" s="42"/>
      <c r="AA13" s="42"/>
      <c r="AB13" s="42"/>
    </row>
    <row r="14" ht="14.25" customHeight="1">
      <c r="A14" s="160">
        <v>13.0</v>
      </c>
      <c r="B14" s="160" t="s">
        <v>25</v>
      </c>
      <c r="C14" s="161" t="s">
        <v>38</v>
      </c>
      <c r="D14" s="164">
        <v>7.0</v>
      </c>
      <c r="E14" s="164">
        <v>7.0</v>
      </c>
      <c r="F14" s="161"/>
      <c r="G14" s="164">
        <v>57.0</v>
      </c>
      <c r="H14" s="161"/>
      <c r="I14" s="161">
        <f t="shared" si="1"/>
        <v>38</v>
      </c>
      <c r="J14" s="165"/>
      <c r="K14" s="166">
        <v>95.0</v>
      </c>
      <c r="L14" s="161">
        <f t="shared" si="7"/>
        <v>0</v>
      </c>
      <c r="M14" s="161">
        <f t="shared" si="3"/>
        <v>95</v>
      </c>
      <c r="N14" s="167"/>
      <c r="O14" s="161">
        <v>16.904</v>
      </c>
      <c r="P14" s="161">
        <v>12.699</v>
      </c>
      <c r="Q14" s="161">
        <f t="shared" si="4"/>
        <v>207.221</v>
      </c>
      <c r="R14" s="168">
        <v>200344.0</v>
      </c>
      <c r="S14" s="168">
        <v>200434.0</v>
      </c>
      <c r="T14" s="223"/>
      <c r="U14" s="222"/>
      <c r="V14" s="170">
        <f t="shared" si="5"/>
        <v>90</v>
      </c>
      <c r="W14" s="170">
        <f t="shared" si="6"/>
        <v>0</v>
      </c>
      <c r="X14" s="42"/>
      <c r="Y14" s="42"/>
      <c r="Z14" s="42"/>
      <c r="AA14" s="42"/>
      <c r="AB14" s="42"/>
    </row>
    <row r="15" ht="14.25" customHeight="1">
      <c r="A15" s="160">
        <v>14.0</v>
      </c>
      <c r="B15" s="160" t="s">
        <v>25</v>
      </c>
      <c r="C15" s="161" t="s">
        <v>39</v>
      </c>
      <c r="D15" s="164">
        <v>7.0</v>
      </c>
      <c r="E15" s="164">
        <v>7.0</v>
      </c>
      <c r="F15" s="161"/>
      <c r="G15" s="164">
        <v>50.0</v>
      </c>
      <c r="H15" s="161"/>
      <c r="I15" s="161">
        <f t="shared" si="1"/>
        <v>42</v>
      </c>
      <c r="J15" s="166">
        <v>31.0</v>
      </c>
      <c r="K15" s="166">
        <v>92.0</v>
      </c>
      <c r="L15" s="161">
        <f t="shared" si="7"/>
        <v>31</v>
      </c>
      <c r="M15" s="161">
        <f t="shared" si="3"/>
        <v>123</v>
      </c>
      <c r="N15" s="167"/>
      <c r="O15" s="161">
        <v>16.904</v>
      </c>
      <c r="P15" s="161">
        <v>12.699</v>
      </c>
      <c r="Q15" s="161">
        <f t="shared" si="4"/>
        <v>207.221</v>
      </c>
      <c r="R15" s="168">
        <v>241556.0</v>
      </c>
      <c r="S15" s="168">
        <v>241615.0</v>
      </c>
      <c r="T15" s="223"/>
      <c r="U15" s="222"/>
      <c r="V15" s="170">
        <f t="shared" si="5"/>
        <v>59</v>
      </c>
      <c r="W15" s="170">
        <f t="shared" si="6"/>
        <v>0</v>
      </c>
      <c r="X15" s="42"/>
      <c r="Y15" s="42"/>
      <c r="Z15" s="42"/>
      <c r="AA15" s="42"/>
      <c r="AB15" s="42"/>
    </row>
    <row r="16" ht="14.25" customHeight="1">
      <c r="A16" s="160">
        <v>15.0</v>
      </c>
      <c r="B16" s="160" t="s">
        <v>25</v>
      </c>
      <c r="C16" s="161" t="s">
        <v>40</v>
      </c>
      <c r="D16" s="164">
        <v>6.0</v>
      </c>
      <c r="E16" s="164">
        <v>6.0</v>
      </c>
      <c r="F16" s="161"/>
      <c r="G16" s="164">
        <v>58.0</v>
      </c>
      <c r="H16" s="161"/>
      <c r="I16" s="161">
        <f t="shared" si="1"/>
        <v>52</v>
      </c>
      <c r="J16" s="166">
        <v>39.0</v>
      </c>
      <c r="K16" s="166">
        <v>110.0</v>
      </c>
      <c r="L16" s="161">
        <f t="shared" si="7"/>
        <v>39</v>
      </c>
      <c r="M16" s="161">
        <f t="shared" si="3"/>
        <v>149</v>
      </c>
      <c r="N16" s="167"/>
      <c r="O16" s="161">
        <v>16.904</v>
      </c>
      <c r="P16" s="161">
        <v>12.699</v>
      </c>
      <c r="Q16" s="161">
        <f t="shared" si="4"/>
        <v>177.618</v>
      </c>
      <c r="R16" s="168">
        <v>553400.0</v>
      </c>
      <c r="S16" s="168">
        <v>553490.0</v>
      </c>
      <c r="T16" s="223"/>
      <c r="U16" s="222"/>
      <c r="V16" s="170">
        <f t="shared" si="5"/>
        <v>90</v>
      </c>
      <c r="W16" s="170">
        <f t="shared" si="6"/>
        <v>0</v>
      </c>
      <c r="X16" s="42"/>
      <c r="Y16" s="42"/>
      <c r="Z16" s="42"/>
      <c r="AA16" s="42"/>
      <c r="AB16" s="42"/>
    </row>
    <row r="17" ht="14.25" customHeight="1">
      <c r="A17" s="160">
        <v>16.0</v>
      </c>
      <c r="B17" s="160" t="s">
        <v>25</v>
      </c>
      <c r="C17" s="161" t="s">
        <v>41</v>
      </c>
      <c r="D17" s="164">
        <v>7.0</v>
      </c>
      <c r="E17" s="164">
        <v>7.0</v>
      </c>
      <c r="F17" s="161"/>
      <c r="G17" s="164">
        <v>60.0</v>
      </c>
      <c r="H17" s="161"/>
      <c r="I17" s="161">
        <f t="shared" si="1"/>
        <v>30</v>
      </c>
      <c r="J17" s="166">
        <v>54.0</v>
      </c>
      <c r="K17" s="166">
        <v>90.0</v>
      </c>
      <c r="L17" s="161">
        <f t="shared" si="7"/>
        <v>54</v>
      </c>
      <c r="M17" s="161">
        <f t="shared" si="3"/>
        <v>144</v>
      </c>
      <c r="N17" s="167"/>
      <c r="O17" s="161">
        <v>16.904</v>
      </c>
      <c r="P17" s="161">
        <v>12.699</v>
      </c>
      <c r="Q17" s="161">
        <f t="shared" si="4"/>
        <v>207.221</v>
      </c>
      <c r="R17" s="168">
        <v>177832.0</v>
      </c>
      <c r="S17" s="168">
        <v>177892.0</v>
      </c>
      <c r="T17" s="223"/>
      <c r="U17" s="222"/>
      <c r="V17" s="170">
        <f t="shared" si="5"/>
        <v>60</v>
      </c>
      <c r="W17" s="170">
        <f t="shared" si="6"/>
        <v>0</v>
      </c>
      <c r="X17" s="42"/>
      <c r="Y17" s="42"/>
      <c r="Z17" s="42"/>
      <c r="AA17" s="42"/>
      <c r="AB17" s="42"/>
    </row>
    <row r="18" ht="14.25" customHeight="1">
      <c r="A18" s="160">
        <v>17.0</v>
      </c>
      <c r="B18" s="160" t="s">
        <v>25</v>
      </c>
      <c r="C18" s="161" t="s">
        <v>42</v>
      </c>
      <c r="D18" s="164">
        <v>7.0</v>
      </c>
      <c r="E18" s="164">
        <v>7.0</v>
      </c>
      <c r="F18" s="161"/>
      <c r="G18" s="164">
        <v>51.0</v>
      </c>
      <c r="H18" s="161"/>
      <c r="I18" s="161">
        <f t="shared" si="1"/>
        <v>50</v>
      </c>
      <c r="J18" s="165"/>
      <c r="K18" s="166">
        <v>101.0</v>
      </c>
      <c r="L18" s="161">
        <f t="shared" si="7"/>
        <v>0</v>
      </c>
      <c r="M18" s="161">
        <f t="shared" si="3"/>
        <v>101</v>
      </c>
      <c r="N18" s="167"/>
      <c r="O18" s="161">
        <v>16.904</v>
      </c>
      <c r="P18" s="161">
        <v>12.699</v>
      </c>
      <c r="Q18" s="161">
        <f t="shared" si="4"/>
        <v>207.221</v>
      </c>
      <c r="R18" s="168">
        <v>173681.0</v>
      </c>
      <c r="S18" s="168">
        <v>173745.0</v>
      </c>
      <c r="T18" s="223"/>
      <c r="U18" s="222"/>
      <c r="V18" s="170">
        <f t="shared" si="5"/>
        <v>64</v>
      </c>
      <c r="W18" s="170">
        <f t="shared" si="6"/>
        <v>0</v>
      </c>
      <c r="X18" s="42"/>
      <c r="Y18" s="42"/>
      <c r="Z18" s="42"/>
      <c r="AA18" s="42"/>
      <c r="AB18" s="42"/>
    </row>
    <row r="19" ht="14.25" customHeight="1">
      <c r="A19" s="160">
        <v>18.0</v>
      </c>
      <c r="B19" s="160" t="s">
        <v>25</v>
      </c>
      <c r="C19" s="161" t="s">
        <v>43</v>
      </c>
      <c r="D19" s="164">
        <v>7.0</v>
      </c>
      <c r="E19" s="164">
        <v>7.0</v>
      </c>
      <c r="F19" s="161"/>
      <c r="G19" s="164">
        <v>49.0</v>
      </c>
      <c r="H19" s="161"/>
      <c r="I19" s="161">
        <f t="shared" si="1"/>
        <v>73</v>
      </c>
      <c r="J19" s="165"/>
      <c r="K19" s="166">
        <v>122.0</v>
      </c>
      <c r="L19" s="161">
        <f t="shared" si="7"/>
        <v>0</v>
      </c>
      <c r="M19" s="161">
        <f t="shared" si="3"/>
        <v>122</v>
      </c>
      <c r="N19" s="167"/>
      <c r="O19" s="161">
        <v>16.904</v>
      </c>
      <c r="P19" s="161">
        <v>12.699</v>
      </c>
      <c r="Q19" s="161">
        <f t="shared" si="4"/>
        <v>207.221</v>
      </c>
      <c r="R19" s="168">
        <v>201396.0</v>
      </c>
      <c r="S19" s="168">
        <v>201456.0</v>
      </c>
      <c r="T19" s="223"/>
      <c r="U19" s="222"/>
      <c r="V19" s="170">
        <f t="shared" si="5"/>
        <v>60</v>
      </c>
      <c r="W19" s="170">
        <f t="shared" si="6"/>
        <v>0</v>
      </c>
      <c r="X19" s="42"/>
      <c r="Y19" s="42"/>
      <c r="Z19" s="42"/>
      <c r="AA19" s="42"/>
      <c r="AB19" s="42"/>
    </row>
    <row r="20" ht="14.25" customHeight="1">
      <c r="A20" s="160">
        <v>19.0</v>
      </c>
      <c r="B20" s="160" t="s">
        <v>25</v>
      </c>
      <c r="C20" s="161" t="s">
        <v>44</v>
      </c>
      <c r="D20" s="164">
        <v>7.0</v>
      </c>
      <c r="E20" s="164">
        <v>7.0</v>
      </c>
      <c r="F20" s="161"/>
      <c r="G20" s="164">
        <v>53.0</v>
      </c>
      <c r="H20" s="161"/>
      <c r="I20" s="161">
        <f t="shared" si="1"/>
        <v>38</v>
      </c>
      <c r="J20" s="165"/>
      <c r="K20" s="166">
        <v>91.0</v>
      </c>
      <c r="L20" s="161">
        <f t="shared" si="7"/>
        <v>0</v>
      </c>
      <c r="M20" s="161">
        <f t="shared" si="3"/>
        <v>91</v>
      </c>
      <c r="N20" s="167"/>
      <c r="O20" s="161">
        <v>16.904</v>
      </c>
      <c r="P20" s="161">
        <v>12.699</v>
      </c>
      <c r="Q20" s="161">
        <f t="shared" si="4"/>
        <v>207.221</v>
      </c>
      <c r="R20" s="168">
        <v>200702.0</v>
      </c>
      <c r="S20" s="168">
        <v>200763.0</v>
      </c>
      <c r="T20" s="223"/>
      <c r="U20" s="222"/>
      <c r="V20" s="170">
        <f t="shared" si="5"/>
        <v>61</v>
      </c>
      <c r="W20" s="170">
        <f t="shared" si="6"/>
        <v>0</v>
      </c>
      <c r="X20" s="42"/>
      <c r="Y20" s="42"/>
      <c r="Z20" s="42"/>
      <c r="AA20" s="42"/>
      <c r="AB20" s="42"/>
    </row>
    <row r="21" ht="14.25" customHeight="1">
      <c r="A21" s="160">
        <v>20.0</v>
      </c>
      <c r="B21" s="160" t="s">
        <v>25</v>
      </c>
      <c r="C21" s="161" t="s">
        <v>45</v>
      </c>
      <c r="D21" s="164">
        <v>7.0</v>
      </c>
      <c r="E21" s="164">
        <v>7.0</v>
      </c>
      <c r="F21" s="161"/>
      <c r="G21" s="164">
        <v>47.0</v>
      </c>
      <c r="H21" s="161"/>
      <c r="I21" s="161">
        <f t="shared" si="1"/>
        <v>110</v>
      </c>
      <c r="J21" s="165"/>
      <c r="K21" s="166">
        <v>157.0</v>
      </c>
      <c r="L21" s="161">
        <f t="shared" si="7"/>
        <v>0</v>
      </c>
      <c r="M21" s="161">
        <f t="shared" si="3"/>
        <v>157</v>
      </c>
      <c r="N21" s="167"/>
      <c r="O21" s="161">
        <v>16.904</v>
      </c>
      <c r="P21" s="161">
        <v>12.699</v>
      </c>
      <c r="Q21" s="161">
        <f t="shared" si="4"/>
        <v>207.221</v>
      </c>
      <c r="R21" s="168">
        <v>176810.0</v>
      </c>
      <c r="S21" s="168">
        <v>176872.0</v>
      </c>
      <c r="T21" s="223"/>
      <c r="U21" s="222"/>
      <c r="V21" s="170">
        <f t="shared" si="5"/>
        <v>62</v>
      </c>
      <c r="W21" s="170">
        <f t="shared" si="6"/>
        <v>0</v>
      </c>
      <c r="X21" s="42"/>
      <c r="Y21" s="42"/>
      <c r="Z21" s="42"/>
      <c r="AA21" s="42"/>
      <c r="AB21" s="42"/>
    </row>
    <row r="22" ht="14.25" customHeight="1">
      <c r="A22" s="160">
        <v>21.0</v>
      </c>
      <c r="B22" s="160" t="s">
        <v>25</v>
      </c>
      <c r="C22" s="161" t="s">
        <v>46</v>
      </c>
      <c r="D22" s="164">
        <v>6.0</v>
      </c>
      <c r="E22" s="164">
        <v>7.0</v>
      </c>
      <c r="F22" s="161"/>
      <c r="G22" s="164">
        <v>62.0</v>
      </c>
      <c r="H22" s="161"/>
      <c r="I22" s="161">
        <f t="shared" si="1"/>
        <v>68</v>
      </c>
      <c r="J22" s="165"/>
      <c r="K22" s="166">
        <v>130.0</v>
      </c>
      <c r="L22" s="161">
        <f t="shared" si="7"/>
        <v>0</v>
      </c>
      <c r="M22" s="161">
        <f t="shared" si="3"/>
        <v>130</v>
      </c>
      <c r="N22" s="167"/>
      <c r="O22" s="161">
        <v>16.904</v>
      </c>
      <c r="P22" s="161">
        <v>12.699</v>
      </c>
      <c r="Q22" s="161">
        <f t="shared" si="4"/>
        <v>190.317</v>
      </c>
      <c r="R22" s="168">
        <v>201288.0</v>
      </c>
      <c r="S22" s="168">
        <v>201351.0</v>
      </c>
      <c r="T22" s="223"/>
      <c r="U22" s="222"/>
      <c r="V22" s="170">
        <f t="shared" si="5"/>
        <v>63</v>
      </c>
      <c r="W22" s="170">
        <f t="shared" si="6"/>
        <v>0</v>
      </c>
      <c r="X22" s="42"/>
      <c r="Y22" s="42"/>
      <c r="Z22" s="42"/>
      <c r="AA22" s="42"/>
      <c r="AB22" s="42"/>
    </row>
    <row r="23" ht="14.25" customHeight="1">
      <c r="A23" s="160">
        <v>22.0</v>
      </c>
      <c r="B23" s="160" t="s">
        <v>25</v>
      </c>
      <c r="C23" s="161" t="s">
        <v>47</v>
      </c>
      <c r="D23" s="164">
        <v>6.0</v>
      </c>
      <c r="E23" s="164">
        <v>6.0</v>
      </c>
      <c r="F23" s="161"/>
      <c r="G23" s="164">
        <v>49.0</v>
      </c>
      <c r="H23" s="161"/>
      <c r="I23" s="161">
        <f t="shared" si="1"/>
        <v>25</v>
      </c>
      <c r="J23" s="166">
        <v>15.0</v>
      </c>
      <c r="K23" s="166">
        <v>74.0</v>
      </c>
      <c r="L23" s="161">
        <f t="shared" si="7"/>
        <v>15</v>
      </c>
      <c r="M23" s="161">
        <f t="shared" si="3"/>
        <v>89</v>
      </c>
      <c r="N23" s="167"/>
      <c r="O23" s="161">
        <v>16.904</v>
      </c>
      <c r="P23" s="161">
        <v>12.699</v>
      </c>
      <c r="Q23" s="161">
        <f t="shared" si="4"/>
        <v>177.618</v>
      </c>
      <c r="R23" s="168">
        <v>455908.0</v>
      </c>
      <c r="S23" s="168">
        <v>455998.0</v>
      </c>
      <c r="T23" s="223"/>
      <c r="U23" s="222"/>
      <c r="V23" s="170">
        <f t="shared" si="5"/>
        <v>90</v>
      </c>
      <c r="W23" s="170">
        <f t="shared" si="6"/>
        <v>0</v>
      </c>
      <c r="X23" s="42"/>
      <c r="Y23" s="42"/>
      <c r="Z23" s="42"/>
      <c r="AA23" s="42"/>
      <c r="AB23" s="42"/>
    </row>
    <row r="24" ht="14.25" customHeight="1">
      <c r="A24" s="160">
        <v>23.0</v>
      </c>
      <c r="B24" s="160" t="s">
        <v>25</v>
      </c>
      <c r="C24" s="161" t="s">
        <v>48</v>
      </c>
      <c r="D24" s="164">
        <v>6.0</v>
      </c>
      <c r="E24" s="164">
        <v>7.0</v>
      </c>
      <c r="F24" s="161"/>
      <c r="G24" s="164">
        <v>63.0</v>
      </c>
      <c r="H24" s="161"/>
      <c r="I24" s="161">
        <f t="shared" si="1"/>
        <v>50</v>
      </c>
      <c r="J24" s="165"/>
      <c r="K24" s="166">
        <v>113.0</v>
      </c>
      <c r="L24" s="161">
        <f t="shared" si="7"/>
        <v>0</v>
      </c>
      <c r="M24" s="161">
        <f t="shared" si="3"/>
        <v>113</v>
      </c>
      <c r="N24" s="167"/>
      <c r="O24" s="161">
        <v>16.904</v>
      </c>
      <c r="P24" s="161">
        <v>12.699</v>
      </c>
      <c r="Q24" s="161">
        <f t="shared" si="4"/>
        <v>190.317</v>
      </c>
      <c r="R24" s="168">
        <v>551491.0</v>
      </c>
      <c r="S24" s="168">
        <v>551551.0</v>
      </c>
      <c r="T24" s="223"/>
      <c r="U24" s="222"/>
      <c r="V24" s="170">
        <f t="shared" si="5"/>
        <v>60</v>
      </c>
      <c r="W24" s="170">
        <f t="shared" si="6"/>
        <v>0</v>
      </c>
      <c r="X24" s="42"/>
      <c r="Y24" s="42"/>
      <c r="Z24" s="42"/>
      <c r="AA24" s="42"/>
      <c r="AB24" s="42"/>
    </row>
    <row r="25" ht="14.25" customHeight="1">
      <c r="A25" s="160">
        <v>24.0</v>
      </c>
      <c r="B25" s="160" t="s">
        <v>25</v>
      </c>
      <c r="C25" s="161" t="s">
        <v>49</v>
      </c>
      <c r="D25" s="164">
        <v>7.0</v>
      </c>
      <c r="E25" s="164">
        <v>7.0</v>
      </c>
      <c r="F25" s="161"/>
      <c r="G25" s="164">
        <v>56.0</v>
      </c>
      <c r="H25" s="161"/>
      <c r="I25" s="161">
        <f t="shared" si="1"/>
        <v>54</v>
      </c>
      <c r="J25" s="165"/>
      <c r="K25" s="166">
        <v>110.0</v>
      </c>
      <c r="L25" s="161">
        <f t="shared" si="7"/>
        <v>0</v>
      </c>
      <c r="M25" s="161">
        <f t="shared" si="3"/>
        <v>110</v>
      </c>
      <c r="N25" s="167"/>
      <c r="O25" s="161">
        <v>16.904</v>
      </c>
      <c r="P25" s="161">
        <v>12.699</v>
      </c>
      <c r="Q25" s="161">
        <f t="shared" si="4"/>
        <v>207.221</v>
      </c>
      <c r="R25" s="168">
        <v>376640.0</v>
      </c>
      <c r="S25" s="168">
        <v>376727.0</v>
      </c>
      <c r="T25" s="223"/>
      <c r="U25" s="222"/>
      <c r="V25" s="170">
        <f t="shared" si="5"/>
        <v>87</v>
      </c>
      <c r="W25" s="170">
        <f t="shared" si="6"/>
        <v>0</v>
      </c>
      <c r="X25" s="42"/>
      <c r="Y25" s="42"/>
      <c r="Z25" s="42"/>
      <c r="AA25" s="42"/>
      <c r="AB25" s="42"/>
    </row>
    <row r="26" ht="14.25" customHeight="1">
      <c r="A26" s="160">
        <v>25.0</v>
      </c>
      <c r="B26" s="160" t="s">
        <v>25</v>
      </c>
      <c r="C26" s="161" t="s">
        <v>50</v>
      </c>
      <c r="D26" s="164">
        <v>7.0</v>
      </c>
      <c r="E26" s="164">
        <v>7.0</v>
      </c>
      <c r="F26" s="161"/>
      <c r="G26" s="164">
        <v>46.0</v>
      </c>
      <c r="H26" s="161"/>
      <c r="I26" s="161">
        <f t="shared" si="1"/>
        <v>62</v>
      </c>
      <c r="J26" s="165"/>
      <c r="K26" s="166">
        <v>108.0</v>
      </c>
      <c r="L26" s="161">
        <f t="shared" si="7"/>
        <v>0</v>
      </c>
      <c r="M26" s="161">
        <f t="shared" si="3"/>
        <v>108</v>
      </c>
      <c r="N26" s="167"/>
      <c r="O26" s="161">
        <v>16.904</v>
      </c>
      <c r="P26" s="161">
        <v>12.699</v>
      </c>
      <c r="Q26" s="161">
        <f t="shared" si="4"/>
        <v>207.221</v>
      </c>
      <c r="R26" s="168">
        <v>194936.0</v>
      </c>
      <c r="S26" s="168">
        <v>194994.0</v>
      </c>
      <c r="T26" s="223"/>
      <c r="U26" s="222"/>
      <c r="V26" s="170">
        <f t="shared" si="5"/>
        <v>58</v>
      </c>
      <c r="W26" s="170">
        <f t="shared" si="6"/>
        <v>0</v>
      </c>
      <c r="X26" s="42"/>
      <c r="Y26" s="42"/>
      <c r="Z26" s="42"/>
      <c r="AA26" s="42"/>
      <c r="AB26" s="42"/>
    </row>
    <row r="27" ht="14.25" customHeight="1">
      <c r="A27" s="160">
        <v>26.0</v>
      </c>
      <c r="B27" s="160" t="s">
        <v>25</v>
      </c>
      <c r="C27" s="161" t="s">
        <v>51</v>
      </c>
      <c r="D27" s="164">
        <v>6.0</v>
      </c>
      <c r="E27" s="164">
        <v>6.0</v>
      </c>
      <c r="F27" s="161"/>
      <c r="G27" s="164">
        <v>67.0</v>
      </c>
      <c r="H27" s="161"/>
      <c r="I27" s="161">
        <f t="shared" si="1"/>
        <v>56</v>
      </c>
      <c r="J27" s="165"/>
      <c r="K27" s="166">
        <v>123.0</v>
      </c>
      <c r="L27" s="161">
        <f t="shared" si="7"/>
        <v>0</v>
      </c>
      <c r="M27" s="161">
        <f t="shared" si="3"/>
        <v>123</v>
      </c>
      <c r="N27" s="167"/>
      <c r="O27" s="161">
        <v>16.904</v>
      </c>
      <c r="P27" s="161">
        <v>12.699</v>
      </c>
      <c r="Q27" s="161">
        <f t="shared" si="4"/>
        <v>177.618</v>
      </c>
      <c r="R27" s="168">
        <v>191172.0</v>
      </c>
      <c r="S27" s="168">
        <v>191233.0</v>
      </c>
      <c r="T27" s="223"/>
      <c r="U27" s="222"/>
      <c r="V27" s="170">
        <f t="shared" si="5"/>
        <v>61</v>
      </c>
      <c r="W27" s="170">
        <f t="shared" si="6"/>
        <v>0</v>
      </c>
      <c r="X27" s="42"/>
      <c r="Y27" s="42"/>
      <c r="Z27" s="42"/>
      <c r="AA27" s="42"/>
      <c r="AB27" s="42"/>
    </row>
    <row r="28" ht="14.25" customHeight="1">
      <c r="A28" s="160">
        <v>27.0</v>
      </c>
      <c r="B28" s="160" t="s">
        <v>25</v>
      </c>
      <c r="C28" s="161" t="s">
        <v>52</v>
      </c>
      <c r="D28" s="164">
        <v>7.0</v>
      </c>
      <c r="E28" s="164">
        <v>7.0</v>
      </c>
      <c r="F28" s="161"/>
      <c r="G28" s="164">
        <v>59.0</v>
      </c>
      <c r="H28" s="161"/>
      <c r="I28" s="161">
        <f t="shared" si="1"/>
        <v>59</v>
      </c>
      <c r="J28" s="166">
        <v>45.0</v>
      </c>
      <c r="K28" s="166">
        <v>118.0</v>
      </c>
      <c r="L28" s="161">
        <f t="shared" si="7"/>
        <v>45</v>
      </c>
      <c r="M28" s="161">
        <f t="shared" si="3"/>
        <v>163</v>
      </c>
      <c r="N28" s="167"/>
      <c r="O28" s="161">
        <v>16.904</v>
      </c>
      <c r="P28" s="161">
        <v>12.699</v>
      </c>
      <c r="Q28" s="161">
        <f t="shared" si="4"/>
        <v>207.221</v>
      </c>
      <c r="R28" s="168">
        <v>184679.0</v>
      </c>
      <c r="S28" s="168">
        <v>184739.0</v>
      </c>
      <c r="T28" s="223"/>
      <c r="U28" s="222"/>
      <c r="V28" s="170">
        <f t="shared" si="5"/>
        <v>60</v>
      </c>
      <c r="W28" s="170">
        <f t="shared" si="6"/>
        <v>0</v>
      </c>
      <c r="X28" s="42"/>
      <c r="Y28" s="42"/>
      <c r="Z28" s="42"/>
      <c r="AA28" s="42"/>
      <c r="AB28" s="42"/>
    </row>
    <row r="29" ht="14.25" customHeight="1">
      <c r="A29" s="160">
        <v>28.0</v>
      </c>
      <c r="B29" s="160" t="s">
        <v>25</v>
      </c>
      <c r="C29" s="161" t="s">
        <v>53</v>
      </c>
      <c r="D29" s="164">
        <v>7.0</v>
      </c>
      <c r="E29" s="164">
        <v>7.0</v>
      </c>
      <c r="F29" s="161"/>
      <c r="G29" s="164">
        <v>45.0</v>
      </c>
      <c r="H29" s="161"/>
      <c r="I29" s="161">
        <f t="shared" si="1"/>
        <v>35</v>
      </c>
      <c r="J29" s="166">
        <v>40.0</v>
      </c>
      <c r="K29" s="166">
        <v>80.0</v>
      </c>
      <c r="L29" s="161">
        <f t="shared" si="7"/>
        <v>40</v>
      </c>
      <c r="M29" s="161">
        <f t="shared" si="3"/>
        <v>120</v>
      </c>
      <c r="N29" s="167"/>
      <c r="O29" s="161">
        <v>16.904</v>
      </c>
      <c r="P29" s="161">
        <v>12.699</v>
      </c>
      <c r="Q29" s="161">
        <f t="shared" si="4"/>
        <v>207.221</v>
      </c>
      <c r="R29" s="168">
        <v>181995.0</v>
      </c>
      <c r="S29" s="168">
        <v>182055.0</v>
      </c>
      <c r="T29" s="223"/>
      <c r="U29" s="222"/>
      <c r="V29" s="170">
        <f t="shared" si="5"/>
        <v>60</v>
      </c>
      <c r="W29" s="170">
        <f t="shared" si="6"/>
        <v>0</v>
      </c>
      <c r="X29" s="42"/>
      <c r="Y29" s="42"/>
      <c r="Z29" s="42"/>
      <c r="AA29" s="42"/>
      <c r="AB29" s="42"/>
    </row>
    <row r="30" ht="14.25" customHeight="1">
      <c r="A30" s="160">
        <v>29.0</v>
      </c>
      <c r="B30" s="160" t="s">
        <v>25</v>
      </c>
      <c r="C30" s="161" t="s">
        <v>54</v>
      </c>
      <c r="D30" s="164">
        <v>6.0</v>
      </c>
      <c r="E30" s="164">
        <v>6.0</v>
      </c>
      <c r="F30" s="161"/>
      <c r="G30" s="164">
        <v>54.0</v>
      </c>
      <c r="H30" s="161"/>
      <c r="I30" s="161">
        <f t="shared" si="1"/>
        <v>30</v>
      </c>
      <c r="J30" s="166">
        <v>20.0</v>
      </c>
      <c r="K30" s="166">
        <v>84.0</v>
      </c>
      <c r="L30" s="161">
        <f t="shared" si="7"/>
        <v>20</v>
      </c>
      <c r="M30" s="161">
        <f t="shared" si="3"/>
        <v>104</v>
      </c>
      <c r="N30" s="167"/>
      <c r="O30" s="161">
        <v>16.904</v>
      </c>
      <c r="P30" s="161">
        <v>12.699</v>
      </c>
      <c r="Q30" s="161">
        <f t="shared" si="4"/>
        <v>177.618</v>
      </c>
      <c r="R30" s="168">
        <v>201280.0</v>
      </c>
      <c r="S30" s="168">
        <v>201371.0</v>
      </c>
      <c r="T30" s="223"/>
      <c r="U30" s="222"/>
      <c r="V30" s="170">
        <f t="shared" si="5"/>
        <v>91</v>
      </c>
      <c r="W30" s="170">
        <f t="shared" si="6"/>
        <v>0</v>
      </c>
      <c r="X30" s="42"/>
      <c r="Y30" s="42"/>
      <c r="Z30" s="42"/>
      <c r="AA30" s="42"/>
      <c r="AB30" s="42"/>
    </row>
    <row r="31" ht="14.25" customHeight="1">
      <c r="A31" s="160">
        <v>30.0</v>
      </c>
      <c r="B31" s="160" t="s">
        <v>25</v>
      </c>
      <c r="C31" s="161" t="s">
        <v>55</v>
      </c>
      <c r="D31" s="164">
        <v>7.0</v>
      </c>
      <c r="E31" s="164">
        <v>6.0</v>
      </c>
      <c r="F31" s="161"/>
      <c r="G31" s="164">
        <v>47.0</v>
      </c>
      <c r="H31" s="161"/>
      <c r="I31" s="161">
        <f t="shared" si="1"/>
        <v>74</v>
      </c>
      <c r="J31" s="165"/>
      <c r="K31" s="166">
        <v>121.0</v>
      </c>
      <c r="L31" s="161">
        <f t="shared" si="7"/>
        <v>0</v>
      </c>
      <c r="M31" s="161">
        <f t="shared" si="3"/>
        <v>121</v>
      </c>
      <c r="N31" s="167"/>
      <c r="O31" s="161">
        <v>16.904</v>
      </c>
      <c r="P31" s="161">
        <v>12.699</v>
      </c>
      <c r="Q31" s="161">
        <f t="shared" si="4"/>
        <v>194.522</v>
      </c>
      <c r="R31" s="168">
        <v>204845.0</v>
      </c>
      <c r="S31" s="168">
        <v>204936.0</v>
      </c>
      <c r="T31" s="223"/>
      <c r="U31" s="222"/>
      <c r="V31" s="170">
        <f t="shared" si="5"/>
        <v>91</v>
      </c>
      <c r="W31" s="170">
        <f t="shared" si="6"/>
        <v>0</v>
      </c>
      <c r="X31" s="42"/>
      <c r="Y31" s="42"/>
      <c r="Z31" s="42"/>
      <c r="AA31" s="42"/>
      <c r="AB31" s="42"/>
    </row>
    <row r="32" ht="14.25" customHeight="1">
      <c r="A32" s="160">
        <v>31.0</v>
      </c>
      <c r="B32" s="160" t="s">
        <v>25</v>
      </c>
      <c r="C32" s="161" t="s">
        <v>56</v>
      </c>
      <c r="D32" s="164">
        <v>7.0</v>
      </c>
      <c r="E32" s="164">
        <v>7.0</v>
      </c>
      <c r="F32" s="161"/>
      <c r="G32" s="164">
        <v>59.0</v>
      </c>
      <c r="H32" s="161"/>
      <c r="I32" s="161">
        <f t="shared" si="1"/>
        <v>26</v>
      </c>
      <c r="J32" s="166">
        <v>13.0</v>
      </c>
      <c r="K32" s="166">
        <v>85.0</v>
      </c>
      <c r="L32" s="161">
        <f t="shared" si="7"/>
        <v>13</v>
      </c>
      <c r="M32" s="161">
        <f t="shared" si="3"/>
        <v>98</v>
      </c>
      <c r="N32" s="167"/>
      <c r="O32" s="161">
        <v>16.904</v>
      </c>
      <c r="P32" s="161">
        <v>12.699</v>
      </c>
      <c r="Q32" s="161">
        <f t="shared" si="4"/>
        <v>207.221</v>
      </c>
      <c r="R32" s="168">
        <v>184886.0</v>
      </c>
      <c r="S32" s="168">
        <v>184946.0</v>
      </c>
      <c r="T32" s="223"/>
      <c r="U32" s="222"/>
      <c r="V32" s="170">
        <f t="shared" si="5"/>
        <v>60</v>
      </c>
      <c r="W32" s="170">
        <f t="shared" si="6"/>
        <v>0</v>
      </c>
      <c r="X32" s="42"/>
      <c r="Y32" s="42"/>
      <c r="Z32" s="42"/>
      <c r="AA32" s="42"/>
      <c r="AB32" s="42"/>
    </row>
    <row r="33" ht="14.25" customHeight="1">
      <c r="A33" s="160">
        <v>32.0</v>
      </c>
      <c r="B33" s="160" t="s">
        <v>25</v>
      </c>
      <c r="C33" s="161" t="s">
        <v>57</v>
      </c>
      <c r="D33" s="164">
        <v>7.0</v>
      </c>
      <c r="E33" s="164">
        <v>7.0</v>
      </c>
      <c r="F33" s="161"/>
      <c r="G33" s="164">
        <v>52.0</v>
      </c>
      <c r="H33" s="161"/>
      <c r="I33" s="161">
        <f t="shared" si="1"/>
        <v>57</v>
      </c>
      <c r="J33" s="165"/>
      <c r="K33" s="166">
        <v>109.0</v>
      </c>
      <c r="L33" s="161">
        <f t="shared" si="7"/>
        <v>0</v>
      </c>
      <c r="M33" s="161">
        <f t="shared" si="3"/>
        <v>109</v>
      </c>
      <c r="N33" s="167"/>
      <c r="O33" s="161">
        <v>16.904</v>
      </c>
      <c r="P33" s="161">
        <v>12.699</v>
      </c>
      <c r="Q33" s="161">
        <f t="shared" si="4"/>
        <v>207.221</v>
      </c>
      <c r="R33" s="168">
        <v>184785.0</v>
      </c>
      <c r="S33" s="168">
        <v>184873.0</v>
      </c>
      <c r="T33" s="223"/>
      <c r="U33" s="222"/>
      <c r="V33" s="170">
        <f t="shared" si="5"/>
        <v>88</v>
      </c>
      <c r="W33" s="170">
        <f t="shared" si="6"/>
        <v>0</v>
      </c>
      <c r="X33" s="42"/>
      <c r="Y33" s="42"/>
      <c r="Z33" s="42"/>
      <c r="AA33" s="42"/>
      <c r="AB33" s="42"/>
    </row>
    <row r="34" ht="14.25" customHeight="1">
      <c r="A34" s="160">
        <v>33.0</v>
      </c>
      <c r="B34" s="160" t="s">
        <v>25</v>
      </c>
      <c r="C34" s="161" t="s">
        <v>58</v>
      </c>
      <c r="D34" s="164">
        <v>7.0</v>
      </c>
      <c r="E34" s="164">
        <v>7.0</v>
      </c>
      <c r="F34" s="161"/>
      <c r="G34" s="164">
        <v>48.0</v>
      </c>
      <c r="H34" s="161"/>
      <c r="I34" s="161">
        <f t="shared" si="1"/>
        <v>33</v>
      </c>
      <c r="J34" s="166">
        <v>10.0</v>
      </c>
      <c r="K34" s="166">
        <v>81.0</v>
      </c>
      <c r="L34" s="161">
        <f t="shared" si="7"/>
        <v>10</v>
      </c>
      <c r="M34" s="161">
        <f t="shared" si="3"/>
        <v>91</v>
      </c>
      <c r="N34" s="167"/>
      <c r="O34" s="161">
        <v>16.904</v>
      </c>
      <c r="P34" s="161">
        <v>12.699</v>
      </c>
      <c r="Q34" s="161">
        <f t="shared" si="4"/>
        <v>207.221</v>
      </c>
      <c r="R34" s="168">
        <v>574190.0</v>
      </c>
      <c r="S34" s="168">
        <v>574281.0</v>
      </c>
      <c r="T34" s="223"/>
      <c r="U34" s="222"/>
      <c r="V34" s="170">
        <f t="shared" si="5"/>
        <v>91</v>
      </c>
      <c r="W34" s="170">
        <f t="shared" si="6"/>
        <v>0</v>
      </c>
      <c r="X34" s="42"/>
      <c r="Y34" s="42"/>
      <c r="Z34" s="42"/>
      <c r="AA34" s="42"/>
      <c r="AB34" s="42"/>
    </row>
    <row r="35" ht="14.25" customHeight="1">
      <c r="A35" s="160">
        <v>34.0</v>
      </c>
      <c r="B35" s="160" t="s">
        <v>25</v>
      </c>
      <c r="C35" s="183" t="s">
        <v>59</v>
      </c>
      <c r="D35" s="186">
        <v>3.0</v>
      </c>
      <c r="E35" s="186">
        <v>3.0</v>
      </c>
      <c r="F35" s="183"/>
      <c r="G35" s="186">
        <v>50.0</v>
      </c>
      <c r="H35" s="183"/>
      <c r="I35" s="183">
        <f t="shared" si="1"/>
        <v>0</v>
      </c>
      <c r="J35" s="187"/>
      <c r="K35" s="254">
        <v>50.0</v>
      </c>
      <c r="L35" s="183">
        <f t="shared" si="7"/>
        <v>0</v>
      </c>
      <c r="M35" s="183">
        <f t="shared" si="3"/>
        <v>50</v>
      </c>
      <c r="N35" s="188" t="s">
        <v>99</v>
      </c>
      <c r="O35" s="183">
        <v>16.904</v>
      </c>
      <c r="P35" s="183">
        <v>12.699</v>
      </c>
      <c r="Q35" s="183">
        <f t="shared" si="4"/>
        <v>88.809</v>
      </c>
      <c r="R35" s="189">
        <v>190220.0</v>
      </c>
      <c r="S35" s="189">
        <v>190314.0</v>
      </c>
      <c r="T35" s="190"/>
      <c r="U35" s="191"/>
      <c r="V35" s="192">
        <f t="shared" si="5"/>
        <v>94</v>
      </c>
      <c r="W35" s="192">
        <f t="shared" si="6"/>
        <v>0</v>
      </c>
      <c r="X35" s="42"/>
      <c r="Y35" s="42"/>
      <c r="Z35" s="42"/>
      <c r="AA35" s="42"/>
      <c r="AB35" s="42"/>
    </row>
    <row r="36" ht="14.25" customHeight="1">
      <c r="A36" s="160">
        <v>35.0</v>
      </c>
      <c r="B36" s="160" t="s">
        <v>25</v>
      </c>
      <c r="C36" s="161" t="s">
        <v>60</v>
      </c>
      <c r="D36" s="164">
        <v>7.0</v>
      </c>
      <c r="E36" s="164">
        <v>7.0</v>
      </c>
      <c r="F36" s="161"/>
      <c r="G36" s="164">
        <v>57.0</v>
      </c>
      <c r="H36" s="161"/>
      <c r="I36" s="161">
        <f t="shared" si="1"/>
        <v>21</v>
      </c>
      <c r="J36" s="166">
        <v>38.0</v>
      </c>
      <c r="K36" s="166">
        <v>78.0</v>
      </c>
      <c r="L36" s="161">
        <f t="shared" si="7"/>
        <v>38</v>
      </c>
      <c r="M36" s="161">
        <f t="shared" si="3"/>
        <v>116</v>
      </c>
      <c r="N36" s="167"/>
      <c r="O36" s="161">
        <v>16.904</v>
      </c>
      <c r="P36" s="161">
        <v>12.699</v>
      </c>
      <c r="Q36" s="161">
        <f t="shared" si="4"/>
        <v>207.221</v>
      </c>
      <c r="R36" s="168">
        <v>475047.0</v>
      </c>
      <c r="S36" s="168">
        <v>475137.0</v>
      </c>
      <c r="T36" s="223"/>
      <c r="U36" s="222"/>
      <c r="V36" s="170">
        <f t="shared" si="5"/>
        <v>90</v>
      </c>
      <c r="W36" s="170">
        <f t="shared" si="6"/>
        <v>0</v>
      </c>
      <c r="X36" s="42"/>
      <c r="Y36" s="42"/>
      <c r="Z36" s="42"/>
      <c r="AA36" s="42"/>
      <c r="AB36" s="42"/>
    </row>
    <row r="37" ht="14.25" customHeight="1">
      <c r="A37" s="160">
        <v>36.0</v>
      </c>
      <c r="B37" s="160" t="s">
        <v>25</v>
      </c>
      <c r="C37" s="161" t="s">
        <v>61</v>
      </c>
      <c r="D37" s="164">
        <v>7.0</v>
      </c>
      <c r="E37" s="164">
        <v>7.0</v>
      </c>
      <c r="F37" s="161"/>
      <c r="G37" s="164">
        <v>55.0</v>
      </c>
      <c r="H37" s="161"/>
      <c r="I37" s="161">
        <f t="shared" si="1"/>
        <v>97</v>
      </c>
      <c r="J37" s="165"/>
      <c r="K37" s="166">
        <v>152.0</v>
      </c>
      <c r="L37" s="161">
        <f t="shared" si="7"/>
        <v>0</v>
      </c>
      <c r="M37" s="161">
        <f t="shared" si="3"/>
        <v>152</v>
      </c>
      <c r="N37" s="167"/>
      <c r="O37" s="161">
        <v>16.904</v>
      </c>
      <c r="P37" s="161">
        <v>12.699</v>
      </c>
      <c r="Q37" s="161">
        <f t="shared" si="4"/>
        <v>207.221</v>
      </c>
      <c r="R37" s="168">
        <v>467941.0</v>
      </c>
      <c r="S37" s="168">
        <v>468031.0</v>
      </c>
      <c r="T37" s="223"/>
      <c r="U37" s="222"/>
      <c r="V37" s="170">
        <f t="shared" si="5"/>
        <v>90</v>
      </c>
      <c r="W37" s="170">
        <f t="shared" si="6"/>
        <v>0</v>
      </c>
      <c r="X37" s="42"/>
      <c r="Y37" s="42"/>
      <c r="Z37" s="42"/>
      <c r="AA37" s="42"/>
      <c r="AB37" s="42"/>
    </row>
    <row r="38" ht="14.25" customHeight="1">
      <c r="A38" s="160">
        <v>37.0</v>
      </c>
      <c r="B38" s="160" t="s">
        <v>25</v>
      </c>
      <c r="C38" s="161" t="s">
        <v>62</v>
      </c>
      <c r="D38" s="164">
        <v>7.0</v>
      </c>
      <c r="E38" s="164">
        <v>7.0</v>
      </c>
      <c r="F38" s="161"/>
      <c r="G38" s="164">
        <v>60.0</v>
      </c>
      <c r="H38" s="161"/>
      <c r="I38" s="161">
        <f t="shared" si="1"/>
        <v>59</v>
      </c>
      <c r="J38" s="165"/>
      <c r="K38" s="166">
        <v>119.0</v>
      </c>
      <c r="L38" s="161">
        <f t="shared" si="7"/>
        <v>0</v>
      </c>
      <c r="M38" s="161">
        <f t="shared" si="3"/>
        <v>119</v>
      </c>
      <c r="N38" s="167"/>
      <c r="O38" s="161">
        <v>16.904</v>
      </c>
      <c r="P38" s="161">
        <v>12.699</v>
      </c>
      <c r="Q38" s="161">
        <f t="shared" si="4"/>
        <v>207.221</v>
      </c>
      <c r="R38" s="168">
        <v>200497.0</v>
      </c>
      <c r="S38" s="168">
        <v>200587.0</v>
      </c>
      <c r="T38" s="223"/>
      <c r="U38" s="222"/>
      <c r="V38" s="170">
        <f t="shared" si="5"/>
        <v>90</v>
      </c>
      <c r="W38" s="170">
        <f t="shared" si="6"/>
        <v>0</v>
      </c>
      <c r="X38" s="42"/>
      <c r="Y38" s="42"/>
      <c r="Z38" s="42"/>
      <c r="AA38" s="42"/>
      <c r="AB38" s="42"/>
    </row>
    <row r="39" ht="14.25" customHeight="1">
      <c r="A39" s="160">
        <v>38.0</v>
      </c>
      <c r="B39" s="160" t="s">
        <v>25</v>
      </c>
      <c r="C39" s="161" t="s">
        <v>63</v>
      </c>
      <c r="D39" s="164">
        <v>7.0</v>
      </c>
      <c r="E39" s="164">
        <v>7.0</v>
      </c>
      <c r="F39" s="161"/>
      <c r="G39" s="164">
        <v>56.0</v>
      </c>
      <c r="H39" s="161"/>
      <c r="I39" s="161">
        <f t="shared" si="1"/>
        <v>24</v>
      </c>
      <c r="J39" s="166">
        <v>15.0</v>
      </c>
      <c r="K39" s="166">
        <v>80.0</v>
      </c>
      <c r="L39" s="161">
        <f t="shared" si="7"/>
        <v>15</v>
      </c>
      <c r="M39" s="161">
        <f t="shared" si="3"/>
        <v>95</v>
      </c>
      <c r="N39" s="167"/>
      <c r="O39" s="161">
        <v>16.904</v>
      </c>
      <c r="P39" s="161">
        <v>12.699</v>
      </c>
      <c r="Q39" s="161">
        <f t="shared" si="4"/>
        <v>207.221</v>
      </c>
      <c r="R39" s="168">
        <v>380095.0</v>
      </c>
      <c r="S39" s="168">
        <v>380185.0</v>
      </c>
      <c r="T39" s="223"/>
      <c r="U39" s="222"/>
      <c r="V39" s="170">
        <f t="shared" si="5"/>
        <v>90</v>
      </c>
      <c r="W39" s="170">
        <f t="shared" si="6"/>
        <v>0</v>
      </c>
      <c r="X39" s="42"/>
      <c r="Y39" s="42"/>
      <c r="Z39" s="42"/>
      <c r="AA39" s="42"/>
      <c r="AB39" s="42"/>
    </row>
    <row r="40" ht="14.25" customHeight="1">
      <c r="A40" s="160">
        <v>39.0</v>
      </c>
      <c r="B40" s="160" t="s">
        <v>25</v>
      </c>
      <c r="C40" s="161" t="s">
        <v>64</v>
      </c>
      <c r="D40" s="164">
        <v>7.0</v>
      </c>
      <c r="E40" s="164">
        <v>7.0</v>
      </c>
      <c r="F40" s="161"/>
      <c r="G40" s="164">
        <v>58.0</v>
      </c>
      <c r="H40" s="161"/>
      <c r="I40" s="161">
        <f t="shared" si="1"/>
        <v>57</v>
      </c>
      <c r="J40" s="165"/>
      <c r="K40" s="166">
        <v>115.0</v>
      </c>
      <c r="L40" s="161">
        <f t="shared" si="7"/>
        <v>0</v>
      </c>
      <c r="M40" s="161">
        <f t="shared" si="3"/>
        <v>115</v>
      </c>
      <c r="N40" s="167"/>
      <c r="O40" s="161">
        <v>16.904</v>
      </c>
      <c r="P40" s="161">
        <v>12.699</v>
      </c>
      <c r="Q40" s="161">
        <f t="shared" si="4"/>
        <v>207.221</v>
      </c>
      <c r="R40" s="168">
        <v>173816.0</v>
      </c>
      <c r="S40" s="168">
        <v>173876.0</v>
      </c>
      <c r="T40" s="223"/>
      <c r="U40" s="222"/>
      <c r="V40" s="170">
        <f t="shared" si="5"/>
        <v>60</v>
      </c>
      <c r="W40" s="170">
        <f t="shared" si="6"/>
        <v>0</v>
      </c>
      <c r="X40" s="42"/>
      <c r="Y40" s="42"/>
      <c r="Z40" s="42"/>
      <c r="AA40" s="42"/>
      <c r="AB40" s="42"/>
    </row>
    <row r="41" ht="14.25" customHeight="1">
      <c r="A41" s="160">
        <v>40.0</v>
      </c>
      <c r="B41" s="160" t="s">
        <v>25</v>
      </c>
      <c r="C41" s="161" t="s">
        <v>65</v>
      </c>
      <c r="D41" s="164">
        <v>7.0</v>
      </c>
      <c r="E41" s="164">
        <v>6.0</v>
      </c>
      <c r="F41" s="161"/>
      <c r="G41" s="164">
        <v>64.0</v>
      </c>
      <c r="H41" s="161"/>
      <c r="I41" s="161">
        <f t="shared" si="1"/>
        <v>39</v>
      </c>
      <c r="J41" s="166">
        <v>25.0</v>
      </c>
      <c r="K41" s="166">
        <v>103.0</v>
      </c>
      <c r="L41" s="161">
        <f t="shared" si="7"/>
        <v>25</v>
      </c>
      <c r="M41" s="161">
        <f t="shared" si="3"/>
        <v>128</v>
      </c>
      <c r="N41" s="167"/>
      <c r="O41" s="161">
        <v>16.904</v>
      </c>
      <c r="P41" s="161">
        <v>12.699</v>
      </c>
      <c r="Q41" s="161">
        <f t="shared" si="4"/>
        <v>194.522</v>
      </c>
      <c r="R41" s="168">
        <v>417840.0</v>
      </c>
      <c r="S41" s="168">
        <v>417930.0</v>
      </c>
      <c r="T41" s="223"/>
      <c r="U41" s="222"/>
      <c r="V41" s="170">
        <f t="shared" si="5"/>
        <v>90</v>
      </c>
      <c r="W41" s="170">
        <f t="shared" si="6"/>
        <v>0</v>
      </c>
      <c r="X41" s="42"/>
      <c r="Y41" s="42"/>
      <c r="Z41" s="42"/>
      <c r="AA41" s="42"/>
      <c r="AB41" s="42"/>
    </row>
    <row r="42" ht="14.25" customHeight="1">
      <c r="A42" s="160">
        <v>41.0</v>
      </c>
      <c r="B42" s="160" t="s">
        <v>25</v>
      </c>
      <c r="C42" s="161" t="s">
        <v>66</v>
      </c>
      <c r="D42" s="164">
        <v>6.0</v>
      </c>
      <c r="E42" s="164">
        <v>7.0</v>
      </c>
      <c r="F42" s="161"/>
      <c r="G42" s="164">
        <v>53.0</v>
      </c>
      <c r="H42" s="161"/>
      <c r="I42" s="161">
        <f t="shared" si="1"/>
        <v>30</v>
      </c>
      <c r="J42" s="166">
        <v>35.0</v>
      </c>
      <c r="K42" s="166">
        <v>83.0</v>
      </c>
      <c r="L42" s="161">
        <f t="shared" si="7"/>
        <v>35</v>
      </c>
      <c r="M42" s="161">
        <f t="shared" si="3"/>
        <v>118</v>
      </c>
      <c r="N42" s="167"/>
      <c r="O42" s="161">
        <v>16.904</v>
      </c>
      <c r="P42" s="161">
        <v>12.699</v>
      </c>
      <c r="Q42" s="161">
        <f t="shared" si="4"/>
        <v>190.317</v>
      </c>
      <c r="R42" s="168">
        <v>204069.0</v>
      </c>
      <c r="S42" s="168">
        <v>204129.0</v>
      </c>
      <c r="T42" s="223"/>
      <c r="U42" s="222"/>
      <c r="V42" s="170">
        <f t="shared" si="5"/>
        <v>60</v>
      </c>
      <c r="W42" s="170">
        <f t="shared" si="6"/>
        <v>0</v>
      </c>
      <c r="X42" s="42"/>
      <c r="Y42" s="42"/>
      <c r="Z42" s="42"/>
      <c r="AA42" s="42"/>
      <c r="AB42" s="42"/>
    </row>
    <row r="43" ht="14.25" customHeight="1">
      <c r="A43" s="160">
        <v>42.0</v>
      </c>
      <c r="B43" s="160" t="s">
        <v>25</v>
      </c>
      <c r="C43" s="161" t="s">
        <v>67</v>
      </c>
      <c r="D43" s="164">
        <v>7.0</v>
      </c>
      <c r="E43" s="164">
        <v>7.0</v>
      </c>
      <c r="F43" s="161"/>
      <c r="G43" s="164">
        <v>55.0</v>
      </c>
      <c r="H43" s="161"/>
      <c r="I43" s="161">
        <f t="shared" si="1"/>
        <v>14</v>
      </c>
      <c r="J43" s="166">
        <v>61.0</v>
      </c>
      <c r="K43" s="166">
        <v>69.0</v>
      </c>
      <c r="L43" s="161">
        <f t="shared" si="7"/>
        <v>61</v>
      </c>
      <c r="M43" s="161">
        <f t="shared" si="3"/>
        <v>130</v>
      </c>
      <c r="N43" s="167"/>
      <c r="O43" s="161">
        <v>16.904</v>
      </c>
      <c r="P43" s="161">
        <v>12.699</v>
      </c>
      <c r="Q43" s="161">
        <f t="shared" si="4"/>
        <v>207.221</v>
      </c>
      <c r="R43" s="168">
        <v>181630.0</v>
      </c>
      <c r="S43" s="168">
        <v>181692.0</v>
      </c>
      <c r="T43" s="223"/>
      <c r="U43" s="222"/>
      <c r="V43" s="170">
        <f t="shared" si="5"/>
        <v>62</v>
      </c>
      <c r="W43" s="170">
        <f t="shared" si="6"/>
        <v>0</v>
      </c>
      <c r="X43" s="42"/>
      <c r="Y43" s="42"/>
      <c r="Z43" s="42"/>
      <c r="AA43" s="42"/>
      <c r="AB43" s="42"/>
    </row>
    <row r="44" ht="14.25" customHeight="1">
      <c r="A44" s="160">
        <v>43.0</v>
      </c>
      <c r="B44" s="160" t="s">
        <v>25</v>
      </c>
      <c r="C44" s="161" t="s">
        <v>68</v>
      </c>
      <c r="D44" s="164">
        <v>7.0</v>
      </c>
      <c r="E44" s="164">
        <v>7.0</v>
      </c>
      <c r="F44" s="161"/>
      <c r="G44" s="164">
        <v>65.0</v>
      </c>
      <c r="H44" s="161"/>
      <c r="I44" s="161">
        <f t="shared" si="1"/>
        <v>54</v>
      </c>
      <c r="J44" s="165"/>
      <c r="K44" s="166">
        <v>119.0</v>
      </c>
      <c r="L44" s="161">
        <f t="shared" si="7"/>
        <v>0</v>
      </c>
      <c r="M44" s="161">
        <f t="shared" si="3"/>
        <v>119</v>
      </c>
      <c r="N44" s="167"/>
      <c r="O44" s="161">
        <v>16.904</v>
      </c>
      <c r="P44" s="161">
        <v>12.699</v>
      </c>
      <c r="Q44" s="161">
        <f t="shared" si="4"/>
        <v>207.221</v>
      </c>
      <c r="R44" s="168">
        <v>206447.0</v>
      </c>
      <c r="S44" s="168">
        <v>206508.0</v>
      </c>
      <c r="T44" s="223"/>
      <c r="U44" s="222"/>
      <c r="V44" s="170">
        <f t="shared" si="5"/>
        <v>61</v>
      </c>
      <c r="W44" s="170">
        <f t="shared" si="6"/>
        <v>0</v>
      </c>
      <c r="X44" s="42"/>
      <c r="Y44" s="42"/>
      <c r="Z44" s="42"/>
      <c r="AA44" s="42"/>
      <c r="AB44" s="42"/>
    </row>
    <row r="45" ht="14.25" customHeight="1">
      <c r="A45" s="160">
        <v>44.0</v>
      </c>
      <c r="B45" s="160" t="s">
        <v>25</v>
      </c>
      <c r="C45" s="161" t="s">
        <v>69</v>
      </c>
      <c r="D45" s="164">
        <v>7.0</v>
      </c>
      <c r="E45" s="164">
        <v>7.0</v>
      </c>
      <c r="F45" s="161"/>
      <c r="G45" s="164">
        <v>62.0</v>
      </c>
      <c r="H45" s="161"/>
      <c r="I45" s="161">
        <f t="shared" si="1"/>
        <v>39</v>
      </c>
      <c r="J45" s="165"/>
      <c r="K45" s="166">
        <v>101.0</v>
      </c>
      <c r="L45" s="161">
        <f t="shared" si="7"/>
        <v>0</v>
      </c>
      <c r="M45" s="161">
        <f t="shared" si="3"/>
        <v>101</v>
      </c>
      <c r="N45" s="167"/>
      <c r="O45" s="161">
        <v>16.904</v>
      </c>
      <c r="P45" s="161">
        <v>12.699</v>
      </c>
      <c r="Q45" s="161">
        <f t="shared" si="4"/>
        <v>207.221</v>
      </c>
      <c r="R45" s="168">
        <v>561243.0</v>
      </c>
      <c r="S45" s="168">
        <v>561333.0</v>
      </c>
      <c r="T45" s="223"/>
      <c r="U45" s="222"/>
      <c r="V45" s="170">
        <f t="shared" si="5"/>
        <v>90</v>
      </c>
      <c r="W45" s="170">
        <f t="shared" si="6"/>
        <v>0</v>
      </c>
      <c r="X45" s="42"/>
      <c r="Y45" s="42"/>
      <c r="Z45" s="42"/>
      <c r="AA45" s="42"/>
      <c r="AB45" s="42"/>
    </row>
    <row r="46" ht="14.25" customHeight="1">
      <c r="A46" s="160">
        <v>45.0</v>
      </c>
      <c r="B46" s="160" t="s">
        <v>25</v>
      </c>
      <c r="C46" s="161" t="s">
        <v>70</v>
      </c>
      <c r="D46" s="164">
        <v>6.0</v>
      </c>
      <c r="E46" s="164">
        <v>6.0</v>
      </c>
      <c r="F46" s="161"/>
      <c r="G46" s="164">
        <v>46.0</v>
      </c>
      <c r="H46" s="161"/>
      <c r="I46" s="161">
        <f t="shared" si="1"/>
        <v>64</v>
      </c>
      <c r="J46" s="165"/>
      <c r="K46" s="166">
        <v>110.0</v>
      </c>
      <c r="L46" s="161">
        <f t="shared" si="7"/>
        <v>0</v>
      </c>
      <c r="M46" s="161">
        <f t="shared" si="3"/>
        <v>110</v>
      </c>
      <c r="N46" s="167"/>
      <c r="O46" s="161">
        <v>16.904</v>
      </c>
      <c r="P46" s="161">
        <v>12.699</v>
      </c>
      <c r="Q46" s="161">
        <f t="shared" si="4"/>
        <v>177.618</v>
      </c>
      <c r="R46" s="168">
        <v>550503.0</v>
      </c>
      <c r="S46" s="168">
        <v>550576.0</v>
      </c>
      <c r="T46" s="223"/>
      <c r="U46" s="222"/>
      <c r="V46" s="170">
        <f t="shared" si="5"/>
        <v>73</v>
      </c>
      <c r="W46" s="170">
        <f t="shared" si="6"/>
        <v>0</v>
      </c>
      <c r="X46" s="42"/>
      <c r="Y46" s="42"/>
      <c r="Z46" s="42"/>
      <c r="AA46" s="42"/>
      <c r="AB46" s="42"/>
    </row>
    <row r="47" ht="14.25" customHeight="1">
      <c r="A47" s="160">
        <v>46.0</v>
      </c>
      <c r="B47" s="160" t="s">
        <v>25</v>
      </c>
      <c r="C47" s="161" t="s">
        <v>71</v>
      </c>
      <c r="D47" s="164">
        <v>7.0</v>
      </c>
      <c r="E47" s="164">
        <v>7.0</v>
      </c>
      <c r="F47" s="161"/>
      <c r="G47" s="164">
        <v>52.0</v>
      </c>
      <c r="H47" s="161"/>
      <c r="I47" s="161">
        <f t="shared" si="1"/>
        <v>90</v>
      </c>
      <c r="J47" s="165"/>
      <c r="K47" s="166">
        <v>142.0</v>
      </c>
      <c r="L47" s="161">
        <f t="shared" si="7"/>
        <v>0</v>
      </c>
      <c r="M47" s="161">
        <f t="shared" si="3"/>
        <v>142</v>
      </c>
      <c r="N47" s="167"/>
      <c r="O47" s="161">
        <v>16.904</v>
      </c>
      <c r="P47" s="161">
        <v>12.699</v>
      </c>
      <c r="Q47" s="161">
        <f t="shared" si="4"/>
        <v>207.221</v>
      </c>
      <c r="R47" s="168">
        <v>183792.0</v>
      </c>
      <c r="S47" s="168">
        <v>183854.0</v>
      </c>
      <c r="T47" s="223"/>
      <c r="U47" s="222"/>
      <c r="V47" s="170">
        <f t="shared" si="5"/>
        <v>62</v>
      </c>
      <c r="W47" s="170">
        <f t="shared" si="6"/>
        <v>0</v>
      </c>
      <c r="X47" s="42"/>
      <c r="Y47" s="42"/>
      <c r="Z47" s="42"/>
      <c r="AA47" s="42"/>
      <c r="AB47" s="42"/>
    </row>
    <row r="48" ht="14.25" customHeight="1">
      <c r="A48" s="160">
        <v>47.0</v>
      </c>
      <c r="B48" s="160" t="s">
        <v>25</v>
      </c>
      <c r="C48" s="161" t="s">
        <v>72</v>
      </c>
      <c r="D48" s="164">
        <v>7.0</v>
      </c>
      <c r="E48" s="164">
        <v>6.0</v>
      </c>
      <c r="F48" s="161"/>
      <c r="G48" s="164">
        <v>53.0</v>
      </c>
      <c r="H48" s="161"/>
      <c r="I48" s="161">
        <f t="shared" si="1"/>
        <v>52</v>
      </c>
      <c r="J48" s="165"/>
      <c r="K48" s="166">
        <v>105.0</v>
      </c>
      <c r="L48" s="161">
        <f t="shared" si="7"/>
        <v>0</v>
      </c>
      <c r="M48" s="161">
        <f t="shared" si="3"/>
        <v>105</v>
      </c>
      <c r="N48" s="167"/>
      <c r="O48" s="161">
        <v>16.904</v>
      </c>
      <c r="P48" s="161">
        <v>12.699</v>
      </c>
      <c r="Q48" s="161">
        <f t="shared" si="4"/>
        <v>194.522</v>
      </c>
      <c r="R48" s="168">
        <v>387081.0</v>
      </c>
      <c r="S48" s="168">
        <v>387169.0</v>
      </c>
      <c r="T48" s="223"/>
      <c r="U48" s="222"/>
      <c r="V48" s="170">
        <f t="shared" si="5"/>
        <v>88</v>
      </c>
      <c r="W48" s="170">
        <f t="shared" si="6"/>
        <v>0</v>
      </c>
      <c r="X48" s="42"/>
      <c r="Y48" s="42"/>
      <c r="Z48" s="42"/>
      <c r="AA48" s="42"/>
      <c r="AB48" s="42"/>
    </row>
    <row r="49" ht="14.25" customHeight="1">
      <c r="A49" s="160">
        <v>48.0</v>
      </c>
      <c r="B49" s="160" t="s">
        <v>25</v>
      </c>
      <c r="C49" s="161" t="s">
        <v>73</v>
      </c>
      <c r="D49" s="164">
        <v>7.0</v>
      </c>
      <c r="E49" s="164">
        <v>7.0</v>
      </c>
      <c r="F49" s="161"/>
      <c r="G49" s="164">
        <v>50.0</v>
      </c>
      <c r="H49" s="161"/>
      <c r="I49" s="161">
        <f t="shared" si="1"/>
        <v>56</v>
      </c>
      <c r="J49" s="165"/>
      <c r="K49" s="166">
        <v>106.0</v>
      </c>
      <c r="L49" s="161">
        <f t="shared" si="7"/>
        <v>0</v>
      </c>
      <c r="M49" s="161">
        <f t="shared" si="3"/>
        <v>106</v>
      </c>
      <c r="N49" s="167"/>
      <c r="O49" s="161">
        <v>16.904</v>
      </c>
      <c r="P49" s="161">
        <v>12.699</v>
      </c>
      <c r="Q49" s="161">
        <f t="shared" si="4"/>
        <v>207.221</v>
      </c>
      <c r="R49" s="168">
        <v>183983.0</v>
      </c>
      <c r="S49" s="168">
        <v>184070.0</v>
      </c>
      <c r="T49" s="223"/>
      <c r="U49" s="222"/>
      <c r="V49" s="170">
        <f t="shared" si="5"/>
        <v>87</v>
      </c>
      <c r="W49" s="170">
        <f t="shared" si="6"/>
        <v>0</v>
      </c>
      <c r="X49" s="42"/>
      <c r="Y49" s="42"/>
      <c r="Z49" s="42"/>
      <c r="AA49" s="42"/>
      <c r="AB49" s="42"/>
    </row>
    <row r="50" ht="14.25" customHeight="1">
      <c r="A50" s="160">
        <v>49.0</v>
      </c>
      <c r="B50" s="160" t="s">
        <v>25</v>
      </c>
      <c r="C50" s="161" t="s">
        <v>74</v>
      </c>
      <c r="D50" s="164">
        <v>7.0</v>
      </c>
      <c r="E50" s="164">
        <v>7.0</v>
      </c>
      <c r="F50" s="161"/>
      <c r="G50" s="164">
        <v>66.0</v>
      </c>
      <c r="H50" s="161"/>
      <c r="I50" s="161">
        <f t="shared" si="1"/>
        <v>80</v>
      </c>
      <c r="J50" s="165"/>
      <c r="K50" s="166">
        <v>146.0</v>
      </c>
      <c r="L50" s="161">
        <f t="shared" si="7"/>
        <v>0</v>
      </c>
      <c r="M50" s="161">
        <f t="shared" si="3"/>
        <v>146</v>
      </c>
      <c r="N50" s="167"/>
      <c r="O50" s="161">
        <v>16.904</v>
      </c>
      <c r="P50" s="161">
        <v>12.699</v>
      </c>
      <c r="Q50" s="161">
        <f t="shared" si="4"/>
        <v>207.221</v>
      </c>
      <c r="R50" s="168">
        <v>178185.0</v>
      </c>
      <c r="S50" s="168">
        <v>178277.0</v>
      </c>
      <c r="T50" s="223"/>
      <c r="U50" s="222"/>
      <c r="V50" s="170">
        <f t="shared" si="5"/>
        <v>92</v>
      </c>
      <c r="W50" s="170">
        <f t="shared" si="6"/>
        <v>0</v>
      </c>
      <c r="X50" s="42"/>
      <c r="Y50" s="42"/>
      <c r="Z50" s="42"/>
      <c r="AA50" s="42"/>
      <c r="AB50" s="42"/>
    </row>
    <row r="51" ht="14.25" customHeight="1">
      <c r="A51" s="160">
        <v>50.0</v>
      </c>
      <c r="B51" s="160" t="s">
        <v>25</v>
      </c>
      <c r="C51" s="161" t="s">
        <v>75</v>
      </c>
      <c r="D51" s="164">
        <v>7.0</v>
      </c>
      <c r="E51" s="164">
        <v>7.0</v>
      </c>
      <c r="F51" s="161"/>
      <c r="G51" s="164">
        <v>46.0</v>
      </c>
      <c r="H51" s="161"/>
      <c r="I51" s="161">
        <f t="shared" si="1"/>
        <v>116</v>
      </c>
      <c r="J51" s="165"/>
      <c r="K51" s="166">
        <v>162.0</v>
      </c>
      <c r="L51" s="161">
        <f t="shared" si="7"/>
        <v>0</v>
      </c>
      <c r="M51" s="161">
        <f t="shared" si="3"/>
        <v>162</v>
      </c>
      <c r="N51" s="167"/>
      <c r="O51" s="161">
        <v>16.904</v>
      </c>
      <c r="P51" s="161">
        <v>12.699</v>
      </c>
      <c r="Q51" s="161">
        <f t="shared" si="4"/>
        <v>207.221</v>
      </c>
      <c r="R51" s="168">
        <v>198680.0</v>
      </c>
      <c r="S51" s="168">
        <v>198773.0</v>
      </c>
      <c r="T51" s="223"/>
      <c r="U51" s="222"/>
      <c r="V51" s="170">
        <f t="shared" si="5"/>
        <v>93</v>
      </c>
      <c r="W51" s="170">
        <f t="shared" si="6"/>
        <v>0</v>
      </c>
      <c r="X51" s="42"/>
      <c r="Y51" s="42"/>
      <c r="Z51" s="42"/>
      <c r="AA51" s="42"/>
      <c r="AB51" s="42"/>
    </row>
    <row r="52" ht="14.25" customHeight="1">
      <c r="A52" s="160">
        <v>51.0</v>
      </c>
      <c r="B52" s="160" t="s">
        <v>25</v>
      </c>
      <c r="C52" s="161" t="s">
        <v>76</v>
      </c>
      <c r="D52" s="164">
        <v>7.0</v>
      </c>
      <c r="E52" s="164">
        <v>7.0</v>
      </c>
      <c r="F52" s="161"/>
      <c r="G52" s="164">
        <v>57.0</v>
      </c>
      <c r="H52" s="161"/>
      <c r="I52" s="161">
        <f t="shared" si="1"/>
        <v>102</v>
      </c>
      <c r="J52" s="165"/>
      <c r="K52" s="166">
        <v>159.0</v>
      </c>
      <c r="L52" s="161">
        <f t="shared" si="7"/>
        <v>0</v>
      </c>
      <c r="M52" s="161">
        <f t="shared" si="3"/>
        <v>159</v>
      </c>
      <c r="N52" s="167"/>
      <c r="O52" s="161">
        <v>16.904</v>
      </c>
      <c r="P52" s="161">
        <v>12.699</v>
      </c>
      <c r="Q52" s="161">
        <f t="shared" si="4"/>
        <v>207.221</v>
      </c>
      <c r="R52" s="168">
        <v>530192.0</v>
      </c>
      <c r="S52" s="168">
        <v>530282.0</v>
      </c>
      <c r="T52" s="223"/>
      <c r="U52" s="222"/>
      <c r="V52" s="170">
        <f t="shared" si="5"/>
        <v>90</v>
      </c>
      <c r="W52" s="170">
        <f t="shared" si="6"/>
        <v>0</v>
      </c>
      <c r="X52" s="42"/>
      <c r="Y52" s="42"/>
      <c r="Z52" s="42"/>
      <c r="AA52" s="42"/>
      <c r="AB52" s="42"/>
    </row>
    <row r="53" ht="14.25" customHeight="1">
      <c r="A53" s="160">
        <v>52.0</v>
      </c>
      <c r="B53" s="160" t="s">
        <v>25</v>
      </c>
      <c r="C53" s="183" t="s">
        <v>77</v>
      </c>
      <c r="D53" s="186">
        <v>3.0</v>
      </c>
      <c r="E53" s="186">
        <v>3.0</v>
      </c>
      <c r="F53" s="183"/>
      <c r="G53" s="186">
        <v>51.0</v>
      </c>
      <c r="H53" s="183"/>
      <c r="I53" s="183">
        <f t="shared" si="1"/>
        <v>0</v>
      </c>
      <c r="J53" s="187"/>
      <c r="K53" s="254">
        <v>51.0</v>
      </c>
      <c r="L53" s="183">
        <f t="shared" si="7"/>
        <v>0</v>
      </c>
      <c r="M53" s="183">
        <f t="shared" si="3"/>
        <v>51</v>
      </c>
      <c r="N53" s="188" t="s">
        <v>99</v>
      </c>
      <c r="O53" s="183">
        <v>16.904</v>
      </c>
      <c r="P53" s="183">
        <v>12.699</v>
      </c>
      <c r="Q53" s="183">
        <f t="shared" si="4"/>
        <v>88.809</v>
      </c>
      <c r="R53" s="189">
        <v>479850.0</v>
      </c>
      <c r="S53" s="189">
        <v>479943.0</v>
      </c>
      <c r="T53" s="190"/>
      <c r="U53" s="191"/>
      <c r="V53" s="192">
        <f t="shared" si="5"/>
        <v>93</v>
      </c>
      <c r="W53" s="192">
        <f t="shared" si="6"/>
        <v>0</v>
      </c>
      <c r="X53" s="42"/>
      <c r="Y53" s="42"/>
      <c r="Z53" s="42"/>
      <c r="AA53" s="42"/>
      <c r="AB53" s="42"/>
    </row>
    <row r="54" ht="14.25" customHeight="1">
      <c r="A54" s="160">
        <v>53.0</v>
      </c>
      <c r="B54" s="160" t="s">
        <v>25</v>
      </c>
      <c r="C54" s="161" t="s">
        <v>78</v>
      </c>
      <c r="D54" s="164">
        <v>6.0</v>
      </c>
      <c r="E54" s="164">
        <v>6.0</v>
      </c>
      <c r="F54" s="161"/>
      <c r="G54" s="164">
        <v>63.0</v>
      </c>
      <c r="H54" s="161"/>
      <c r="I54" s="161">
        <f t="shared" si="1"/>
        <v>128</v>
      </c>
      <c r="J54" s="165"/>
      <c r="K54" s="166">
        <v>191.0</v>
      </c>
      <c r="L54" s="161">
        <f t="shared" si="7"/>
        <v>0</v>
      </c>
      <c r="M54" s="161">
        <f t="shared" si="3"/>
        <v>191</v>
      </c>
      <c r="N54" s="167"/>
      <c r="O54" s="161">
        <v>16.904</v>
      </c>
      <c r="P54" s="161">
        <v>12.699</v>
      </c>
      <c r="Q54" s="161">
        <f t="shared" si="4"/>
        <v>177.618</v>
      </c>
      <c r="R54" s="168">
        <v>493393.0</v>
      </c>
      <c r="S54" s="168">
        <v>493487.0</v>
      </c>
      <c r="T54" s="223"/>
      <c r="U54" s="222"/>
      <c r="V54" s="170">
        <f t="shared" si="5"/>
        <v>94</v>
      </c>
      <c r="W54" s="170">
        <f t="shared" si="6"/>
        <v>0</v>
      </c>
      <c r="X54" s="42"/>
      <c r="Y54" s="42"/>
      <c r="Z54" s="42"/>
      <c r="AA54" s="42"/>
      <c r="AB54" s="42"/>
    </row>
    <row r="55" ht="14.25" customHeight="1">
      <c r="A55" s="160">
        <v>54.0</v>
      </c>
      <c r="B55" s="160" t="s">
        <v>25</v>
      </c>
      <c r="C55" s="161" t="s">
        <v>79</v>
      </c>
      <c r="D55" s="164">
        <v>7.0</v>
      </c>
      <c r="E55" s="164">
        <v>7.0</v>
      </c>
      <c r="F55" s="161"/>
      <c r="G55" s="164">
        <v>57.0</v>
      </c>
      <c r="H55" s="161"/>
      <c r="I55" s="161">
        <f t="shared" si="1"/>
        <v>107</v>
      </c>
      <c r="J55" s="165"/>
      <c r="K55" s="166">
        <v>164.0</v>
      </c>
      <c r="L55" s="161">
        <f t="shared" si="7"/>
        <v>0</v>
      </c>
      <c r="M55" s="161">
        <f t="shared" si="3"/>
        <v>164</v>
      </c>
      <c r="N55" s="167"/>
      <c r="O55" s="161">
        <v>16.904</v>
      </c>
      <c r="P55" s="161">
        <v>12.699</v>
      </c>
      <c r="Q55" s="161">
        <f t="shared" si="4"/>
        <v>207.221</v>
      </c>
      <c r="R55" s="168">
        <v>521780.0</v>
      </c>
      <c r="S55" s="168">
        <v>521870.0</v>
      </c>
      <c r="T55" s="223"/>
      <c r="U55" s="222"/>
      <c r="V55" s="170">
        <f t="shared" si="5"/>
        <v>90</v>
      </c>
      <c r="W55" s="170">
        <f t="shared" si="6"/>
        <v>0</v>
      </c>
      <c r="X55" s="42"/>
      <c r="Y55" s="42"/>
      <c r="Z55" s="42"/>
      <c r="AA55" s="42"/>
      <c r="AB55" s="42"/>
    </row>
    <row r="56" ht="14.25" customHeight="1">
      <c r="A56" s="160">
        <v>55.0</v>
      </c>
      <c r="B56" s="160" t="s">
        <v>25</v>
      </c>
      <c r="C56" s="161" t="s">
        <v>80</v>
      </c>
      <c r="D56" s="164">
        <v>7.0</v>
      </c>
      <c r="E56" s="164">
        <v>7.0</v>
      </c>
      <c r="F56" s="161"/>
      <c r="G56" s="164">
        <v>68.0</v>
      </c>
      <c r="H56" s="161"/>
      <c r="I56" s="161">
        <f t="shared" si="1"/>
        <v>87</v>
      </c>
      <c r="J56" s="165"/>
      <c r="K56" s="166">
        <v>155.0</v>
      </c>
      <c r="L56" s="161">
        <f t="shared" si="7"/>
        <v>0</v>
      </c>
      <c r="M56" s="161">
        <f t="shared" si="3"/>
        <v>155</v>
      </c>
      <c r="N56" s="167"/>
      <c r="O56" s="161">
        <v>16.904</v>
      </c>
      <c r="P56" s="161">
        <v>12.699</v>
      </c>
      <c r="Q56" s="161">
        <f t="shared" si="4"/>
        <v>207.221</v>
      </c>
      <c r="R56" s="168">
        <v>513134.0</v>
      </c>
      <c r="S56" s="168">
        <v>513224.0</v>
      </c>
      <c r="T56" s="223"/>
      <c r="U56" s="222"/>
      <c r="V56" s="170">
        <f t="shared" si="5"/>
        <v>90</v>
      </c>
      <c r="W56" s="170">
        <f t="shared" si="6"/>
        <v>0</v>
      </c>
      <c r="X56" s="42"/>
      <c r="Y56" s="42"/>
      <c r="Z56" s="42"/>
      <c r="AA56" s="42"/>
      <c r="AB56" s="42"/>
    </row>
    <row r="57" ht="14.25" customHeight="1">
      <c r="A57" s="160">
        <v>56.0</v>
      </c>
      <c r="B57" s="160" t="s">
        <v>25</v>
      </c>
      <c r="C57" s="161" t="s">
        <v>81</v>
      </c>
      <c r="D57" s="164">
        <v>7.0</v>
      </c>
      <c r="E57" s="164">
        <v>7.0</v>
      </c>
      <c r="F57" s="161"/>
      <c r="G57" s="164">
        <v>50.0</v>
      </c>
      <c r="H57" s="161"/>
      <c r="I57" s="161">
        <f t="shared" si="1"/>
        <v>19</v>
      </c>
      <c r="J57" s="166">
        <v>15.0</v>
      </c>
      <c r="K57" s="166">
        <v>69.0</v>
      </c>
      <c r="L57" s="161">
        <f t="shared" si="7"/>
        <v>15</v>
      </c>
      <c r="M57" s="161">
        <f t="shared" si="3"/>
        <v>84</v>
      </c>
      <c r="N57" s="167"/>
      <c r="O57" s="161">
        <v>16.904</v>
      </c>
      <c r="P57" s="161">
        <v>12.699</v>
      </c>
      <c r="Q57" s="161">
        <f t="shared" si="4"/>
        <v>207.221</v>
      </c>
      <c r="R57" s="168">
        <v>482903.0</v>
      </c>
      <c r="S57" s="168">
        <v>482993.0</v>
      </c>
      <c r="T57" s="223"/>
      <c r="U57" s="222"/>
      <c r="V57" s="170">
        <f t="shared" si="5"/>
        <v>90</v>
      </c>
      <c r="W57" s="170">
        <f t="shared" si="6"/>
        <v>0</v>
      </c>
      <c r="X57" s="42"/>
      <c r="Y57" s="42"/>
      <c r="Z57" s="42"/>
      <c r="AA57" s="42"/>
      <c r="AB57" s="42"/>
    </row>
    <row r="58" ht="14.25" customHeight="1">
      <c r="A58" s="160">
        <v>57.0</v>
      </c>
      <c r="B58" s="160" t="s">
        <v>25</v>
      </c>
      <c r="C58" s="183" t="s">
        <v>82</v>
      </c>
      <c r="D58" s="186">
        <v>3.0</v>
      </c>
      <c r="E58" s="186">
        <v>3.0</v>
      </c>
      <c r="F58" s="183"/>
      <c r="G58" s="186">
        <v>45.0</v>
      </c>
      <c r="H58" s="183"/>
      <c r="I58" s="183">
        <f t="shared" si="1"/>
        <v>0</v>
      </c>
      <c r="J58" s="187"/>
      <c r="K58" s="254">
        <v>45.0</v>
      </c>
      <c r="L58" s="183">
        <f t="shared" si="7"/>
        <v>0</v>
      </c>
      <c r="M58" s="183">
        <f t="shared" si="3"/>
        <v>45</v>
      </c>
      <c r="N58" s="188" t="s">
        <v>99</v>
      </c>
      <c r="O58" s="183">
        <v>16.904</v>
      </c>
      <c r="P58" s="183">
        <v>12.699</v>
      </c>
      <c r="Q58" s="183">
        <f t="shared" si="4"/>
        <v>88.809</v>
      </c>
      <c r="R58" s="189">
        <v>460578.0</v>
      </c>
      <c r="S58" s="189">
        <v>460668.0</v>
      </c>
      <c r="T58" s="190"/>
      <c r="U58" s="191"/>
      <c r="V58" s="192">
        <f t="shared" si="5"/>
        <v>90</v>
      </c>
      <c r="W58" s="192">
        <f t="shared" si="6"/>
        <v>0</v>
      </c>
      <c r="X58" s="42"/>
      <c r="Y58" s="42"/>
      <c r="Z58" s="42"/>
      <c r="AA58" s="42"/>
      <c r="AB58" s="42"/>
    </row>
    <row r="59" ht="14.25" customHeight="1">
      <c r="A59" s="160">
        <v>58.0</v>
      </c>
      <c r="B59" s="160" t="s">
        <v>25</v>
      </c>
      <c r="C59" s="161" t="s">
        <v>83</v>
      </c>
      <c r="D59" s="164">
        <v>6.0</v>
      </c>
      <c r="E59" s="164">
        <v>6.0</v>
      </c>
      <c r="F59" s="161"/>
      <c r="G59" s="164">
        <v>63.0</v>
      </c>
      <c r="H59" s="161"/>
      <c r="I59" s="161">
        <f t="shared" si="1"/>
        <v>61</v>
      </c>
      <c r="J59" s="166">
        <v>27.0</v>
      </c>
      <c r="K59" s="166">
        <v>124.0</v>
      </c>
      <c r="L59" s="161">
        <f t="shared" si="7"/>
        <v>27</v>
      </c>
      <c r="M59" s="161">
        <f t="shared" si="3"/>
        <v>151</v>
      </c>
      <c r="N59" s="167"/>
      <c r="O59" s="161">
        <v>16.904</v>
      </c>
      <c r="P59" s="161">
        <v>12.699</v>
      </c>
      <c r="Q59" s="161">
        <f t="shared" si="4"/>
        <v>177.618</v>
      </c>
      <c r="R59" s="168">
        <v>447559.0</v>
      </c>
      <c r="S59" s="168">
        <v>447651.0</v>
      </c>
      <c r="T59" s="223"/>
      <c r="U59" s="222"/>
      <c r="V59" s="170">
        <f t="shared" si="5"/>
        <v>92</v>
      </c>
      <c r="W59" s="170">
        <f t="shared" si="6"/>
        <v>0</v>
      </c>
      <c r="X59" s="42"/>
      <c r="Y59" s="42"/>
      <c r="Z59" s="42"/>
      <c r="AA59" s="42"/>
      <c r="AB59" s="42"/>
    </row>
    <row r="60" ht="14.25" customHeight="1">
      <c r="A60" s="160">
        <v>59.0</v>
      </c>
      <c r="B60" s="160" t="s">
        <v>25</v>
      </c>
      <c r="C60" s="161" t="s">
        <v>84</v>
      </c>
      <c r="D60" s="164">
        <v>7.0</v>
      </c>
      <c r="E60" s="164">
        <v>6.0</v>
      </c>
      <c r="F60" s="161"/>
      <c r="G60" s="164">
        <v>56.0</v>
      </c>
      <c r="H60" s="161"/>
      <c r="I60" s="161">
        <f t="shared" si="1"/>
        <v>26</v>
      </c>
      <c r="J60" s="166">
        <v>38.0</v>
      </c>
      <c r="K60" s="166">
        <v>82.0</v>
      </c>
      <c r="L60" s="161">
        <f t="shared" si="7"/>
        <v>38</v>
      </c>
      <c r="M60" s="161">
        <f t="shared" si="3"/>
        <v>120</v>
      </c>
      <c r="N60" s="167"/>
      <c r="O60" s="161">
        <v>16.904</v>
      </c>
      <c r="P60" s="161">
        <v>12.699</v>
      </c>
      <c r="Q60" s="161">
        <f t="shared" si="4"/>
        <v>194.522</v>
      </c>
      <c r="R60" s="202">
        <v>503295.0</v>
      </c>
      <c r="S60" s="202">
        <v>503380.0</v>
      </c>
      <c r="T60" s="231"/>
      <c r="U60" s="255"/>
      <c r="V60" s="204">
        <f t="shared" si="5"/>
        <v>85</v>
      </c>
      <c r="W60" s="204">
        <f t="shared" si="6"/>
        <v>0</v>
      </c>
      <c r="X60" s="42"/>
      <c r="Y60" s="42"/>
      <c r="Z60" s="42"/>
      <c r="AA60" s="42"/>
      <c r="AB60" s="42"/>
    </row>
    <row r="61" ht="14.25" customHeight="1">
      <c r="A61" s="160">
        <v>60.0</v>
      </c>
      <c r="B61" s="160" t="s">
        <v>25</v>
      </c>
      <c r="C61" s="161" t="s">
        <v>85</v>
      </c>
      <c r="D61" s="164">
        <v>6.0</v>
      </c>
      <c r="E61" s="164">
        <v>6.0</v>
      </c>
      <c r="F61" s="161"/>
      <c r="G61" s="164">
        <v>60.0</v>
      </c>
      <c r="H61" s="161"/>
      <c r="I61" s="161">
        <f t="shared" si="1"/>
        <v>57</v>
      </c>
      <c r="J61" s="165"/>
      <c r="K61" s="166">
        <v>117.0</v>
      </c>
      <c r="L61" s="161">
        <f t="shared" si="7"/>
        <v>0</v>
      </c>
      <c r="M61" s="161">
        <f t="shared" si="3"/>
        <v>117</v>
      </c>
      <c r="N61" s="167"/>
      <c r="O61" s="161">
        <v>16.904</v>
      </c>
      <c r="P61" s="161">
        <v>12.699</v>
      </c>
      <c r="Q61" s="161">
        <f t="shared" si="4"/>
        <v>177.618</v>
      </c>
      <c r="R61" s="40">
        <v>451928.0</v>
      </c>
      <c r="S61" s="40">
        <v>452027.0</v>
      </c>
      <c r="T61" s="232"/>
      <c r="U61" s="232"/>
      <c r="V61" s="205">
        <f t="shared" si="5"/>
        <v>99</v>
      </c>
      <c r="W61" s="205">
        <f t="shared" si="6"/>
        <v>0</v>
      </c>
      <c r="X61" s="42"/>
      <c r="Y61" s="42"/>
      <c r="Z61" s="42"/>
      <c r="AA61" s="42"/>
      <c r="AB61" s="42"/>
    </row>
    <row r="62" ht="14.25" customHeight="1">
      <c r="A62" s="206"/>
      <c r="B62" s="207"/>
      <c r="C62" s="42"/>
      <c r="D62" s="208" t="s">
        <v>86</v>
      </c>
      <c r="E62" s="209">
        <f>SUM(M:M)</f>
        <v>7034</v>
      </c>
      <c r="F62" s="42"/>
      <c r="G62" s="42"/>
      <c r="H62" s="42"/>
      <c r="I62" s="42"/>
      <c r="J62" s="42"/>
      <c r="K62" s="42"/>
      <c r="L62" s="42"/>
      <c r="M62" s="42"/>
      <c r="N62" s="210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</row>
    <row r="63" ht="14.25" customHeight="1">
      <c r="A63" s="206"/>
      <c r="B63" s="207"/>
      <c r="C63" s="42"/>
      <c r="D63" s="208" t="s">
        <v>87</v>
      </c>
      <c r="E63" s="209">
        <f>SUM(Q:Q)</f>
        <v>11460.566</v>
      </c>
      <c r="F63" s="42"/>
      <c r="G63" s="42"/>
      <c r="H63" s="42"/>
      <c r="I63" s="42"/>
      <c r="J63" s="42"/>
      <c r="K63" s="42"/>
      <c r="L63" s="42"/>
      <c r="M63" s="42"/>
      <c r="N63" s="210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</row>
    <row r="64" ht="14.25" customHeight="1">
      <c r="A64" s="206"/>
      <c r="B64" s="207"/>
      <c r="C64" s="42"/>
      <c r="D64" s="208" t="s">
        <v>88</v>
      </c>
      <c r="E64" s="209">
        <f>E62/E63</f>
        <v>0.6137567726</v>
      </c>
      <c r="F64" s="42"/>
      <c r="G64" s="42"/>
      <c r="H64" s="42"/>
      <c r="I64" s="42"/>
      <c r="J64" s="42"/>
      <c r="K64" s="42"/>
      <c r="L64" s="42"/>
      <c r="M64" s="42"/>
      <c r="N64" s="210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</row>
    <row r="65" ht="14.25" customHeight="1">
      <c r="A65" s="206"/>
      <c r="B65" s="207"/>
      <c r="C65" s="42"/>
      <c r="D65" s="211"/>
      <c r="E65" s="212"/>
      <c r="F65" s="42"/>
      <c r="G65" s="42"/>
      <c r="H65" s="42"/>
      <c r="I65" s="42"/>
      <c r="J65" s="42"/>
      <c r="K65" s="42"/>
      <c r="L65" s="42"/>
      <c r="M65" s="42"/>
      <c r="N65" s="210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</row>
    <row r="66" ht="14.25" customHeight="1">
      <c r="A66" s="206"/>
      <c r="B66" s="207"/>
      <c r="C66" s="42"/>
      <c r="D66" s="213" t="s">
        <v>89</v>
      </c>
      <c r="E66" s="214">
        <f>AVERAGEIF(Q:Q,"&gt;0",Q:Q)</f>
        <v>194.2468814</v>
      </c>
      <c r="F66" s="42"/>
      <c r="G66" s="42"/>
      <c r="H66" s="42"/>
      <c r="I66" s="42"/>
      <c r="J66" s="42"/>
      <c r="K66" s="42"/>
      <c r="L66" s="42"/>
      <c r="M66" s="42"/>
      <c r="N66" s="210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</row>
    <row r="67" ht="14.25" customHeight="1">
      <c r="A67" s="206"/>
      <c r="B67" s="207"/>
      <c r="C67" s="42"/>
      <c r="D67" s="158"/>
      <c r="E67" s="212"/>
      <c r="F67" s="42"/>
      <c r="G67" s="42"/>
      <c r="H67" s="42"/>
      <c r="I67" s="42"/>
      <c r="J67" s="42"/>
      <c r="K67" s="42"/>
      <c r="L67" s="42"/>
      <c r="M67" s="42"/>
      <c r="N67" s="210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</row>
    <row r="68" ht="14.25" customHeight="1">
      <c r="A68" s="206"/>
      <c r="B68" s="207"/>
      <c r="C68" s="42"/>
      <c r="D68" s="215" t="s">
        <v>90</v>
      </c>
      <c r="E68" s="216">
        <f>SUM(G:G)</f>
        <v>3207</v>
      </c>
      <c r="F68" s="42"/>
      <c r="G68" s="42"/>
      <c r="H68" s="42"/>
      <c r="I68" s="42"/>
      <c r="J68" s="42"/>
      <c r="K68" s="42"/>
      <c r="L68" s="42"/>
      <c r="M68" s="42"/>
      <c r="N68" s="210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</row>
    <row r="69" ht="14.25" customHeight="1">
      <c r="A69" s="206"/>
      <c r="B69" s="207"/>
      <c r="C69" s="42"/>
      <c r="D69" s="215" t="s">
        <v>91</v>
      </c>
      <c r="E69" s="216">
        <f>SUM(H:H)</f>
        <v>0</v>
      </c>
      <c r="F69" s="42"/>
      <c r="G69" s="42"/>
      <c r="H69" s="42"/>
      <c r="I69" s="42"/>
      <c r="J69" s="42"/>
      <c r="K69" s="42"/>
      <c r="L69" s="42"/>
      <c r="M69" s="42"/>
      <c r="N69" s="210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</row>
    <row r="70" ht="14.25" customHeight="1">
      <c r="A70" s="206"/>
      <c r="B70" s="207"/>
      <c r="C70" s="42"/>
      <c r="D70" s="215" t="s">
        <v>92</v>
      </c>
      <c r="E70" s="216">
        <f>E69+E68</f>
        <v>3207</v>
      </c>
      <c r="F70" s="42"/>
      <c r="G70" s="42"/>
      <c r="H70" s="42"/>
      <c r="I70" s="42"/>
      <c r="J70" s="42"/>
      <c r="K70" s="42"/>
      <c r="L70" s="42"/>
      <c r="M70" s="42"/>
      <c r="N70" s="210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</row>
    <row r="71" ht="14.25" customHeight="1">
      <c r="A71" s="206"/>
      <c r="B71" s="207"/>
      <c r="C71" s="42"/>
      <c r="D71" s="158"/>
      <c r="E71" s="212"/>
      <c r="F71" s="42"/>
      <c r="G71" s="42"/>
      <c r="H71" s="42"/>
      <c r="I71" s="42"/>
      <c r="J71" s="42"/>
      <c r="K71" s="42"/>
      <c r="L71" s="42"/>
      <c r="M71" s="42"/>
      <c r="N71" s="210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</row>
    <row r="72" ht="14.25" customHeight="1">
      <c r="A72" s="206"/>
      <c r="B72" s="207"/>
      <c r="C72" s="42"/>
      <c r="D72" s="217" t="s">
        <v>93</v>
      </c>
      <c r="E72" s="218">
        <f>SUM(I:I)</f>
        <v>3259</v>
      </c>
      <c r="F72" s="42"/>
      <c r="G72" s="42"/>
      <c r="H72" s="42"/>
      <c r="I72" s="42"/>
      <c r="J72" s="42"/>
      <c r="K72" s="42"/>
      <c r="L72" s="42"/>
      <c r="M72" s="42"/>
      <c r="N72" s="210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</row>
    <row r="73" ht="14.25" customHeight="1">
      <c r="A73" s="206"/>
      <c r="B73" s="207"/>
      <c r="C73" s="42"/>
      <c r="D73" s="217" t="s">
        <v>94</v>
      </c>
      <c r="E73" s="218">
        <f>SUM(J:J)</f>
        <v>568</v>
      </c>
      <c r="F73" s="42"/>
      <c r="G73" s="42"/>
      <c r="H73" s="42"/>
      <c r="I73" s="42"/>
      <c r="J73" s="42"/>
      <c r="K73" s="42"/>
      <c r="L73" s="42"/>
      <c r="M73" s="42"/>
      <c r="N73" s="210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</row>
    <row r="74" ht="14.25" customHeight="1">
      <c r="A74" s="206"/>
      <c r="B74" s="207"/>
      <c r="C74" s="42"/>
      <c r="D74" s="217" t="s">
        <v>95</v>
      </c>
      <c r="E74" s="218">
        <f>E73+E72</f>
        <v>3827</v>
      </c>
      <c r="F74" s="42"/>
      <c r="G74" s="42"/>
      <c r="H74" s="42"/>
      <c r="I74" s="42"/>
      <c r="J74" s="42"/>
      <c r="K74" s="42"/>
      <c r="L74" s="42"/>
      <c r="M74" s="42"/>
      <c r="N74" s="210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</row>
    <row r="75" ht="14.25" customHeight="1">
      <c r="A75" s="206"/>
      <c r="B75" s="207"/>
      <c r="C75" s="42"/>
      <c r="D75" s="158"/>
      <c r="E75" s="212"/>
      <c r="F75" s="42"/>
      <c r="G75" s="42"/>
      <c r="H75" s="42"/>
      <c r="I75" s="42"/>
      <c r="J75" s="42"/>
      <c r="K75" s="42"/>
      <c r="L75" s="42"/>
      <c r="M75" s="42"/>
      <c r="N75" s="210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</row>
    <row r="76" ht="14.25" customHeight="1">
      <c r="A76" s="206"/>
      <c r="B76" s="207"/>
      <c r="C76" s="42"/>
      <c r="D76" s="219" t="s">
        <v>11</v>
      </c>
      <c r="E76" s="220">
        <f t="shared" ref="E76:E77" si="8">E72+E68</f>
        <v>6466</v>
      </c>
      <c r="F76" s="42"/>
      <c r="G76" s="42"/>
      <c r="H76" s="42"/>
      <c r="I76" s="42"/>
      <c r="J76" s="42"/>
      <c r="K76" s="42"/>
      <c r="L76" s="42"/>
      <c r="M76" s="42"/>
      <c r="N76" s="210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</row>
    <row r="77" ht="14.25" customHeight="1">
      <c r="A77" s="206"/>
      <c r="B77" s="207"/>
      <c r="C77" s="42"/>
      <c r="D77" s="219" t="s">
        <v>12</v>
      </c>
      <c r="E77" s="220">
        <f t="shared" si="8"/>
        <v>568</v>
      </c>
      <c r="F77" s="42"/>
      <c r="G77" s="42"/>
      <c r="H77" s="42"/>
      <c r="I77" s="42"/>
      <c r="J77" s="42"/>
      <c r="K77" s="42"/>
      <c r="L77" s="42"/>
      <c r="M77" s="42"/>
      <c r="N77" s="210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</row>
    <row r="78" ht="14.25" customHeight="1">
      <c r="A78" s="206"/>
      <c r="B78" s="207"/>
      <c r="C78" s="42"/>
      <c r="D78" s="221"/>
      <c r="E78" s="221"/>
      <c r="F78" s="42"/>
      <c r="G78" s="42"/>
      <c r="H78" s="42"/>
      <c r="I78" s="42"/>
      <c r="J78" s="42"/>
      <c r="K78" s="42"/>
      <c r="L78" s="42"/>
      <c r="M78" s="42"/>
      <c r="N78" s="210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</row>
    <row r="79" ht="14.25" customHeight="1">
      <c r="A79" s="206"/>
      <c r="B79" s="207"/>
      <c r="C79" s="42"/>
      <c r="D79" s="221"/>
      <c r="E79" s="221"/>
      <c r="F79" s="42"/>
      <c r="G79" s="42"/>
      <c r="H79" s="42"/>
      <c r="I79" s="42"/>
      <c r="J79" s="42"/>
      <c r="K79" s="42"/>
      <c r="L79" s="42"/>
      <c r="M79" s="42"/>
      <c r="N79" s="210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</row>
    <row r="80" ht="14.25" customHeight="1">
      <c r="A80" s="206"/>
      <c r="B80" s="207"/>
      <c r="C80" s="42"/>
      <c r="D80" s="221"/>
      <c r="E80" s="221"/>
      <c r="F80" s="42"/>
      <c r="G80" s="42"/>
      <c r="H80" s="42"/>
      <c r="I80" s="42"/>
      <c r="J80" s="42"/>
      <c r="K80" s="42"/>
      <c r="L80" s="42"/>
      <c r="M80" s="42"/>
      <c r="N80" s="210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</row>
    <row r="81" ht="14.25" customHeight="1">
      <c r="A81" s="206"/>
      <c r="B81" s="207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210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</row>
    <row r="82" ht="14.25" customHeight="1">
      <c r="A82" s="206"/>
      <c r="B82" s="207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210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</row>
    <row r="83" ht="14.25" customHeight="1">
      <c r="A83" s="206"/>
      <c r="B83" s="207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210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</row>
    <row r="84" ht="14.25" customHeight="1">
      <c r="A84" s="206"/>
      <c r="B84" s="207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210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</row>
    <row r="85" ht="14.25" customHeight="1">
      <c r="A85" s="206"/>
      <c r="B85" s="207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210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</row>
    <row r="86" ht="14.25" customHeight="1">
      <c r="A86" s="206"/>
      <c r="B86" s="207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210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</row>
    <row r="87" ht="14.25" customHeight="1">
      <c r="A87" s="206"/>
      <c r="B87" s="207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210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</row>
    <row r="88" ht="14.25" customHeight="1">
      <c r="A88" s="206"/>
      <c r="B88" s="207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210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</row>
    <row r="89" ht="14.25" customHeight="1">
      <c r="A89" s="206"/>
      <c r="B89" s="207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210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</row>
    <row r="90" ht="14.25" customHeight="1">
      <c r="A90" s="206"/>
      <c r="B90" s="207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210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</row>
    <row r="91" ht="14.25" customHeight="1">
      <c r="A91" s="206"/>
      <c r="B91" s="207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210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</row>
    <row r="92" ht="14.25" customHeight="1">
      <c r="A92" s="206"/>
      <c r="B92" s="207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210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</row>
    <row r="93" ht="14.25" customHeight="1">
      <c r="A93" s="206"/>
      <c r="B93" s="207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210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 ht="14.25" customHeight="1">
      <c r="A94" s="206"/>
      <c r="B94" s="207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210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</row>
    <row r="95" ht="14.25" customHeight="1">
      <c r="A95" s="206"/>
      <c r="B95" s="207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210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</row>
    <row r="96" ht="14.25" customHeight="1">
      <c r="A96" s="206"/>
      <c r="B96" s="207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210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</row>
    <row r="97" ht="14.25" customHeight="1">
      <c r="A97" s="206"/>
      <c r="B97" s="207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210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</row>
    <row r="98" ht="14.25" customHeight="1">
      <c r="A98" s="206"/>
      <c r="B98" s="207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210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</row>
    <row r="99" ht="14.25" customHeight="1">
      <c r="A99" s="206"/>
      <c r="B99" s="207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210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</row>
    <row r="100" ht="14.25" customHeight="1">
      <c r="A100" s="206"/>
      <c r="B100" s="207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210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</row>
    <row r="101" ht="14.25" customHeight="1">
      <c r="A101" s="206"/>
      <c r="B101" s="207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210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</row>
    <row r="102" ht="14.25" customHeight="1">
      <c r="A102" s="206"/>
      <c r="B102" s="207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210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</row>
    <row r="103" ht="14.25" customHeight="1">
      <c r="A103" s="206"/>
      <c r="B103" s="207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210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</row>
    <row r="104" ht="14.25" customHeight="1">
      <c r="A104" s="206"/>
      <c r="B104" s="207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210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</row>
    <row r="105" ht="14.25" customHeight="1">
      <c r="A105" s="206"/>
      <c r="B105" s="207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210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</row>
    <row r="106" ht="14.25" customHeight="1">
      <c r="A106" s="206"/>
      <c r="B106" s="207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210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 ht="14.25" customHeight="1">
      <c r="A107" s="206"/>
      <c r="B107" s="207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210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</row>
    <row r="108" ht="14.25" customHeight="1">
      <c r="A108" s="206"/>
      <c r="B108" s="207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210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</row>
    <row r="109" ht="14.25" customHeight="1">
      <c r="A109" s="206"/>
      <c r="B109" s="207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210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</row>
    <row r="110" ht="14.25" customHeight="1">
      <c r="A110" s="206"/>
      <c r="B110" s="207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210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</row>
    <row r="111" ht="14.25" customHeight="1">
      <c r="A111" s="206"/>
      <c r="B111" s="207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210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</row>
    <row r="112" ht="14.25" customHeight="1">
      <c r="A112" s="206"/>
      <c r="B112" s="207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210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 ht="14.25" customHeight="1">
      <c r="A113" s="206"/>
      <c r="B113" s="207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210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 ht="14.25" customHeight="1">
      <c r="A114" s="206"/>
      <c r="B114" s="207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210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 ht="14.25" customHeight="1">
      <c r="A115" s="206"/>
      <c r="B115" s="207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210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</row>
    <row r="116" ht="14.25" customHeight="1">
      <c r="A116" s="206"/>
      <c r="B116" s="207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210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</row>
    <row r="117" ht="14.25" customHeight="1">
      <c r="A117" s="206"/>
      <c r="B117" s="207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210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</row>
    <row r="118" ht="14.25" customHeight="1">
      <c r="A118" s="206"/>
      <c r="B118" s="207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210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</row>
    <row r="119" ht="14.25" customHeight="1">
      <c r="A119" s="206"/>
      <c r="B119" s="207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210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</row>
    <row r="120" ht="14.25" customHeight="1">
      <c r="A120" s="206"/>
      <c r="B120" s="207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210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</row>
    <row r="121" ht="14.25" customHeight="1">
      <c r="A121" s="206"/>
      <c r="B121" s="207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210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 ht="14.25" customHeight="1">
      <c r="A122" s="206"/>
      <c r="B122" s="207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210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</row>
    <row r="123" ht="14.25" customHeight="1">
      <c r="A123" s="206"/>
      <c r="B123" s="207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210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 ht="14.25" customHeight="1">
      <c r="A124" s="206"/>
      <c r="B124" s="207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210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 ht="14.25" customHeight="1">
      <c r="A125" s="206"/>
      <c r="B125" s="207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210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</row>
    <row r="126" ht="14.25" customHeight="1">
      <c r="A126" s="206"/>
      <c r="B126" s="207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210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</row>
    <row r="127" ht="14.25" customHeight="1">
      <c r="A127" s="206"/>
      <c r="B127" s="207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210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</row>
    <row r="128" ht="14.25" customHeight="1">
      <c r="A128" s="206"/>
      <c r="B128" s="207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210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</row>
    <row r="129" ht="14.25" customHeight="1">
      <c r="A129" s="206"/>
      <c r="B129" s="207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210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</row>
    <row r="130" ht="14.25" customHeight="1">
      <c r="A130" s="206"/>
      <c r="B130" s="207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210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</row>
    <row r="131" ht="14.25" customHeight="1">
      <c r="A131" s="206"/>
      <c r="B131" s="207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210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</row>
    <row r="132" ht="14.25" customHeight="1">
      <c r="A132" s="206"/>
      <c r="B132" s="207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210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</row>
    <row r="133" ht="14.25" customHeight="1">
      <c r="A133" s="206"/>
      <c r="B133" s="207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210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</row>
    <row r="134" ht="14.25" customHeight="1">
      <c r="A134" s="206"/>
      <c r="B134" s="207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210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</row>
    <row r="135" ht="14.25" customHeight="1">
      <c r="A135" s="206"/>
      <c r="B135" s="207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210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</row>
    <row r="136" ht="14.25" customHeight="1">
      <c r="A136" s="206"/>
      <c r="B136" s="207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210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</row>
    <row r="137" ht="14.25" customHeight="1">
      <c r="A137" s="206"/>
      <c r="B137" s="207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210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</row>
    <row r="138" ht="14.25" customHeight="1">
      <c r="A138" s="206"/>
      <c r="B138" s="207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210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</row>
    <row r="139" ht="14.25" customHeight="1">
      <c r="A139" s="206"/>
      <c r="B139" s="207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210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</row>
    <row r="140" ht="14.25" customHeight="1">
      <c r="A140" s="206"/>
      <c r="B140" s="207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210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</row>
    <row r="141" ht="14.25" customHeight="1">
      <c r="A141" s="206"/>
      <c r="B141" s="207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210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</row>
    <row r="142" ht="14.25" customHeight="1">
      <c r="A142" s="206"/>
      <c r="B142" s="207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210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</row>
    <row r="143" ht="14.25" customHeight="1">
      <c r="A143" s="206"/>
      <c r="B143" s="207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210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</row>
    <row r="144" ht="14.25" customHeight="1">
      <c r="A144" s="206"/>
      <c r="B144" s="207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210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</row>
    <row r="145" ht="14.25" customHeight="1">
      <c r="A145" s="206"/>
      <c r="B145" s="207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210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</row>
    <row r="146" ht="14.25" customHeight="1">
      <c r="A146" s="206"/>
      <c r="B146" s="207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210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</row>
    <row r="147" ht="14.25" customHeight="1">
      <c r="A147" s="206"/>
      <c r="B147" s="207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210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</row>
    <row r="148" ht="14.25" customHeight="1">
      <c r="A148" s="206"/>
      <c r="B148" s="207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210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</row>
    <row r="149" ht="14.25" customHeight="1">
      <c r="A149" s="206"/>
      <c r="B149" s="207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210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</row>
    <row r="150" ht="14.25" customHeight="1">
      <c r="A150" s="206"/>
      <c r="B150" s="207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210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</row>
    <row r="151" ht="14.25" customHeight="1">
      <c r="A151" s="206"/>
      <c r="B151" s="207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210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</row>
    <row r="152" ht="14.25" customHeight="1">
      <c r="A152" s="206"/>
      <c r="B152" s="207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210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</row>
    <row r="153" ht="14.25" customHeight="1">
      <c r="A153" s="206"/>
      <c r="B153" s="207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210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</row>
    <row r="154" ht="14.25" customHeight="1">
      <c r="A154" s="206"/>
      <c r="B154" s="207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210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</row>
    <row r="155" ht="14.25" customHeight="1">
      <c r="A155" s="206"/>
      <c r="B155" s="207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210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</row>
    <row r="156" ht="14.25" customHeight="1">
      <c r="A156" s="206"/>
      <c r="B156" s="207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210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</row>
    <row r="157" ht="14.25" customHeight="1">
      <c r="A157" s="206"/>
      <c r="B157" s="207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210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 ht="14.25" customHeight="1">
      <c r="A158" s="206"/>
      <c r="B158" s="207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210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</row>
    <row r="159" ht="14.25" customHeight="1">
      <c r="A159" s="206"/>
      <c r="B159" s="207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210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</row>
    <row r="160" ht="14.25" customHeight="1">
      <c r="A160" s="206"/>
      <c r="B160" s="207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210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</row>
    <row r="161" ht="14.25" customHeight="1">
      <c r="A161" s="206"/>
      <c r="B161" s="207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210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</row>
    <row r="162" ht="14.25" customHeight="1">
      <c r="A162" s="206"/>
      <c r="B162" s="207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210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</row>
    <row r="163" ht="14.25" customHeight="1">
      <c r="A163" s="206"/>
      <c r="B163" s="207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210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</row>
    <row r="164" ht="14.25" customHeight="1">
      <c r="A164" s="206"/>
      <c r="B164" s="207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210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</row>
    <row r="165" ht="14.25" customHeight="1">
      <c r="A165" s="206"/>
      <c r="B165" s="207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210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</row>
    <row r="166" ht="14.25" customHeight="1">
      <c r="A166" s="206"/>
      <c r="B166" s="207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210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</row>
    <row r="167" ht="14.25" customHeight="1">
      <c r="A167" s="206"/>
      <c r="B167" s="207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210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</row>
    <row r="168" ht="14.25" customHeight="1">
      <c r="A168" s="206"/>
      <c r="B168" s="207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210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</row>
    <row r="169" ht="14.25" customHeight="1">
      <c r="A169" s="206"/>
      <c r="B169" s="207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210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</row>
    <row r="170" ht="14.25" customHeight="1">
      <c r="A170" s="206"/>
      <c r="B170" s="207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210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</row>
    <row r="171" ht="14.25" customHeight="1">
      <c r="A171" s="206"/>
      <c r="B171" s="207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210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</row>
    <row r="172" ht="14.25" customHeight="1">
      <c r="A172" s="206"/>
      <c r="B172" s="207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210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</row>
    <row r="173" ht="14.25" customHeight="1">
      <c r="A173" s="206"/>
      <c r="B173" s="207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210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</row>
    <row r="174" ht="14.25" customHeight="1">
      <c r="A174" s="206"/>
      <c r="B174" s="207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210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</row>
    <row r="175" ht="14.25" customHeight="1">
      <c r="A175" s="206"/>
      <c r="B175" s="207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210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</row>
    <row r="176" ht="14.25" customHeight="1">
      <c r="A176" s="206"/>
      <c r="B176" s="207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210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</row>
    <row r="177" ht="14.25" customHeight="1">
      <c r="A177" s="206"/>
      <c r="B177" s="207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210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</row>
    <row r="178" ht="14.25" customHeight="1">
      <c r="A178" s="206"/>
      <c r="B178" s="207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210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</row>
    <row r="179" ht="14.25" customHeight="1">
      <c r="A179" s="206"/>
      <c r="B179" s="207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210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</row>
    <row r="180" ht="14.25" customHeight="1">
      <c r="A180" s="206"/>
      <c r="B180" s="207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210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</row>
    <row r="181" ht="14.25" customHeight="1">
      <c r="A181" s="206"/>
      <c r="B181" s="207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210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</row>
    <row r="182" ht="14.25" customHeight="1">
      <c r="A182" s="206"/>
      <c r="B182" s="207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210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</row>
    <row r="183" ht="14.25" customHeight="1">
      <c r="A183" s="206"/>
      <c r="B183" s="207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210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</row>
    <row r="184" ht="14.25" customHeight="1">
      <c r="A184" s="206"/>
      <c r="B184" s="207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210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</row>
    <row r="185" ht="14.25" customHeight="1">
      <c r="A185" s="206"/>
      <c r="B185" s="207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210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</row>
    <row r="186" ht="14.25" customHeight="1">
      <c r="A186" s="206"/>
      <c r="B186" s="207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210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</row>
    <row r="187" ht="14.25" customHeight="1">
      <c r="A187" s="206"/>
      <c r="B187" s="207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210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</row>
    <row r="188" ht="14.25" customHeight="1">
      <c r="A188" s="206"/>
      <c r="B188" s="207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210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</row>
    <row r="189" ht="14.25" customHeight="1">
      <c r="A189" s="206"/>
      <c r="B189" s="207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210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</row>
    <row r="190" ht="14.25" customHeight="1">
      <c r="A190" s="206"/>
      <c r="B190" s="207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210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</row>
    <row r="191" ht="14.25" customHeight="1">
      <c r="A191" s="206"/>
      <c r="B191" s="207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210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</row>
    <row r="192" ht="14.25" customHeight="1">
      <c r="A192" s="206"/>
      <c r="B192" s="207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210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</row>
    <row r="193" ht="14.25" customHeight="1">
      <c r="A193" s="206"/>
      <c r="B193" s="207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210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</row>
    <row r="194" ht="14.25" customHeight="1">
      <c r="A194" s="206"/>
      <c r="B194" s="207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210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</row>
    <row r="195" ht="14.25" customHeight="1">
      <c r="A195" s="206"/>
      <c r="B195" s="207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210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</row>
    <row r="196" ht="14.25" customHeight="1">
      <c r="A196" s="206"/>
      <c r="B196" s="207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210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</row>
    <row r="197" ht="14.25" customHeight="1">
      <c r="A197" s="206"/>
      <c r="B197" s="207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210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</row>
    <row r="198" ht="14.25" customHeight="1">
      <c r="A198" s="206"/>
      <c r="B198" s="207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210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</row>
    <row r="199" ht="14.25" customHeight="1">
      <c r="A199" s="206"/>
      <c r="B199" s="207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210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</row>
    <row r="200" ht="14.25" customHeight="1">
      <c r="A200" s="206"/>
      <c r="B200" s="207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210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</row>
    <row r="201" ht="14.25" customHeight="1">
      <c r="A201" s="206"/>
      <c r="B201" s="207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210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</row>
    <row r="202" ht="14.25" customHeight="1">
      <c r="A202" s="206"/>
      <c r="B202" s="207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210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 ht="14.25" customHeight="1">
      <c r="A203" s="206"/>
      <c r="B203" s="207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210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</row>
    <row r="204" ht="14.25" customHeight="1">
      <c r="A204" s="206"/>
      <c r="B204" s="207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210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</row>
    <row r="205" ht="14.25" customHeight="1">
      <c r="A205" s="206"/>
      <c r="B205" s="207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210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</row>
    <row r="206" ht="14.25" customHeight="1">
      <c r="A206" s="206"/>
      <c r="B206" s="207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210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</row>
    <row r="207" ht="14.25" customHeight="1">
      <c r="A207" s="206"/>
      <c r="B207" s="207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210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</row>
    <row r="208" ht="14.25" customHeight="1">
      <c r="A208" s="206"/>
      <c r="B208" s="207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210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</row>
    <row r="209" ht="14.25" customHeight="1">
      <c r="A209" s="206"/>
      <c r="B209" s="207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210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</row>
    <row r="210" ht="14.25" customHeight="1">
      <c r="A210" s="206"/>
      <c r="B210" s="207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210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</row>
    <row r="211" ht="14.25" customHeight="1">
      <c r="A211" s="206"/>
      <c r="B211" s="207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210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</row>
    <row r="212" ht="14.25" customHeight="1">
      <c r="A212" s="206"/>
      <c r="B212" s="207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210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</row>
    <row r="213" ht="14.25" customHeight="1">
      <c r="A213" s="206"/>
      <c r="B213" s="207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210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</row>
    <row r="214" ht="14.25" customHeight="1">
      <c r="A214" s="206"/>
      <c r="B214" s="207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210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</row>
    <row r="215" ht="14.25" customHeight="1">
      <c r="A215" s="206"/>
      <c r="B215" s="207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210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</row>
    <row r="216" ht="14.25" customHeight="1">
      <c r="A216" s="206"/>
      <c r="B216" s="207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210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</row>
    <row r="217" ht="14.25" customHeight="1">
      <c r="A217" s="206"/>
      <c r="B217" s="207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210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</row>
    <row r="218" ht="14.25" customHeight="1">
      <c r="A218" s="206"/>
      <c r="B218" s="207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210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</row>
    <row r="219" ht="14.25" customHeight="1">
      <c r="A219" s="206"/>
      <c r="B219" s="207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210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</row>
    <row r="220" ht="14.25" customHeight="1">
      <c r="A220" s="206"/>
      <c r="B220" s="207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210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</row>
    <row r="221" ht="14.25" customHeight="1">
      <c r="A221" s="206"/>
      <c r="B221" s="207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210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</row>
    <row r="222" ht="14.25" customHeight="1">
      <c r="A222" s="206"/>
      <c r="B222" s="207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210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</row>
    <row r="223" ht="14.25" customHeight="1">
      <c r="A223" s="206"/>
      <c r="B223" s="207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210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</row>
    <row r="224" ht="14.25" customHeight="1">
      <c r="A224" s="206"/>
      <c r="B224" s="207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210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</row>
    <row r="225" ht="14.25" customHeight="1">
      <c r="A225" s="206"/>
      <c r="B225" s="207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210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</row>
    <row r="226" ht="14.25" customHeight="1">
      <c r="A226" s="206"/>
      <c r="B226" s="207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210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</row>
    <row r="227" ht="14.25" customHeight="1">
      <c r="A227" s="206"/>
      <c r="B227" s="207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210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</row>
    <row r="228" ht="14.25" customHeight="1">
      <c r="A228" s="206"/>
      <c r="B228" s="207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210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</row>
    <row r="229" ht="14.25" customHeight="1">
      <c r="A229" s="206"/>
      <c r="B229" s="207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210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</row>
    <row r="230" ht="14.25" customHeight="1">
      <c r="A230" s="206"/>
      <c r="B230" s="207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210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</row>
    <row r="231" ht="14.25" customHeight="1">
      <c r="A231" s="206"/>
      <c r="B231" s="207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210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</row>
    <row r="232" ht="14.25" customHeight="1">
      <c r="A232" s="206"/>
      <c r="B232" s="207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210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</row>
    <row r="233" ht="14.25" customHeight="1">
      <c r="A233" s="206"/>
      <c r="B233" s="207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210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</row>
    <row r="234" ht="14.25" customHeight="1">
      <c r="A234" s="206"/>
      <c r="B234" s="207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210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</row>
    <row r="235" ht="14.25" customHeight="1">
      <c r="A235" s="206"/>
      <c r="B235" s="207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210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</row>
    <row r="236" ht="14.25" customHeight="1">
      <c r="A236" s="206"/>
      <c r="B236" s="207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210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</row>
    <row r="237" ht="14.25" customHeight="1">
      <c r="A237" s="206"/>
      <c r="B237" s="207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210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</row>
    <row r="238" ht="14.25" customHeight="1">
      <c r="A238" s="206"/>
      <c r="B238" s="207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210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</row>
    <row r="239" ht="14.25" customHeight="1">
      <c r="A239" s="206"/>
      <c r="B239" s="207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210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</row>
    <row r="240" ht="14.25" customHeight="1">
      <c r="A240" s="206"/>
      <c r="B240" s="207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210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</row>
    <row r="241" ht="14.25" customHeight="1">
      <c r="A241" s="206"/>
      <c r="B241" s="207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210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</row>
    <row r="242" ht="14.25" customHeight="1">
      <c r="A242" s="206"/>
      <c r="B242" s="207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210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</row>
    <row r="243" ht="14.25" customHeight="1">
      <c r="A243" s="206"/>
      <c r="B243" s="207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210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</row>
    <row r="244" ht="14.25" customHeight="1">
      <c r="A244" s="206"/>
      <c r="B244" s="207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210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</row>
    <row r="245" ht="14.25" customHeight="1">
      <c r="A245" s="206"/>
      <c r="B245" s="207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210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</row>
    <row r="246" ht="14.25" customHeight="1">
      <c r="A246" s="206"/>
      <c r="B246" s="207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210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</row>
    <row r="247" ht="14.25" customHeight="1">
      <c r="A247" s="206"/>
      <c r="B247" s="207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210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</row>
    <row r="248" ht="14.25" customHeight="1">
      <c r="A248" s="206"/>
      <c r="B248" s="207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210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</row>
    <row r="249" ht="14.25" customHeight="1">
      <c r="A249" s="206"/>
      <c r="B249" s="207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210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</row>
    <row r="250" ht="14.25" customHeight="1">
      <c r="A250" s="206"/>
      <c r="B250" s="207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210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</row>
    <row r="251" ht="14.25" customHeight="1">
      <c r="A251" s="206"/>
      <c r="B251" s="207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210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</row>
    <row r="252" ht="14.25" customHeight="1">
      <c r="A252" s="206"/>
      <c r="B252" s="207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210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</row>
    <row r="253" ht="14.25" customHeight="1">
      <c r="A253" s="206"/>
      <c r="B253" s="207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210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</row>
    <row r="254" ht="14.25" customHeight="1">
      <c r="A254" s="206"/>
      <c r="B254" s="207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210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</row>
    <row r="255" ht="14.25" customHeight="1">
      <c r="A255" s="206"/>
      <c r="B255" s="207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210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</row>
    <row r="256" ht="14.25" customHeight="1">
      <c r="A256" s="206"/>
      <c r="B256" s="207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210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</row>
    <row r="257" ht="14.25" customHeight="1">
      <c r="A257" s="206"/>
      <c r="B257" s="207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210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</row>
    <row r="258" ht="14.25" customHeight="1">
      <c r="A258" s="206"/>
      <c r="B258" s="207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210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</row>
    <row r="259" ht="14.25" customHeight="1">
      <c r="A259" s="206"/>
      <c r="B259" s="207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210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</row>
    <row r="260" ht="14.25" customHeight="1">
      <c r="A260" s="206"/>
      <c r="B260" s="207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210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</row>
    <row r="261" ht="14.25" customHeight="1">
      <c r="A261" s="206"/>
      <c r="B261" s="207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210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</row>
    <row r="262" ht="14.25" customHeight="1">
      <c r="A262" s="206"/>
      <c r="B262" s="207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210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</row>
    <row r="263" ht="14.25" customHeight="1">
      <c r="A263" s="206"/>
      <c r="B263" s="207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210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</row>
    <row r="264" ht="14.25" customHeight="1">
      <c r="A264" s="206"/>
      <c r="B264" s="207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210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</row>
    <row r="265" ht="14.25" customHeight="1">
      <c r="A265" s="206"/>
      <c r="B265" s="207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210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</row>
    <row r="266" ht="14.25" customHeight="1">
      <c r="A266" s="206"/>
      <c r="B266" s="207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210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</row>
    <row r="267" ht="14.25" customHeight="1">
      <c r="A267" s="206"/>
      <c r="B267" s="207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210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</row>
    <row r="268" ht="14.25" customHeight="1">
      <c r="A268" s="206"/>
      <c r="B268" s="207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210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</row>
    <row r="269" ht="14.25" customHeight="1">
      <c r="A269" s="206"/>
      <c r="B269" s="207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210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</row>
    <row r="270" ht="14.25" customHeight="1">
      <c r="A270" s="206"/>
      <c r="B270" s="207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210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</row>
    <row r="271" ht="14.25" customHeight="1">
      <c r="A271" s="206"/>
      <c r="B271" s="207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210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</row>
    <row r="272" ht="14.25" customHeight="1">
      <c r="A272" s="206"/>
      <c r="B272" s="207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210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</row>
    <row r="273" ht="14.25" customHeight="1">
      <c r="A273" s="206"/>
      <c r="B273" s="207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210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</row>
    <row r="274" ht="14.25" customHeight="1">
      <c r="A274" s="206"/>
      <c r="B274" s="207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210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</row>
    <row r="275" ht="14.25" customHeight="1">
      <c r="A275" s="206"/>
      <c r="B275" s="207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210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</row>
    <row r="276" ht="14.25" customHeight="1">
      <c r="A276" s="206"/>
      <c r="B276" s="207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210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</row>
    <row r="277" ht="14.25" customHeight="1">
      <c r="A277" s="206"/>
      <c r="B277" s="207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210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</row>
    <row r="278" ht="15.75" customHeight="1">
      <c r="A278" s="207"/>
      <c r="B278" s="207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210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</row>
    <row r="279" ht="15.75" customHeight="1">
      <c r="A279" s="207"/>
      <c r="B279" s="207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210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</row>
    <row r="280" ht="15.75" customHeight="1">
      <c r="A280" s="207"/>
      <c r="B280" s="207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210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</row>
    <row r="281" ht="15.75" customHeight="1">
      <c r="A281" s="207"/>
      <c r="B281" s="207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210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</row>
    <row r="282" ht="15.75" customHeight="1">
      <c r="A282" s="207"/>
      <c r="B282" s="207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210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</row>
    <row r="283" ht="15.75" customHeight="1">
      <c r="A283" s="207"/>
      <c r="B283" s="207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210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</row>
    <row r="284" ht="15.75" customHeight="1">
      <c r="A284" s="207"/>
      <c r="B284" s="207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210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</row>
    <row r="285" ht="15.75" customHeight="1">
      <c r="A285" s="207"/>
      <c r="B285" s="207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210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</row>
    <row r="286" ht="15.75" customHeight="1">
      <c r="A286" s="207"/>
      <c r="B286" s="207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210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</row>
    <row r="287" ht="15.75" customHeight="1">
      <c r="A287" s="207"/>
      <c r="B287" s="207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210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</row>
    <row r="288" ht="15.75" customHeight="1">
      <c r="A288" s="207"/>
      <c r="B288" s="207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210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</row>
    <row r="289" ht="15.75" customHeight="1">
      <c r="A289" s="207"/>
      <c r="B289" s="207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210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</row>
    <row r="290" ht="15.75" customHeight="1">
      <c r="A290" s="207"/>
      <c r="B290" s="207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210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</row>
    <row r="291" ht="15.75" customHeight="1">
      <c r="A291" s="207"/>
      <c r="B291" s="207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210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</row>
    <row r="292" ht="15.75" customHeight="1">
      <c r="A292" s="207"/>
      <c r="B292" s="207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210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</row>
    <row r="293" ht="15.75" customHeight="1">
      <c r="A293" s="207"/>
      <c r="B293" s="207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210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</row>
    <row r="294" ht="15.75" customHeight="1">
      <c r="A294" s="207"/>
      <c r="B294" s="207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210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</row>
    <row r="295" ht="15.75" customHeight="1">
      <c r="A295" s="207"/>
      <c r="B295" s="207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210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</row>
    <row r="296" ht="15.75" customHeight="1">
      <c r="A296" s="207"/>
      <c r="B296" s="207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210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</row>
    <row r="297" ht="15.75" customHeight="1">
      <c r="A297" s="207"/>
      <c r="B297" s="207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210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</row>
    <row r="298" ht="15.75" customHeight="1">
      <c r="A298" s="207"/>
      <c r="B298" s="207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210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</row>
    <row r="299" ht="15.75" customHeight="1">
      <c r="A299" s="207"/>
      <c r="B299" s="207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210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</row>
    <row r="300" ht="15.75" customHeight="1">
      <c r="A300" s="207"/>
      <c r="B300" s="207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210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</row>
    <row r="301" ht="15.75" customHeight="1">
      <c r="A301" s="207"/>
      <c r="B301" s="207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210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</row>
    <row r="302" ht="15.75" customHeight="1">
      <c r="A302" s="207"/>
      <c r="B302" s="207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210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</row>
    <row r="303" ht="15.75" customHeight="1">
      <c r="A303" s="207"/>
      <c r="B303" s="207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210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</row>
    <row r="304" ht="15.75" customHeight="1">
      <c r="A304" s="207"/>
      <c r="B304" s="207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210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</row>
    <row r="305" ht="15.75" customHeight="1">
      <c r="A305" s="207"/>
      <c r="B305" s="207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210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</row>
    <row r="306" ht="15.75" customHeight="1">
      <c r="A306" s="207"/>
      <c r="B306" s="207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210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</row>
    <row r="307" ht="15.75" customHeight="1">
      <c r="A307" s="207"/>
      <c r="B307" s="207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210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</row>
    <row r="308" ht="15.75" customHeight="1">
      <c r="A308" s="207"/>
      <c r="B308" s="207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210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</row>
    <row r="309" ht="15.75" customHeight="1">
      <c r="A309" s="207"/>
      <c r="B309" s="207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210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</row>
    <row r="310" ht="15.75" customHeight="1">
      <c r="A310" s="207"/>
      <c r="B310" s="207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210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</row>
    <row r="311" ht="15.75" customHeight="1">
      <c r="A311" s="207"/>
      <c r="B311" s="207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210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</row>
    <row r="312" ht="15.75" customHeight="1">
      <c r="A312" s="207"/>
      <c r="B312" s="207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210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</row>
    <row r="313" ht="15.75" customHeight="1">
      <c r="A313" s="207"/>
      <c r="B313" s="207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210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</row>
    <row r="314" ht="15.75" customHeight="1">
      <c r="A314" s="207"/>
      <c r="B314" s="207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210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</row>
    <row r="315" ht="15.75" customHeight="1">
      <c r="A315" s="207"/>
      <c r="B315" s="207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210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</row>
    <row r="316" ht="15.75" customHeight="1">
      <c r="A316" s="207"/>
      <c r="B316" s="207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210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</row>
    <row r="317" ht="15.75" customHeight="1">
      <c r="A317" s="207"/>
      <c r="B317" s="207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210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</row>
    <row r="318" ht="15.75" customHeight="1">
      <c r="A318" s="207"/>
      <c r="B318" s="207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210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</row>
    <row r="319" ht="15.75" customHeight="1">
      <c r="A319" s="207"/>
      <c r="B319" s="207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210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</row>
    <row r="320" ht="15.75" customHeight="1">
      <c r="A320" s="207"/>
      <c r="B320" s="207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210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</row>
    <row r="321" ht="15.75" customHeight="1">
      <c r="A321" s="207"/>
      <c r="B321" s="207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210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</row>
    <row r="322" ht="15.75" customHeight="1">
      <c r="A322" s="207"/>
      <c r="B322" s="207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210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</row>
    <row r="323" ht="15.75" customHeight="1">
      <c r="A323" s="207"/>
      <c r="B323" s="207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210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</row>
    <row r="324" ht="15.75" customHeight="1">
      <c r="A324" s="207"/>
      <c r="B324" s="207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210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</row>
    <row r="325" ht="15.75" customHeight="1">
      <c r="A325" s="207"/>
      <c r="B325" s="207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210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</row>
    <row r="326" ht="15.75" customHeight="1">
      <c r="A326" s="207"/>
      <c r="B326" s="207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210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</row>
    <row r="327" ht="15.75" customHeight="1">
      <c r="A327" s="207"/>
      <c r="B327" s="207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210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</row>
    <row r="328" ht="15.75" customHeight="1">
      <c r="A328" s="207"/>
      <c r="B328" s="207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210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</row>
    <row r="329" ht="15.75" customHeight="1">
      <c r="A329" s="207"/>
      <c r="B329" s="207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210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</row>
    <row r="330" ht="15.75" customHeight="1">
      <c r="A330" s="207"/>
      <c r="B330" s="207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210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</row>
    <row r="331" ht="15.75" customHeight="1">
      <c r="A331" s="207"/>
      <c r="B331" s="207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210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</row>
    <row r="332" ht="15.75" customHeight="1">
      <c r="A332" s="207"/>
      <c r="B332" s="207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210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</row>
    <row r="333" ht="15.75" customHeight="1">
      <c r="A333" s="207"/>
      <c r="B333" s="207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210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</row>
    <row r="334" ht="15.75" customHeight="1">
      <c r="A334" s="207"/>
      <c r="B334" s="207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210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</row>
    <row r="335" ht="15.75" customHeight="1">
      <c r="A335" s="207"/>
      <c r="B335" s="207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210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</row>
    <row r="336" ht="15.75" customHeight="1">
      <c r="A336" s="207"/>
      <c r="B336" s="207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210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</row>
    <row r="337" ht="15.75" customHeight="1">
      <c r="A337" s="207"/>
      <c r="B337" s="207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210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</row>
    <row r="338" ht="15.75" customHeight="1">
      <c r="A338" s="207"/>
      <c r="B338" s="207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210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</row>
    <row r="339" ht="15.75" customHeight="1">
      <c r="A339" s="207"/>
      <c r="B339" s="207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210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</row>
    <row r="340" ht="15.75" customHeight="1">
      <c r="A340" s="207"/>
      <c r="B340" s="207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210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</row>
    <row r="341" ht="15.75" customHeight="1">
      <c r="A341" s="207"/>
      <c r="B341" s="207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210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</row>
    <row r="342" ht="15.75" customHeight="1">
      <c r="A342" s="207"/>
      <c r="B342" s="207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210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</row>
    <row r="343" ht="15.75" customHeight="1">
      <c r="A343" s="207"/>
      <c r="B343" s="207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210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</row>
    <row r="344" ht="15.75" customHeight="1">
      <c r="A344" s="207"/>
      <c r="B344" s="207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210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</row>
    <row r="345" ht="15.75" customHeight="1">
      <c r="A345" s="207"/>
      <c r="B345" s="207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210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</row>
    <row r="346" ht="15.75" customHeight="1">
      <c r="A346" s="207"/>
      <c r="B346" s="207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210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</row>
    <row r="347" ht="15.75" customHeight="1">
      <c r="A347" s="207"/>
      <c r="B347" s="207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210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</row>
    <row r="348" ht="15.75" customHeight="1">
      <c r="A348" s="207"/>
      <c r="B348" s="207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210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</row>
    <row r="349" ht="15.75" customHeight="1">
      <c r="A349" s="207"/>
      <c r="B349" s="207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210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</row>
    <row r="350" ht="15.75" customHeight="1">
      <c r="A350" s="207"/>
      <c r="B350" s="207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210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</row>
    <row r="351" ht="15.75" customHeight="1">
      <c r="A351" s="207"/>
      <c r="B351" s="207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210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</row>
    <row r="352" ht="15.75" customHeight="1">
      <c r="A352" s="207"/>
      <c r="B352" s="207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210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</row>
    <row r="353" ht="15.75" customHeight="1">
      <c r="A353" s="207"/>
      <c r="B353" s="207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210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</row>
    <row r="354" ht="15.75" customHeight="1">
      <c r="A354" s="207"/>
      <c r="B354" s="207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210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</row>
    <row r="355" ht="15.75" customHeight="1">
      <c r="A355" s="207"/>
      <c r="B355" s="207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210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</row>
    <row r="356" ht="15.75" customHeight="1">
      <c r="A356" s="207"/>
      <c r="B356" s="207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210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</row>
    <row r="357" ht="15.75" customHeight="1">
      <c r="A357" s="207"/>
      <c r="B357" s="207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210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</row>
    <row r="358" ht="15.75" customHeight="1">
      <c r="A358" s="207"/>
      <c r="B358" s="207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210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</row>
    <row r="359" ht="15.75" customHeight="1">
      <c r="A359" s="207"/>
      <c r="B359" s="207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210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</row>
    <row r="360" ht="15.75" customHeight="1">
      <c r="A360" s="207"/>
      <c r="B360" s="207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210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</row>
    <row r="361" ht="15.75" customHeight="1">
      <c r="A361" s="207"/>
      <c r="B361" s="207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210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</row>
    <row r="362" ht="15.75" customHeight="1">
      <c r="A362" s="207"/>
      <c r="B362" s="207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210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</row>
    <row r="363" ht="15.75" customHeight="1">
      <c r="A363" s="207"/>
      <c r="B363" s="207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210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</row>
    <row r="364" ht="15.75" customHeight="1">
      <c r="A364" s="207"/>
      <c r="B364" s="207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210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</row>
    <row r="365" ht="15.75" customHeight="1">
      <c r="A365" s="207"/>
      <c r="B365" s="207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210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</row>
    <row r="366" ht="15.75" customHeight="1">
      <c r="A366" s="207"/>
      <c r="B366" s="207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210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</row>
    <row r="367" ht="15.75" customHeight="1">
      <c r="A367" s="207"/>
      <c r="B367" s="207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210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</row>
    <row r="368" ht="15.75" customHeight="1">
      <c r="A368" s="207"/>
      <c r="B368" s="207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210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</row>
    <row r="369" ht="15.75" customHeight="1">
      <c r="A369" s="207"/>
      <c r="B369" s="207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210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</row>
    <row r="370" ht="15.75" customHeight="1">
      <c r="A370" s="207"/>
      <c r="B370" s="207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210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</row>
    <row r="371" ht="15.75" customHeight="1">
      <c r="A371" s="207"/>
      <c r="B371" s="207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210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</row>
    <row r="372" ht="15.75" customHeight="1">
      <c r="A372" s="207"/>
      <c r="B372" s="207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210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</row>
    <row r="373" ht="15.75" customHeight="1">
      <c r="A373" s="207"/>
      <c r="B373" s="207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210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</row>
    <row r="374" ht="15.75" customHeight="1">
      <c r="A374" s="207"/>
      <c r="B374" s="207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210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</row>
    <row r="375" ht="15.75" customHeight="1">
      <c r="A375" s="207"/>
      <c r="B375" s="207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210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</row>
    <row r="376" ht="15.75" customHeight="1">
      <c r="A376" s="207"/>
      <c r="B376" s="207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210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</row>
    <row r="377" ht="15.75" customHeight="1">
      <c r="A377" s="207"/>
      <c r="B377" s="207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210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</row>
    <row r="378" ht="15.75" customHeight="1">
      <c r="A378" s="207"/>
      <c r="B378" s="207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210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</row>
    <row r="379" ht="15.75" customHeight="1">
      <c r="A379" s="207"/>
      <c r="B379" s="207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210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</row>
    <row r="380" ht="15.75" customHeight="1">
      <c r="A380" s="207"/>
      <c r="B380" s="207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210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</row>
    <row r="381" ht="15.75" customHeight="1">
      <c r="A381" s="207"/>
      <c r="B381" s="207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210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</row>
    <row r="382" ht="15.75" customHeight="1">
      <c r="A382" s="207"/>
      <c r="B382" s="207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210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</row>
    <row r="383" ht="15.75" customHeight="1">
      <c r="A383" s="207"/>
      <c r="B383" s="207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210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</row>
    <row r="384" ht="15.75" customHeight="1">
      <c r="A384" s="207"/>
      <c r="B384" s="207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210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</row>
    <row r="385" ht="15.75" customHeight="1">
      <c r="A385" s="207"/>
      <c r="B385" s="207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210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</row>
    <row r="386" ht="15.75" customHeight="1">
      <c r="A386" s="207"/>
      <c r="B386" s="207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210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</row>
    <row r="387" ht="15.75" customHeight="1">
      <c r="A387" s="207"/>
      <c r="B387" s="207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210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</row>
    <row r="388" ht="15.75" customHeight="1">
      <c r="A388" s="207"/>
      <c r="B388" s="207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210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</row>
    <row r="389" ht="15.75" customHeight="1">
      <c r="A389" s="207"/>
      <c r="B389" s="207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210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</row>
    <row r="390" ht="15.75" customHeight="1">
      <c r="A390" s="207"/>
      <c r="B390" s="207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210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</row>
    <row r="391" ht="15.75" customHeight="1">
      <c r="A391" s="207"/>
      <c r="B391" s="207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210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</row>
    <row r="392" ht="15.75" customHeight="1">
      <c r="A392" s="207"/>
      <c r="B392" s="207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210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</row>
    <row r="393" ht="15.75" customHeight="1">
      <c r="A393" s="207"/>
      <c r="B393" s="207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210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</row>
    <row r="394" ht="15.75" customHeight="1">
      <c r="A394" s="207"/>
      <c r="B394" s="207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210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</row>
    <row r="395" ht="15.75" customHeight="1">
      <c r="A395" s="207"/>
      <c r="B395" s="207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210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</row>
    <row r="396" ht="15.75" customHeight="1">
      <c r="A396" s="207"/>
      <c r="B396" s="207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210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</row>
    <row r="397" ht="15.75" customHeight="1">
      <c r="A397" s="207"/>
      <c r="B397" s="207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210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</row>
    <row r="398" ht="15.75" customHeight="1">
      <c r="A398" s="207"/>
      <c r="B398" s="207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210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</row>
    <row r="399" ht="15.75" customHeight="1">
      <c r="A399" s="207"/>
      <c r="B399" s="207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210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</row>
    <row r="400" ht="15.75" customHeight="1">
      <c r="A400" s="207"/>
      <c r="B400" s="207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210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</row>
    <row r="401" ht="15.75" customHeight="1">
      <c r="A401" s="207"/>
      <c r="B401" s="207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210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</row>
    <row r="402" ht="15.75" customHeight="1">
      <c r="A402" s="207"/>
      <c r="B402" s="207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210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</row>
    <row r="403" ht="15.75" customHeight="1">
      <c r="A403" s="207"/>
      <c r="B403" s="207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210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</row>
    <row r="404" ht="15.75" customHeight="1">
      <c r="A404" s="207"/>
      <c r="B404" s="207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210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</row>
    <row r="405" ht="15.75" customHeight="1">
      <c r="A405" s="207"/>
      <c r="B405" s="207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210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</row>
    <row r="406" ht="15.75" customHeight="1">
      <c r="A406" s="207"/>
      <c r="B406" s="207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210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</row>
    <row r="407" ht="15.75" customHeight="1">
      <c r="A407" s="207"/>
      <c r="B407" s="207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210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</row>
    <row r="408" ht="15.75" customHeight="1">
      <c r="A408" s="207"/>
      <c r="B408" s="207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210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</row>
    <row r="409" ht="15.75" customHeight="1">
      <c r="A409" s="207"/>
      <c r="B409" s="207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210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</row>
    <row r="410" ht="15.75" customHeight="1">
      <c r="A410" s="207"/>
      <c r="B410" s="207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210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</row>
    <row r="411" ht="15.75" customHeight="1">
      <c r="A411" s="207"/>
      <c r="B411" s="207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210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</row>
    <row r="412" ht="15.75" customHeight="1">
      <c r="A412" s="207"/>
      <c r="B412" s="207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210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</row>
    <row r="413" ht="15.75" customHeight="1">
      <c r="A413" s="207"/>
      <c r="B413" s="207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210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</row>
    <row r="414" ht="15.75" customHeight="1">
      <c r="A414" s="207"/>
      <c r="B414" s="207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210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</row>
    <row r="415" ht="15.75" customHeight="1">
      <c r="A415" s="207"/>
      <c r="B415" s="207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210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</row>
    <row r="416" ht="15.75" customHeight="1">
      <c r="A416" s="207"/>
      <c r="B416" s="207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210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</row>
    <row r="417" ht="15.75" customHeight="1">
      <c r="A417" s="207"/>
      <c r="B417" s="207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210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</row>
    <row r="418" ht="15.75" customHeight="1">
      <c r="A418" s="207"/>
      <c r="B418" s="207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210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</row>
    <row r="419" ht="15.75" customHeight="1">
      <c r="A419" s="207"/>
      <c r="B419" s="207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210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</row>
    <row r="420" ht="15.75" customHeight="1">
      <c r="A420" s="207"/>
      <c r="B420" s="207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210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</row>
    <row r="421" ht="15.75" customHeight="1">
      <c r="A421" s="207"/>
      <c r="B421" s="207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210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</row>
    <row r="422" ht="15.75" customHeight="1">
      <c r="A422" s="207"/>
      <c r="B422" s="207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210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</row>
    <row r="423" ht="15.75" customHeight="1">
      <c r="A423" s="207"/>
      <c r="B423" s="207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210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</row>
    <row r="424" ht="15.75" customHeight="1">
      <c r="A424" s="207"/>
      <c r="B424" s="207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210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</row>
    <row r="425" ht="15.75" customHeight="1">
      <c r="A425" s="207"/>
      <c r="B425" s="207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210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</row>
    <row r="426" ht="15.75" customHeight="1">
      <c r="A426" s="207"/>
      <c r="B426" s="207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210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</row>
    <row r="427" ht="15.75" customHeight="1">
      <c r="A427" s="207"/>
      <c r="B427" s="207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210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</row>
    <row r="428" ht="15.75" customHeight="1">
      <c r="A428" s="207"/>
      <c r="B428" s="207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210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</row>
    <row r="429" ht="15.75" customHeight="1">
      <c r="A429" s="207"/>
      <c r="B429" s="207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210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</row>
    <row r="430" ht="15.75" customHeight="1">
      <c r="A430" s="207"/>
      <c r="B430" s="207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210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</row>
    <row r="431" ht="15.75" customHeight="1">
      <c r="A431" s="207"/>
      <c r="B431" s="207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210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</row>
    <row r="432" ht="15.75" customHeight="1">
      <c r="A432" s="207"/>
      <c r="B432" s="207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210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</row>
    <row r="433" ht="15.75" customHeight="1">
      <c r="A433" s="207"/>
      <c r="B433" s="207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210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</row>
    <row r="434" ht="15.75" customHeight="1">
      <c r="A434" s="207"/>
      <c r="B434" s="207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210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</row>
    <row r="435" ht="15.75" customHeight="1">
      <c r="A435" s="207"/>
      <c r="B435" s="207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210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</row>
    <row r="436" ht="15.75" customHeight="1">
      <c r="A436" s="207"/>
      <c r="B436" s="207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210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</row>
    <row r="437" ht="15.75" customHeight="1">
      <c r="A437" s="207"/>
      <c r="B437" s="207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210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</row>
    <row r="438" ht="15.75" customHeight="1">
      <c r="A438" s="207"/>
      <c r="B438" s="207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210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</row>
    <row r="439" ht="15.75" customHeight="1">
      <c r="A439" s="207"/>
      <c r="B439" s="207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210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</row>
    <row r="440" ht="15.75" customHeight="1">
      <c r="A440" s="207"/>
      <c r="B440" s="207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210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</row>
    <row r="441" ht="15.75" customHeight="1">
      <c r="A441" s="207"/>
      <c r="B441" s="207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210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</row>
    <row r="442" ht="15.75" customHeight="1">
      <c r="A442" s="207"/>
      <c r="B442" s="207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210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</row>
    <row r="443" ht="15.75" customHeight="1">
      <c r="A443" s="207"/>
      <c r="B443" s="207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210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</row>
    <row r="444" ht="15.75" customHeight="1">
      <c r="A444" s="207"/>
      <c r="B444" s="207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210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</row>
    <row r="445" ht="15.75" customHeight="1">
      <c r="A445" s="207"/>
      <c r="B445" s="207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210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</row>
    <row r="446" ht="15.75" customHeight="1">
      <c r="A446" s="207"/>
      <c r="B446" s="207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210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</row>
    <row r="447" ht="15.75" customHeight="1">
      <c r="A447" s="207"/>
      <c r="B447" s="207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210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</row>
    <row r="448" ht="15.75" customHeight="1">
      <c r="A448" s="207"/>
      <c r="B448" s="207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210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</row>
    <row r="449" ht="15.75" customHeight="1">
      <c r="A449" s="207"/>
      <c r="B449" s="207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210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</row>
    <row r="450" ht="15.75" customHeight="1">
      <c r="A450" s="207"/>
      <c r="B450" s="207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210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</row>
    <row r="451" ht="15.75" customHeight="1">
      <c r="A451" s="207"/>
      <c r="B451" s="207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210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</row>
    <row r="452" ht="15.75" customHeight="1">
      <c r="A452" s="207"/>
      <c r="B452" s="207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210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</row>
    <row r="453" ht="15.75" customHeight="1">
      <c r="A453" s="207"/>
      <c r="B453" s="207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210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</row>
    <row r="454" ht="15.75" customHeight="1">
      <c r="A454" s="207"/>
      <c r="B454" s="207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210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</row>
    <row r="455" ht="15.75" customHeight="1">
      <c r="A455" s="207"/>
      <c r="B455" s="207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210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</row>
    <row r="456" ht="15.75" customHeight="1">
      <c r="A456" s="207"/>
      <c r="B456" s="207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210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</row>
    <row r="457" ht="15.75" customHeight="1">
      <c r="A457" s="207"/>
      <c r="B457" s="207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210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</row>
    <row r="458" ht="15.75" customHeight="1">
      <c r="A458" s="207"/>
      <c r="B458" s="207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210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</row>
    <row r="459" ht="15.75" customHeight="1">
      <c r="A459" s="207"/>
      <c r="B459" s="207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210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</row>
    <row r="460" ht="15.75" customHeight="1">
      <c r="A460" s="207"/>
      <c r="B460" s="207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210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</row>
    <row r="461" ht="15.75" customHeight="1">
      <c r="A461" s="207"/>
      <c r="B461" s="207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210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</row>
    <row r="462" ht="15.75" customHeight="1">
      <c r="A462" s="207"/>
      <c r="B462" s="207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210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</row>
    <row r="463" ht="15.75" customHeight="1">
      <c r="A463" s="207"/>
      <c r="B463" s="207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210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</row>
    <row r="464" ht="15.75" customHeight="1">
      <c r="A464" s="207"/>
      <c r="B464" s="207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210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</row>
    <row r="465" ht="15.75" customHeight="1">
      <c r="A465" s="207"/>
      <c r="B465" s="207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210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</row>
    <row r="466" ht="15.75" customHeight="1">
      <c r="A466" s="207"/>
      <c r="B466" s="207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210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</row>
    <row r="467" ht="15.75" customHeight="1">
      <c r="A467" s="207"/>
      <c r="B467" s="207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210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</row>
    <row r="468" ht="15.75" customHeight="1">
      <c r="A468" s="207"/>
      <c r="B468" s="207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210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</row>
    <row r="469" ht="15.75" customHeight="1">
      <c r="A469" s="207"/>
      <c r="B469" s="207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210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</row>
    <row r="470" ht="15.75" customHeight="1">
      <c r="A470" s="207"/>
      <c r="B470" s="207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210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</row>
    <row r="471" ht="15.75" customHeight="1">
      <c r="A471" s="207"/>
      <c r="B471" s="207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210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</row>
    <row r="472" ht="15.75" customHeight="1">
      <c r="A472" s="207"/>
      <c r="B472" s="207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210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</row>
    <row r="473" ht="15.75" customHeight="1">
      <c r="A473" s="207"/>
      <c r="B473" s="207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210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</row>
    <row r="474" ht="15.75" customHeight="1">
      <c r="A474" s="207"/>
      <c r="B474" s="207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210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</row>
    <row r="475" ht="15.75" customHeight="1">
      <c r="A475" s="207"/>
      <c r="B475" s="207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210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</row>
    <row r="476" ht="15.75" customHeight="1">
      <c r="A476" s="207"/>
      <c r="B476" s="207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210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</row>
    <row r="477" ht="15.75" customHeight="1">
      <c r="A477" s="207"/>
      <c r="B477" s="207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210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</row>
    <row r="478" ht="15.75" customHeight="1">
      <c r="A478" s="207"/>
      <c r="B478" s="207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210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</row>
    <row r="479" ht="15.75" customHeight="1">
      <c r="A479" s="207"/>
      <c r="B479" s="207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210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</row>
    <row r="480" ht="15.75" customHeight="1">
      <c r="A480" s="207"/>
      <c r="B480" s="207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210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</row>
    <row r="481" ht="15.75" customHeight="1">
      <c r="A481" s="207"/>
      <c r="B481" s="207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210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</row>
    <row r="482" ht="15.75" customHeight="1">
      <c r="A482" s="207"/>
      <c r="B482" s="207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210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</row>
    <row r="483" ht="15.75" customHeight="1">
      <c r="A483" s="207"/>
      <c r="B483" s="207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210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</row>
    <row r="484" ht="15.75" customHeight="1">
      <c r="A484" s="207"/>
      <c r="B484" s="207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210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</row>
    <row r="485" ht="15.75" customHeight="1">
      <c r="A485" s="207"/>
      <c r="B485" s="207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210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</row>
    <row r="486" ht="15.75" customHeight="1">
      <c r="A486" s="207"/>
      <c r="B486" s="207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210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</row>
    <row r="487" ht="15.75" customHeight="1">
      <c r="A487" s="207"/>
      <c r="B487" s="207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210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</row>
    <row r="488" ht="15.75" customHeight="1">
      <c r="A488" s="207"/>
      <c r="B488" s="207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210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</row>
    <row r="489" ht="15.75" customHeight="1">
      <c r="A489" s="207"/>
      <c r="B489" s="207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210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</row>
    <row r="490" ht="15.75" customHeight="1">
      <c r="A490" s="207"/>
      <c r="B490" s="207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210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</row>
    <row r="491" ht="15.75" customHeight="1">
      <c r="A491" s="207"/>
      <c r="B491" s="207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210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</row>
    <row r="492" ht="15.75" customHeight="1">
      <c r="A492" s="207"/>
      <c r="B492" s="207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210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</row>
    <row r="493" ht="15.75" customHeight="1">
      <c r="A493" s="207"/>
      <c r="B493" s="207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210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</row>
    <row r="494" ht="15.75" customHeight="1">
      <c r="A494" s="207"/>
      <c r="B494" s="207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210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</row>
    <row r="495" ht="15.75" customHeight="1">
      <c r="A495" s="207"/>
      <c r="B495" s="207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210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</row>
    <row r="496" ht="15.75" customHeight="1">
      <c r="A496" s="207"/>
      <c r="B496" s="207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210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</row>
    <row r="497" ht="15.75" customHeight="1">
      <c r="A497" s="207"/>
      <c r="B497" s="207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210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</row>
    <row r="498" ht="15.75" customHeight="1">
      <c r="A498" s="207"/>
      <c r="B498" s="207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210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</row>
    <row r="499" ht="15.75" customHeight="1">
      <c r="A499" s="207"/>
      <c r="B499" s="207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210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</row>
    <row r="500" ht="15.75" customHeight="1">
      <c r="A500" s="207"/>
      <c r="B500" s="207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210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</row>
    <row r="501" ht="15.75" customHeight="1">
      <c r="A501" s="207"/>
      <c r="B501" s="207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210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</row>
    <row r="502" ht="15.75" customHeight="1">
      <c r="A502" s="207"/>
      <c r="B502" s="207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210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</row>
    <row r="503" ht="15.75" customHeight="1">
      <c r="A503" s="207"/>
      <c r="B503" s="207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210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</row>
    <row r="504" ht="15.75" customHeight="1">
      <c r="A504" s="207"/>
      <c r="B504" s="207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210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</row>
    <row r="505" ht="15.75" customHeight="1">
      <c r="A505" s="207"/>
      <c r="B505" s="207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210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</row>
    <row r="506" ht="15.75" customHeight="1">
      <c r="A506" s="207"/>
      <c r="B506" s="207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210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</row>
    <row r="507" ht="15.75" customHeight="1">
      <c r="A507" s="207"/>
      <c r="B507" s="207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210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</row>
    <row r="508" ht="15.75" customHeight="1">
      <c r="A508" s="207"/>
      <c r="B508" s="207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210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</row>
    <row r="509" ht="15.75" customHeight="1">
      <c r="A509" s="207"/>
      <c r="B509" s="207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210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</row>
    <row r="510" ht="15.75" customHeight="1">
      <c r="A510" s="207"/>
      <c r="B510" s="207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210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</row>
    <row r="511" ht="15.75" customHeight="1">
      <c r="A511" s="207"/>
      <c r="B511" s="207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210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</row>
    <row r="512" ht="15.75" customHeight="1">
      <c r="A512" s="207"/>
      <c r="B512" s="207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210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</row>
    <row r="513" ht="15.75" customHeight="1">
      <c r="A513" s="207"/>
      <c r="B513" s="207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210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</row>
    <row r="514" ht="15.75" customHeight="1">
      <c r="A514" s="207"/>
      <c r="B514" s="207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210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</row>
    <row r="515" ht="15.75" customHeight="1">
      <c r="A515" s="207"/>
      <c r="B515" s="207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210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</row>
    <row r="516" ht="15.75" customHeight="1">
      <c r="A516" s="207"/>
      <c r="B516" s="207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210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</row>
    <row r="517" ht="15.75" customHeight="1">
      <c r="A517" s="207"/>
      <c r="B517" s="207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210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</row>
    <row r="518" ht="15.75" customHeight="1">
      <c r="A518" s="207"/>
      <c r="B518" s="207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210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</row>
    <row r="519" ht="15.75" customHeight="1">
      <c r="A519" s="207"/>
      <c r="B519" s="207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210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</row>
    <row r="520" ht="15.75" customHeight="1">
      <c r="A520" s="207"/>
      <c r="B520" s="207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210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</row>
    <row r="521" ht="15.75" customHeight="1">
      <c r="A521" s="207"/>
      <c r="B521" s="207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210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</row>
    <row r="522" ht="15.75" customHeight="1">
      <c r="A522" s="207"/>
      <c r="B522" s="207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210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</row>
    <row r="523" ht="15.75" customHeight="1">
      <c r="A523" s="207"/>
      <c r="B523" s="207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210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</row>
    <row r="524" ht="15.75" customHeight="1">
      <c r="A524" s="207"/>
      <c r="B524" s="207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210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</row>
    <row r="525" ht="15.75" customHeight="1">
      <c r="A525" s="207"/>
      <c r="B525" s="207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210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</row>
    <row r="526" ht="15.75" customHeight="1">
      <c r="A526" s="207"/>
      <c r="B526" s="207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210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</row>
    <row r="527" ht="15.75" customHeight="1">
      <c r="A527" s="207"/>
      <c r="B527" s="207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210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</row>
    <row r="528" ht="15.75" customHeight="1">
      <c r="A528" s="207"/>
      <c r="B528" s="207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210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</row>
    <row r="529" ht="15.75" customHeight="1">
      <c r="A529" s="207"/>
      <c r="B529" s="207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210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</row>
    <row r="530" ht="15.75" customHeight="1">
      <c r="A530" s="207"/>
      <c r="B530" s="207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210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</row>
    <row r="531" ht="15.75" customHeight="1">
      <c r="A531" s="207"/>
      <c r="B531" s="207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210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</row>
    <row r="532" ht="15.75" customHeight="1">
      <c r="A532" s="207"/>
      <c r="B532" s="207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210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</row>
    <row r="533" ht="15.75" customHeight="1">
      <c r="A533" s="207"/>
      <c r="B533" s="207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210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</row>
    <row r="534" ht="15.75" customHeight="1">
      <c r="A534" s="207"/>
      <c r="B534" s="207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210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</row>
    <row r="535" ht="15.75" customHeight="1">
      <c r="A535" s="207"/>
      <c r="B535" s="207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210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</row>
    <row r="536" ht="15.75" customHeight="1">
      <c r="A536" s="207"/>
      <c r="B536" s="207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210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</row>
    <row r="537" ht="15.75" customHeight="1">
      <c r="A537" s="207"/>
      <c r="B537" s="207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210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</row>
    <row r="538" ht="15.75" customHeight="1">
      <c r="A538" s="207"/>
      <c r="B538" s="207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210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</row>
    <row r="539" ht="15.75" customHeight="1">
      <c r="A539" s="207"/>
      <c r="B539" s="207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210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</row>
    <row r="540" ht="15.75" customHeight="1">
      <c r="A540" s="207"/>
      <c r="B540" s="207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210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</row>
    <row r="541" ht="15.75" customHeight="1">
      <c r="A541" s="207"/>
      <c r="B541" s="207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210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</row>
    <row r="542" ht="15.75" customHeight="1">
      <c r="A542" s="207"/>
      <c r="B542" s="207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210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</row>
    <row r="543" ht="15.75" customHeight="1">
      <c r="A543" s="207"/>
      <c r="B543" s="207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210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</row>
    <row r="544" ht="15.75" customHeight="1">
      <c r="A544" s="207"/>
      <c r="B544" s="207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210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</row>
    <row r="545" ht="15.75" customHeight="1">
      <c r="A545" s="207"/>
      <c r="B545" s="207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210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</row>
    <row r="546" ht="15.75" customHeight="1">
      <c r="A546" s="207"/>
      <c r="B546" s="207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210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</row>
    <row r="547" ht="15.75" customHeight="1">
      <c r="A547" s="207"/>
      <c r="B547" s="207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210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</row>
    <row r="548" ht="15.75" customHeight="1">
      <c r="A548" s="207"/>
      <c r="B548" s="207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210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</row>
    <row r="549" ht="15.75" customHeight="1">
      <c r="A549" s="207"/>
      <c r="B549" s="207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210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</row>
    <row r="550" ht="15.75" customHeight="1">
      <c r="A550" s="207"/>
      <c r="B550" s="207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210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</row>
    <row r="551" ht="15.75" customHeight="1">
      <c r="A551" s="207"/>
      <c r="B551" s="207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210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</row>
    <row r="552" ht="15.75" customHeight="1">
      <c r="A552" s="207"/>
      <c r="B552" s="207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210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</row>
    <row r="553" ht="15.75" customHeight="1">
      <c r="A553" s="207"/>
      <c r="B553" s="207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210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</row>
    <row r="554" ht="15.75" customHeight="1">
      <c r="A554" s="207"/>
      <c r="B554" s="207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210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</row>
    <row r="555" ht="15.75" customHeight="1">
      <c r="A555" s="207"/>
      <c r="B555" s="207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210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</row>
    <row r="556" ht="15.75" customHeight="1">
      <c r="A556" s="207"/>
      <c r="B556" s="207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210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</row>
    <row r="557" ht="15.75" customHeight="1">
      <c r="A557" s="207"/>
      <c r="B557" s="207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210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</row>
    <row r="558" ht="15.75" customHeight="1">
      <c r="A558" s="207"/>
      <c r="B558" s="207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210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</row>
    <row r="559" ht="15.75" customHeight="1">
      <c r="A559" s="207"/>
      <c r="B559" s="207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210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</row>
    <row r="560" ht="15.75" customHeight="1">
      <c r="A560" s="207"/>
      <c r="B560" s="207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210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</row>
    <row r="561" ht="15.75" customHeight="1">
      <c r="A561" s="207"/>
      <c r="B561" s="207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210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</row>
    <row r="562" ht="15.75" customHeight="1">
      <c r="A562" s="207"/>
      <c r="B562" s="207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210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</row>
    <row r="563" ht="15.75" customHeight="1">
      <c r="A563" s="207"/>
      <c r="B563" s="207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210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</row>
    <row r="564" ht="15.75" customHeight="1">
      <c r="A564" s="207"/>
      <c r="B564" s="207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210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</row>
    <row r="565" ht="15.75" customHeight="1">
      <c r="A565" s="207"/>
      <c r="B565" s="207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210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</row>
    <row r="566" ht="15.75" customHeight="1">
      <c r="A566" s="207"/>
      <c r="B566" s="207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210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</row>
    <row r="567" ht="15.75" customHeight="1">
      <c r="A567" s="207"/>
      <c r="B567" s="207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210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</row>
    <row r="568" ht="15.75" customHeight="1">
      <c r="A568" s="207"/>
      <c r="B568" s="207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210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</row>
    <row r="569" ht="15.75" customHeight="1">
      <c r="A569" s="207"/>
      <c r="B569" s="207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210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</row>
    <row r="570" ht="15.75" customHeight="1">
      <c r="A570" s="207"/>
      <c r="B570" s="207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210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</row>
    <row r="571" ht="15.75" customHeight="1">
      <c r="A571" s="207"/>
      <c r="B571" s="207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210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</row>
    <row r="572" ht="15.75" customHeight="1">
      <c r="A572" s="207"/>
      <c r="B572" s="207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210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</row>
    <row r="573" ht="15.75" customHeight="1">
      <c r="A573" s="207"/>
      <c r="B573" s="207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210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</row>
    <row r="574" ht="15.75" customHeight="1">
      <c r="A574" s="207"/>
      <c r="B574" s="207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210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</row>
    <row r="575" ht="15.75" customHeight="1">
      <c r="A575" s="207"/>
      <c r="B575" s="207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210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</row>
    <row r="576" ht="15.75" customHeight="1">
      <c r="A576" s="207"/>
      <c r="B576" s="207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210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</row>
    <row r="577" ht="15.75" customHeight="1">
      <c r="A577" s="207"/>
      <c r="B577" s="207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210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</row>
    <row r="578" ht="15.75" customHeight="1">
      <c r="A578" s="207"/>
      <c r="B578" s="207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210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</row>
    <row r="579" ht="15.75" customHeight="1">
      <c r="A579" s="207"/>
      <c r="B579" s="207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210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</row>
    <row r="580" ht="15.75" customHeight="1">
      <c r="A580" s="207"/>
      <c r="B580" s="207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210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</row>
    <row r="581" ht="15.75" customHeight="1">
      <c r="A581" s="207"/>
      <c r="B581" s="207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210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</row>
    <row r="582" ht="15.75" customHeight="1">
      <c r="A582" s="207"/>
      <c r="B582" s="207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210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</row>
    <row r="583" ht="15.75" customHeight="1">
      <c r="A583" s="207"/>
      <c r="B583" s="207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210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</row>
    <row r="584" ht="15.75" customHeight="1">
      <c r="A584" s="207"/>
      <c r="B584" s="207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210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</row>
    <row r="585" ht="15.75" customHeight="1">
      <c r="A585" s="207"/>
      <c r="B585" s="207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210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</row>
    <row r="586" ht="15.75" customHeight="1">
      <c r="A586" s="207"/>
      <c r="B586" s="207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210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</row>
    <row r="587" ht="15.75" customHeight="1">
      <c r="A587" s="207"/>
      <c r="B587" s="207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210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</row>
    <row r="588" ht="15.75" customHeight="1">
      <c r="A588" s="207"/>
      <c r="B588" s="207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210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</row>
    <row r="589" ht="15.75" customHeight="1">
      <c r="A589" s="207"/>
      <c r="B589" s="207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210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</row>
    <row r="590" ht="15.75" customHeight="1">
      <c r="A590" s="207"/>
      <c r="B590" s="207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210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</row>
    <row r="591" ht="15.75" customHeight="1">
      <c r="A591" s="207"/>
      <c r="B591" s="207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210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</row>
    <row r="592" ht="15.75" customHeight="1">
      <c r="A592" s="207"/>
      <c r="B592" s="207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210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</row>
    <row r="593" ht="15.75" customHeight="1">
      <c r="A593" s="207"/>
      <c r="B593" s="207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210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</row>
    <row r="594" ht="15.75" customHeight="1">
      <c r="A594" s="207"/>
      <c r="B594" s="207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210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</row>
    <row r="595" ht="15.75" customHeight="1">
      <c r="A595" s="207"/>
      <c r="B595" s="207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210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</row>
    <row r="596" ht="15.75" customHeight="1">
      <c r="A596" s="207"/>
      <c r="B596" s="207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210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</row>
    <row r="597" ht="15.75" customHeight="1">
      <c r="A597" s="207"/>
      <c r="B597" s="207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210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</row>
    <row r="598" ht="15.75" customHeight="1">
      <c r="A598" s="207"/>
      <c r="B598" s="207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210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</row>
    <row r="599" ht="15.75" customHeight="1">
      <c r="A599" s="207"/>
      <c r="B599" s="207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210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</row>
    <row r="600" ht="15.75" customHeight="1">
      <c r="A600" s="207"/>
      <c r="B600" s="207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210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</row>
    <row r="601" ht="15.75" customHeight="1">
      <c r="A601" s="207"/>
      <c r="B601" s="207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210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</row>
    <row r="602" ht="15.75" customHeight="1">
      <c r="A602" s="207"/>
      <c r="B602" s="207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210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</row>
    <row r="603" ht="15.75" customHeight="1">
      <c r="A603" s="207"/>
      <c r="B603" s="207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210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</row>
    <row r="604" ht="15.75" customHeight="1">
      <c r="A604" s="207"/>
      <c r="B604" s="207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210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</row>
    <row r="605" ht="15.75" customHeight="1">
      <c r="A605" s="207"/>
      <c r="B605" s="207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210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</row>
    <row r="606" ht="15.75" customHeight="1">
      <c r="A606" s="207"/>
      <c r="B606" s="207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210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</row>
    <row r="607" ht="15.75" customHeight="1">
      <c r="A607" s="207"/>
      <c r="B607" s="207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210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</row>
    <row r="608" ht="15.75" customHeight="1">
      <c r="A608" s="207"/>
      <c r="B608" s="207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210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</row>
    <row r="609" ht="15.75" customHeight="1">
      <c r="A609" s="207"/>
      <c r="B609" s="207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210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</row>
    <row r="610" ht="15.75" customHeight="1">
      <c r="A610" s="207"/>
      <c r="B610" s="207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210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</row>
    <row r="611" ht="15.75" customHeight="1">
      <c r="A611" s="207"/>
      <c r="B611" s="207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210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</row>
    <row r="612" ht="15.75" customHeight="1">
      <c r="A612" s="207"/>
      <c r="B612" s="207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210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</row>
    <row r="613" ht="15.75" customHeight="1">
      <c r="A613" s="207"/>
      <c r="B613" s="207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210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</row>
    <row r="614" ht="15.75" customHeight="1">
      <c r="A614" s="207"/>
      <c r="B614" s="207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210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</row>
    <row r="615" ht="15.75" customHeight="1">
      <c r="A615" s="207"/>
      <c r="B615" s="207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210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</row>
    <row r="616" ht="15.75" customHeight="1">
      <c r="A616" s="207"/>
      <c r="B616" s="207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210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</row>
    <row r="617" ht="15.75" customHeight="1">
      <c r="A617" s="207"/>
      <c r="B617" s="207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210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</row>
    <row r="618" ht="15.75" customHeight="1">
      <c r="A618" s="207"/>
      <c r="B618" s="207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210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</row>
    <row r="619" ht="15.75" customHeight="1">
      <c r="A619" s="207"/>
      <c r="B619" s="207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210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</row>
    <row r="620" ht="15.75" customHeight="1">
      <c r="A620" s="207"/>
      <c r="B620" s="207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210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</row>
    <row r="621" ht="15.75" customHeight="1">
      <c r="A621" s="207"/>
      <c r="B621" s="207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210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</row>
    <row r="622" ht="15.75" customHeight="1">
      <c r="A622" s="207"/>
      <c r="B622" s="207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210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</row>
    <row r="623" ht="15.75" customHeight="1">
      <c r="A623" s="207"/>
      <c r="B623" s="207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210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</row>
    <row r="624" ht="15.75" customHeight="1">
      <c r="A624" s="207"/>
      <c r="B624" s="207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210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</row>
    <row r="625" ht="15.75" customHeight="1">
      <c r="A625" s="207"/>
      <c r="B625" s="207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210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</row>
    <row r="626" ht="15.75" customHeight="1">
      <c r="A626" s="207"/>
      <c r="B626" s="207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210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</row>
    <row r="627" ht="15.75" customHeight="1">
      <c r="A627" s="207"/>
      <c r="B627" s="207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210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</row>
    <row r="628" ht="15.75" customHeight="1">
      <c r="A628" s="207"/>
      <c r="B628" s="207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210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</row>
    <row r="629" ht="15.75" customHeight="1">
      <c r="A629" s="207"/>
      <c r="B629" s="207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210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</row>
    <row r="630" ht="15.75" customHeight="1">
      <c r="A630" s="207"/>
      <c r="B630" s="207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210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</row>
    <row r="631" ht="15.75" customHeight="1">
      <c r="A631" s="207"/>
      <c r="B631" s="207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210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</row>
    <row r="632" ht="15.75" customHeight="1">
      <c r="A632" s="207"/>
      <c r="B632" s="207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210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</row>
    <row r="633" ht="15.75" customHeight="1">
      <c r="A633" s="207"/>
      <c r="B633" s="207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210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</row>
    <row r="634" ht="15.75" customHeight="1">
      <c r="A634" s="207"/>
      <c r="B634" s="207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210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</row>
    <row r="635" ht="15.75" customHeight="1">
      <c r="A635" s="207"/>
      <c r="B635" s="207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210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</row>
    <row r="636" ht="15.75" customHeight="1">
      <c r="A636" s="207"/>
      <c r="B636" s="207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210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</row>
    <row r="637" ht="15.75" customHeight="1">
      <c r="A637" s="207"/>
      <c r="B637" s="207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210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</row>
    <row r="638" ht="15.75" customHeight="1">
      <c r="A638" s="207"/>
      <c r="B638" s="207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210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</row>
    <row r="639" ht="15.75" customHeight="1">
      <c r="A639" s="207"/>
      <c r="B639" s="207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210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</row>
    <row r="640" ht="15.75" customHeight="1">
      <c r="A640" s="207"/>
      <c r="B640" s="207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210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</row>
    <row r="641" ht="15.75" customHeight="1">
      <c r="A641" s="207"/>
      <c r="B641" s="207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210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</row>
    <row r="642" ht="15.75" customHeight="1">
      <c r="A642" s="207"/>
      <c r="B642" s="207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210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</row>
    <row r="643" ht="15.75" customHeight="1">
      <c r="A643" s="207"/>
      <c r="B643" s="207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210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</row>
    <row r="644" ht="15.75" customHeight="1">
      <c r="A644" s="207"/>
      <c r="B644" s="207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210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</row>
    <row r="645" ht="15.75" customHeight="1">
      <c r="A645" s="207"/>
      <c r="B645" s="207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210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</row>
    <row r="646" ht="15.75" customHeight="1">
      <c r="A646" s="207"/>
      <c r="B646" s="207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210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</row>
    <row r="647" ht="15.75" customHeight="1">
      <c r="A647" s="207"/>
      <c r="B647" s="207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210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</row>
    <row r="648" ht="15.75" customHeight="1">
      <c r="A648" s="207"/>
      <c r="B648" s="207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210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</row>
    <row r="649" ht="15.75" customHeight="1">
      <c r="A649" s="207"/>
      <c r="B649" s="207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210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</row>
    <row r="650" ht="15.75" customHeight="1">
      <c r="A650" s="207"/>
      <c r="B650" s="207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210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</row>
    <row r="651" ht="15.75" customHeight="1">
      <c r="A651" s="207"/>
      <c r="B651" s="207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210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</row>
    <row r="652" ht="15.75" customHeight="1">
      <c r="A652" s="207"/>
      <c r="B652" s="207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210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</row>
    <row r="653" ht="15.75" customHeight="1">
      <c r="A653" s="207"/>
      <c r="B653" s="207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210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</row>
    <row r="654" ht="15.75" customHeight="1">
      <c r="A654" s="207"/>
      <c r="B654" s="207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210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</row>
    <row r="655" ht="15.75" customHeight="1">
      <c r="A655" s="207"/>
      <c r="B655" s="207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210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</row>
    <row r="656" ht="15.75" customHeight="1">
      <c r="A656" s="207"/>
      <c r="B656" s="207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210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</row>
    <row r="657" ht="15.75" customHeight="1">
      <c r="A657" s="207"/>
      <c r="B657" s="207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210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</row>
    <row r="658" ht="15.75" customHeight="1">
      <c r="A658" s="207"/>
      <c r="B658" s="207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210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</row>
    <row r="659" ht="15.75" customHeight="1">
      <c r="A659" s="207"/>
      <c r="B659" s="207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210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</row>
    <row r="660" ht="15.75" customHeight="1">
      <c r="A660" s="207"/>
      <c r="B660" s="207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210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</row>
    <row r="661" ht="15.75" customHeight="1">
      <c r="A661" s="207"/>
      <c r="B661" s="207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210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</row>
    <row r="662" ht="15.75" customHeight="1">
      <c r="A662" s="207"/>
      <c r="B662" s="207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210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</row>
    <row r="663" ht="15.75" customHeight="1">
      <c r="A663" s="207"/>
      <c r="B663" s="207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210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</row>
    <row r="664" ht="15.75" customHeight="1">
      <c r="A664" s="207"/>
      <c r="B664" s="207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210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</row>
    <row r="665" ht="15.75" customHeight="1">
      <c r="A665" s="207"/>
      <c r="B665" s="207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210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</row>
    <row r="666" ht="15.75" customHeight="1">
      <c r="A666" s="207"/>
      <c r="B666" s="207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210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</row>
    <row r="667" ht="15.75" customHeight="1">
      <c r="A667" s="207"/>
      <c r="B667" s="207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210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</row>
    <row r="668" ht="15.75" customHeight="1">
      <c r="A668" s="207"/>
      <c r="B668" s="207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210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</row>
    <row r="669" ht="15.75" customHeight="1">
      <c r="A669" s="207"/>
      <c r="B669" s="207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210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</row>
    <row r="670" ht="15.75" customHeight="1">
      <c r="A670" s="207"/>
      <c r="B670" s="207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210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</row>
    <row r="671" ht="15.75" customHeight="1">
      <c r="A671" s="207"/>
      <c r="B671" s="207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210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</row>
    <row r="672" ht="15.75" customHeight="1">
      <c r="A672" s="207"/>
      <c r="B672" s="207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210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</row>
    <row r="673" ht="15.75" customHeight="1">
      <c r="A673" s="207"/>
      <c r="B673" s="207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210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</row>
    <row r="674" ht="15.75" customHeight="1">
      <c r="A674" s="207"/>
      <c r="B674" s="207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210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</row>
    <row r="675" ht="15.75" customHeight="1">
      <c r="A675" s="207"/>
      <c r="B675" s="207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210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</row>
    <row r="676" ht="15.75" customHeight="1">
      <c r="A676" s="207"/>
      <c r="B676" s="207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210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</row>
    <row r="677" ht="15.75" customHeight="1">
      <c r="A677" s="207"/>
      <c r="B677" s="207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210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</row>
    <row r="678" ht="15.75" customHeight="1">
      <c r="A678" s="207"/>
      <c r="B678" s="207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210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</row>
    <row r="679" ht="15.75" customHeight="1">
      <c r="A679" s="207"/>
      <c r="B679" s="207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210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</row>
    <row r="680" ht="15.75" customHeight="1">
      <c r="A680" s="207"/>
      <c r="B680" s="207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210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</row>
    <row r="681" ht="15.75" customHeight="1">
      <c r="A681" s="207"/>
      <c r="B681" s="207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210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</row>
    <row r="682" ht="15.75" customHeight="1">
      <c r="A682" s="207"/>
      <c r="B682" s="207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210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</row>
    <row r="683" ht="15.75" customHeight="1">
      <c r="A683" s="207"/>
      <c r="B683" s="207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210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</row>
    <row r="684" ht="15.75" customHeight="1">
      <c r="A684" s="207"/>
      <c r="B684" s="207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210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</row>
    <row r="685" ht="15.75" customHeight="1">
      <c r="A685" s="207"/>
      <c r="B685" s="207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210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</row>
    <row r="686" ht="15.75" customHeight="1">
      <c r="A686" s="207"/>
      <c r="B686" s="207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210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</row>
    <row r="687" ht="15.75" customHeight="1">
      <c r="A687" s="207"/>
      <c r="B687" s="207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210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</row>
    <row r="688" ht="15.75" customHeight="1">
      <c r="A688" s="207"/>
      <c r="B688" s="207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210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</row>
    <row r="689" ht="15.75" customHeight="1">
      <c r="A689" s="207"/>
      <c r="B689" s="207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210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</row>
    <row r="690" ht="15.75" customHeight="1">
      <c r="A690" s="207"/>
      <c r="B690" s="207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210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</row>
    <row r="691" ht="15.75" customHeight="1">
      <c r="A691" s="207"/>
      <c r="B691" s="207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210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</row>
    <row r="692" ht="15.75" customHeight="1">
      <c r="A692" s="207"/>
      <c r="B692" s="207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210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</row>
    <row r="693" ht="15.75" customHeight="1">
      <c r="A693" s="207"/>
      <c r="B693" s="207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210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</row>
    <row r="694" ht="15.75" customHeight="1">
      <c r="A694" s="207"/>
      <c r="B694" s="207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210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</row>
    <row r="695" ht="15.75" customHeight="1">
      <c r="A695" s="207"/>
      <c r="B695" s="207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210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</row>
    <row r="696" ht="15.75" customHeight="1">
      <c r="A696" s="207"/>
      <c r="B696" s="207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210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</row>
    <row r="697" ht="15.75" customHeight="1">
      <c r="A697" s="207"/>
      <c r="B697" s="207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210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</row>
    <row r="698" ht="15.75" customHeight="1">
      <c r="A698" s="207"/>
      <c r="B698" s="207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210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</row>
    <row r="699" ht="15.75" customHeight="1">
      <c r="A699" s="207"/>
      <c r="B699" s="207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210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</row>
    <row r="700" ht="15.75" customHeight="1">
      <c r="A700" s="207"/>
      <c r="B700" s="207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210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</row>
    <row r="701" ht="15.75" customHeight="1">
      <c r="A701" s="207"/>
      <c r="B701" s="207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210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</row>
    <row r="702" ht="15.75" customHeight="1">
      <c r="A702" s="207"/>
      <c r="B702" s="207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210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</row>
    <row r="703" ht="15.75" customHeight="1">
      <c r="A703" s="207"/>
      <c r="B703" s="207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210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</row>
    <row r="704" ht="15.75" customHeight="1">
      <c r="A704" s="207"/>
      <c r="B704" s="207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210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</row>
    <row r="705" ht="15.75" customHeight="1">
      <c r="A705" s="207"/>
      <c r="B705" s="207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210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</row>
    <row r="706" ht="15.75" customHeight="1">
      <c r="A706" s="207"/>
      <c r="B706" s="207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210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</row>
    <row r="707" ht="15.75" customHeight="1">
      <c r="A707" s="207"/>
      <c r="B707" s="207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210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</row>
    <row r="708" ht="15.75" customHeight="1">
      <c r="A708" s="207"/>
      <c r="B708" s="207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210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</row>
    <row r="709" ht="15.75" customHeight="1">
      <c r="A709" s="207"/>
      <c r="B709" s="207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210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</row>
    <row r="710" ht="15.75" customHeight="1">
      <c r="A710" s="207"/>
      <c r="B710" s="207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210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</row>
    <row r="711" ht="15.75" customHeight="1">
      <c r="A711" s="207"/>
      <c r="B711" s="207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210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</row>
    <row r="712" ht="15.75" customHeight="1">
      <c r="A712" s="207"/>
      <c r="B712" s="207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210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</row>
    <row r="713" ht="15.75" customHeight="1">
      <c r="A713" s="207"/>
      <c r="B713" s="207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210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</row>
    <row r="714" ht="15.75" customHeight="1">
      <c r="A714" s="207"/>
      <c r="B714" s="207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210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</row>
    <row r="715" ht="15.75" customHeight="1">
      <c r="A715" s="207"/>
      <c r="B715" s="207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210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</row>
    <row r="716" ht="15.75" customHeight="1">
      <c r="A716" s="207"/>
      <c r="B716" s="207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210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</row>
    <row r="717" ht="15.75" customHeight="1">
      <c r="A717" s="207"/>
      <c r="B717" s="207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210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</row>
    <row r="718" ht="15.75" customHeight="1">
      <c r="A718" s="207"/>
      <c r="B718" s="207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210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</row>
    <row r="719" ht="15.75" customHeight="1">
      <c r="A719" s="207"/>
      <c r="B719" s="207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210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</row>
    <row r="720" ht="15.75" customHeight="1">
      <c r="A720" s="207"/>
      <c r="B720" s="207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210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</row>
    <row r="721" ht="15.75" customHeight="1">
      <c r="A721" s="207"/>
      <c r="B721" s="207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210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</row>
    <row r="722" ht="15.75" customHeight="1">
      <c r="A722" s="207"/>
      <c r="B722" s="207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210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</row>
    <row r="723" ht="15.75" customHeight="1">
      <c r="A723" s="207"/>
      <c r="B723" s="207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210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</row>
    <row r="724" ht="15.75" customHeight="1">
      <c r="A724" s="207"/>
      <c r="B724" s="207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210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</row>
    <row r="725" ht="15.75" customHeight="1">
      <c r="A725" s="207"/>
      <c r="B725" s="207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210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</row>
    <row r="726" ht="15.75" customHeight="1">
      <c r="A726" s="207"/>
      <c r="B726" s="207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210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</row>
    <row r="727" ht="15.75" customHeight="1">
      <c r="A727" s="207"/>
      <c r="B727" s="207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210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</row>
    <row r="728" ht="15.75" customHeight="1">
      <c r="A728" s="207"/>
      <c r="B728" s="207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210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</row>
    <row r="729" ht="15.75" customHeight="1">
      <c r="A729" s="207"/>
      <c r="B729" s="207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210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</row>
    <row r="730" ht="15.75" customHeight="1">
      <c r="A730" s="207"/>
      <c r="B730" s="207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210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</row>
    <row r="731" ht="15.75" customHeight="1">
      <c r="A731" s="207"/>
      <c r="B731" s="207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210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</row>
    <row r="732" ht="15.75" customHeight="1">
      <c r="A732" s="207"/>
      <c r="B732" s="207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210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</row>
    <row r="733" ht="15.75" customHeight="1">
      <c r="A733" s="207"/>
      <c r="B733" s="207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210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</row>
    <row r="734" ht="15.75" customHeight="1">
      <c r="A734" s="207"/>
      <c r="B734" s="207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210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</row>
    <row r="735" ht="15.75" customHeight="1">
      <c r="A735" s="207"/>
      <c r="B735" s="207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210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</row>
    <row r="736" ht="15.75" customHeight="1">
      <c r="A736" s="207"/>
      <c r="B736" s="207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210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</row>
    <row r="737" ht="15.75" customHeight="1">
      <c r="A737" s="207"/>
      <c r="B737" s="207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210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</row>
    <row r="738" ht="15.75" customHeight="1">
      <c r="A738" s="207"/>
      <c r="B738" s="207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210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</row>
    <row r="739" ht="15.75" customHeight="1">
      <c r="A739" s="207"/>
      <c r="B739" s="207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210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</row>
    <row r="740" ht="15.75" customHeight="1">
      <c r="A740" s="207"/>
      <c r="B740" s="207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210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</row>
    <row r="741" ht="15.75" customHeight="1">
      <c r="A741" s="207"/>
      <c r="B741" s="207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210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</row>
    <row r="742" ht="15.75" customHeight="1">
      <c r="A742" s="207"/>
      <c r="B742" s="207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210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</row>
    <row r="743" ht="15.75" customHeight="1">
      <c r="A743" s="207"/>
      <c r="B743" s="207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210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</row>
    <row r="744" ht="15.75" customHeight="1">
      <c r="A744" s="207"/>
      <c r="B744" s="207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210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</row>
    <row r="745" ht="15.75" customHeight="1">
      <c r="A745" s="207"/>
      <c r="B745" s="207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210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</row>
    <row r="746" ht="15.75" customHeight="1">
      <c r="A746" s="207"/>
      <c r="B746" s="207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210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</row>
    <row r="747" ht="15.75" customHeight="1">
      <c r="A747" s="207"/>
      <c r="B747" s="207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210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</row>
    <row r="748" ht="15.75" customHeight="1">
      <c r="A748" s="207"/>
      <c r="B748" s="207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210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</row>
    <row r="749" ht="15.75" customHeight="1">
      <c r="A749" s="207"/>
      <c r="B749" s="207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210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</row>
    <row r="750" ht="15.75" customHeight="1">
      <c r="A750" s="207"/>
      <c r="B750" s="207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210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</row>
    <row r="751" ht="15.75" customHeight="1">
      <c r="A751" s="207"/>
      <c r="B751" s="207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210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</row>
    <row r="752" ht="15.75" customHeight="1">
      <c r="A752" s="207"/>
      <c r="B752" s="207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210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</row>
    <row r="753" ht="15.75" customHeight="1">
      <c r="A753" s="207"/>
      <c r="B753" s="207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210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</row>
    <row r="754" ht="15.75" customHeight="1">
      <c r="A754" s="207"/>
      <c r="B754" s="207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210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</row>
    <row r="755" ht="15.75" customHeight="1">
      <c r="A755" s="207"/>
      <c r="B755" s="207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210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</row>
    <row r="756" ht="15.75" customHeight="1">
      <c r="A756" s="207"/>
      <c r="B756" s="207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210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</row>
    <row r="757" ht="15.75" customHeight="1">
      <c r="A757" s="207"/>
      <c r="B757" s="207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210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</row>
    <row r="758" ht="15.75" customHeight="1">
      <c r="A758" s="207"/>
      <c r="B758" s="207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210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</row>
    <row r="759" ht="15.75" customHeight="1">
      <c r="A759" s="207"/>
      <c r="B759" s="207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210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</row>
    <row r="760" ht="15.75" customHeight="1">
      <c r="A760" s="207"/>
      <c r="B760" s="207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210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</row>
    <row r="761" ht="15.75" customHeight="1">
      <c r="A761" s="207"/>
      <c r="B761" s="207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210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</row>
    <row r="762" ht="15.75" customHeight="1">
      <c r="A762" s="207"/>
      <c r="B762" s="207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210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</row>
    <row r="763" ht="15.75" customHeight="1">
      <c r="A763" s="207"/>
      <c r="B763" s="207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210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</row>
    <row r="764" ht="15.75" customHeight="1">
      <c r="A764" s="207"/>
      <c r="B764" s="207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210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</row>
    <row r="765" ht="15.75" customHeight="1">
      <c r="A765" s="207"/>
      <c r="B765" s="207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210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</row>
    <row r="766" ht="15.75" customHeight="1">
      <c r="A766" s="207"/>
      <c r="B766" s="207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210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</row>
    <row r="767" ht="15.75" customHeight="1">
      <c r="A767" s="207"/>
      <c r="B767" s="207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210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</row>
    <row r="768" ht="15.75" customHeight="1">
      <c r="A768" s="207"/>
      <c r="B768" s="207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210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</row>
    <row r="769" ht="15.75" customHeight="1">
      <c r="A769" s="207"/>
      <c r="B769" s="207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210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</row>
    <row r="770" ht="15.75" customHeight="1">
      <c r="A770" s="207"/>
      <c r="B770" s="207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210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</row>
    <row r="771" ht="15.75" customHeight="1">
      <c r="A771" s="207"/>
      <c r="B771" s="207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210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</row>
    <row r="772" ht="15.75" customHeight="1">
      <c r="A772" s="207"/>
      <c r="B772" s="207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210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</row>
    <row r="773" ht="15.75" customHeight="1">
      <c r="A773" s="207"/>
      <c r="B773" s="207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210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</row>
    <row r="774" ht="15.75" customHeight="1">
      <c r="A774" s="207"/>
      <c r="B774" s="207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210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</row>
    <row r="775" ht="15.75" customHeight="1">
      <c r="A775" s="207"/>
      <c r="B775" s="207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210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</row>
    <row r="776" ht="15.75" customHeight="1">
      <c r="A776" s="207"/>
      <c r="B776" s="207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210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</row>
    <row r="777" ht="15.75" customHeight="1">
      <c r="A777" s="207"/>
      <c r="B777" s="207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210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</row>
    <row r="778" ht="15.75" customHeight="1">
      <c r="A778" s="207"/>
      <c r="B778" s="207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210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</row>
    <row r="779" ht="15.75" customHeight="1">
      <c r="A779" s="207"/>
      <c r="B779" s="207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210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</row>
    <row r="780" ht="15.75" customHeight="1">
      <c r="A780" s="207"/>
      <c r="B780" s="207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210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</row>
    <row r="781" ht="15.75" customHeight="1">
      <c r="A781" s="207"/>
      <c r="B781" s="207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210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</row>
    <row r="782" ht="15.75" customHeight="1">
      <c r="A782" s="207"/>
      <c r="B782" s="207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210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</row>
    <row r="783" ht="15.75" customHeight="1">
      <c r="A783" s="207"/>
      <c r="B783" s="207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210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</row>
    <row r="784" ht="15.75" customHeight="1">
      <c r="A784" s="207"/>
      <c r="B784" s="207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210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</row>
    <row r="785" ht="15.75" customHeight="1">
      <c r="A785" s="207"/>
      <c r="B785" s="207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210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</row>
    <row r="786" ht="15.75" customHeight="1">
      <c r="A786" s="207"/>
      <c r="B786" s="207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210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</row>
    <row r="787" ht="15.75" customHeight="1">
      <c r="A787" s="207"/>
      <c r="B787" s="207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210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</row>
    <row r="788" ht="15.75" customHeight="1">
      <c r="A788" s="207"/>
      <c r="B788" s="207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210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</row>
    <row r="789" ht="15.75" customHeight="1">
      <c r="A789" s="207"/>
      <c r="B789" s="207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210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</row>
    <row r="790" ht="15.75" customHeight="1">
      <c r="A790" s="207"/>
      <c r="B790" s="207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210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</row>
    <row r="791" ht="15.75" customHeight="1">
      <c r="A791" s="207"/>
      <c r="B791" s="207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210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</row>
    <row r="792" ht="15.75" customHeight="1">
      <c r="A792" s="207"/>
      <c r="B792" s="207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210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</row>
    <row r="793" ht="15.75" customHeight="1">
      <c r="A793" s="207"/>
      <c r="B793" s="207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210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</row>
    <row r="794" ht="15.75" customHeight="1">
      <c r="A794" s="207"/>
      <c r="B794" s="207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210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</row>
    <row r="795" ht="15.75" customHeight="1">
      <c r="A795" s="207"/>
      <c r="B795" s="207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210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</row>
    <row r="796" ht="15.75" customHeight="1">
      <c r="A796" s="207"/>
      <c r="B796" s="207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210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</row>
    <row r="797" ht="15.75" customHeight="1">
      <c r="A797" s="207"/>
      <c r="B797" s="207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210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</row>
    <row r="798" ht="15.75" customHeight="1">
      <c r="A798" s="207"/>
      <c r="B798" s="207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210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</row>
    <row r="799" ht="15.75" customHeight="1">
      <c r="A799" s="207"/>
      <c r="B799" s="207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210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</row>
    <row r="800" ht="15.75" customHeight="1">
      <c r="A800" s="207"/>
      <c r="B800" s="207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210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</row>
    <row r="801" ht="15.75" customHeight="1">
      <c r="A801" s="207"/>
      <c r="B801" s="207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210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</row>
    <row r="802" ht="15.75" customHeight="1">
      <c r="A802" s="207"/>
      <c r="B802" s="207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210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</row>
    <row r="803" ht="15.75" customHeight="1">
      <c r="A803" s="207"/>
      <c r="B803" s="207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210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</row>
    <row r="804" ht="15.75" customHeight="1">
      <c r="A804" s="207"/>
      <c r="B804" s="207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210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</row>
    <row r="805" ht="15.75" customHeight="1">
      <c r="A805" s="207"/>
      <c r="B805" s="207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210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</row>
    <row r="806" ht="15.75" customHeight="1">
      <c r="A806" s="207"/>
      <c r="B806" s="207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210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</row>
    <row r="807" ht="15.75" customHeight="1">
      <c r="A807" s="207"/>
      <c r="B807" s="207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210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</row>
    <row r="808" ht="15.75" customHeight="1">
      <c r="A808" s="207"/>
      <c r="B808" s="207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210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</row>
    <row r="809" ht="15.75" customHeight="1">
      <c r="A809" s="207"/>
      <c r="B809" s="207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210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</row>
    <row r="810" ht="15.75" customHeight="1">
      <c r="A810" s="207"/>
      <c r="B810" s="207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210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</row>
    <row r="811" ht="15.75" customHeight="1">
      <c r="A811" s="207"/>
      <c r="B811" s="207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210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</row>
    <row r="812" ht="15.75" customHeight="1">
      <c r="A812" s="207"/>
      <c r="B812" s="207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210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</row>
    <row r="813" ht="15.75" customHeight="1">
      <c r="A813" s="207"/>
      <c r="B813" s="207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210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</row>
    <row r="814" ht="15.75" customHeight="1">
      <c r="A814" s="207"/>
      <c r="B814" s="207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210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</row>
    <row r="815" ht="15.75" customHeight="1">
      <c r="A815" s="207"/>
      <c r="B815" s="207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210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</row>
    <row r="816" ht="15.75" customHeight="1">
      <c r="A816" s="207"/>
      <c r="B816" s="207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210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</row>
    <row r="817" ht="15.75" customHeight="1">
      <c r="A817" s="207"/>
      <c r="B817" s="207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210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</row>
    <row r="818" ht="15.75" customHeight="1">
      <c r="A818" s="207"/>
      <c r="B818" s="207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210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</row>
    <row r="819" ht="15.75" customHeight="1">
      <c r="A819" s="207"/>
      <c r="B819" s="207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210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</row>
    <row r="820" ht="15.75" customHeight="1">
      <c r="A820" s="207"/>
      <c r="B820" s="207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210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</row>
    <row r="821" ht="15.75" customHeight="1">
      <c r="A821" s="207"/>
      <c r="B821" s="207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210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</row>
    <row r="822" ht="15.75" customHeight="1">
      <c r="A822" s="207"/>
      <c r="B822" s="207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210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</row>
    <row r="823" ht="15.75" customHeight="1">
      <c r="A823" s="207"/>
      <c r="B823" s="207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210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</row>
    <row r="824" ht="15.75" customHeight="1">
      <c r="A824" s="207"/>
      <c r="B824" s="207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210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</row>
    <row r="825" ht="15.75" customHeight="1">
      <c r="A825" s="207"/>
      <c r="B825" s="207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210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</row>
    <row r="826" ht="15.75" customHeight="1">
      <c r="A826" s="207"/>
      <c r="B826" s="207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210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</row>
    <row r="827" ht="15.75" customHeight="1">
      <c r="A827" s="207"/>
      <c r="B827" s="207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210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</row>
    <row r="828" ht="15.75" customHeight="1">
      <c r="A828" s="207"/>
      <c r="B828" s="207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210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</row>
    <row r="829" ht="15.75" customHeight="1">
      <c r="A829" s="207"/>
      <c r="B829" s="207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210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</row>
    <row r="830" ht="15.75" customHeight="1">
      <c r="A830" s="207"/>
      <c r="B830" s="207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210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</row>
    <row r="831" ht="15.75" customHeight="1">
      <c r="A831" s="207"/>
      <c r="B831" s="207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210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</row>
    <row r="832" ht="15.75" customHeight="1">
      <c r="A832" s="207"/>
      <c r="B832" s="207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210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</row>
    <row r="833" ht="15.75" customHeight="1">
      <c r="A833" s="207"/>
      <c r="B833" s="207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210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</row>
    <row r="834" ht="15.75" customHeight="1">
      <c r="A834" s="207"/>
      <c r="B834" s="207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210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</row>
    <row r="835" ht="15.75" customHeight="1">
      <c r="A835" s="207"/>
      <c r="B835" s="207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210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</row>
    <row r="836" ht="15.75" customHeight="1">
      <c r="A836" s="207"/>
      <c r="B836" s="207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210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</row>
    <row r="837" ht="15.75" customHeight="1">
      <c r="A837" s="207"/>
      <c r="B837" s="207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210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</row>
    <row r="838" ht="15.75" customHeight="1">
      <c r="A838" s="207"/>
      <c r="B838" s="207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210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</row>
    <row r="839" ht="15.75" customHeight="1">
      <c r="A839" s="207"/>
      <c r="B839" s="207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210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</row>
    <row r="840" ht="15.75" customHeight="1">
      <c r="A840" s="207"/>
      <c r="B840" s="207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210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</row>
    <row r="841" ht="15.75" customHeight="1">
      <c r="A841" s="207"/>
      <c r="B841" s="207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210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</row>
    <row r="842" ht="15.75" customHeight="1">
      <c r="A842" s="207"/>
      <c r="B842" s="207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210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</row>
    <row r="843" ht="15.75" customHeight="1">
      <c r="A843" s="207"/>
      <c r="B843" s="207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210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</row>
    <row r="844" ht="15.75" customHeight="1">
      <c r="A844" s="207"/>
      <c r="B844" s="207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210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</row>
    <row r="845" ht="15.75" customHeight="1">
      <c r="A845" s="207"/>
      <c r="B845" s="207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210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</row>
    <row r="846" ht="15.75" customHeight="1">
      <c r="A846" s="207"/>
      <c r="B846" s="207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210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</row>
    <row r="847" ht="15.75" customHeight="1">
      <c r="A847" s="207"/>
      <c r="B847" s="207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210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</row>
    <row r="848" ht="15.75" customHeight="1">
      <c r="A848" s="207"/>
      <c r="B848" s="207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210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</row>
    <row r="849" ht="15.75" customHeight="1">
      <c r="A849" s="207"/>
      <c r="B849" s="207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210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</row>
    <row r="850" ht="15.75" customHeight="1">
      <c r="A850" s="207"/>
      <c r="B850" s="207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210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</row>
    <row r="851" ht="15.75" customHeight="1">
      <c r="A851" s="207"/>
      <c r="B851" s="207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210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</row>
    <row r="852" ht="15.75" customHeight="1">
      <c r="A852" s="207"/>
      <c r="B852" s="207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210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</row>
    <row r="853" ht="15.75" customHeight="1">
      <c r="A853" s="207"/>
      <c r="B853" s="207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210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</row>
    <row r="854" ht="15.75" customHeight="1">
      <c r="A854" s="207"/>
      <c r="B854" s="207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210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</row>
    <row r="855" ht="15.75" customHeight="1">
      <c r="A855" s="207"/>
      <c r="B855" s="207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210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</row>
    <row r="856" ht="15.75" customHeight="1">
      <c r="A856" s="207"/>
      <c r="B856" s="207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210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</row>
    <row r="857" ht="15.75" customHeight="1">
      <c r="A857" s="207"/>
      <c r="B857" s="207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210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</row>
    <row r="858" ht="15.75" customHeight="1">
      <c r="A858" s="207"/>
      <c r="B858" s="207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210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</row>
    <row r="859" ht="15.75" customHeight="1">
      <c r="A859" s="207"/>
      <c r="B859" s="207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210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</row>
    <row r="860" ht="15.75" customHeight="1">
      <c r="A860" s="207"/>
      <c r="B860" s="207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210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</row>
    <row r="861" ht="15.75" customHeight="1">
      <c r="A861" s="207"/>
      <c r="B861" s="207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210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</row>
    <row r="862" ht="15.75" customHeight="1">
      <c r="A862" s="207"/>
      <c r="B862" s="207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210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</row>
    <row r="863" ht="15.75" customHeight="1">
      <c r="A863" s="207"/>
      <c r="B863" s="207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210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</row>
    <row r="864" ht="15.75" customHeight="1">
      <c r="A864" s="207"/>
      <c r="B864" s="207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210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</row>
    <row r="865" ht="15.75" customHeight="1">
      <c r="A865" s="207"/>
      <c r="B865" s="207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210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</row>
    <row r="866" ht="15.75" customHeight="1">
      <c r="A866" s="207"/>
      <c r="B866" s="207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210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</row>
    <row r="867" ht="15.75" customHeight="1">
      <c r="A867" s="207"/>
      <c r="B867" s="207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210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</row>
    <row r="868" ht="15.75" customHeight="1">
      <c r="A868" s="207"/>
      <c r="B868" s="207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210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</row>
    <row r="869" ht="15.75" customHeight="1">
      <c r="A869" s="207"/>
      <c r="B869" s="207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210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</row>
    <row r="870" ht="15.75" customHeight="1">
      <c r="A870" s="207"/>
      <c r="B870" s="207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210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</row>
    <row r="871" ht="15.75" customHeight="1">
      <c r="A871" s="207"/>
      <c r="B871" s="207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210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</row>
    <row r="872" ht="15.75" customHeight="1">
      <c r="A872" s="207"/>
      <c r="B872" s="207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210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</row>
    <row r="873" ht="15.75" customHeight="1">
      <c r="A873" s="207"/>
      <c r="B873" s="207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210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</row>
    <row r="874" ht="15.75" customHeight="1">
      <c r="A874" s="207"/>
      <c r="B874" s="207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210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</row>
    <row r="875" ht="15.75" customHeight="1">
      <c r="A875" s="207"/>
      <c r="B875" s="207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210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</row>
    <row r="876" ht="15.75" customHeight="1">
      <c r="A876" s="207"/>
      <c r="B876" s="207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210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</row>
    <row r="877" ht="15.75" customHeight="1">
      <c r="A877" s="207"/>
      <c r="B877" s="207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210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</row>
    <row r="878" ht="15.75" customHeight="1">
      <c r="A878" s="207"/>
      <c r="B878" s="207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210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</row>
    <row r="879" ht="15.75" customHeight="1">
      <c r="A879" s="207"/>
      <c r="B879" s="207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210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</row>
    <row r="880" ht="15.75" customHeight="1">
      <c r="A880" s="207"/>
      <c r="B880" s="207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210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</row>
    <row r="881" ht="15.75" customHeight="1">
      <c r="A881" s="207"/>
      <c r="B881" s="207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210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</row>
    <row r="882" ht="15.75" customHeight="1">
      <c r="A882" s="207"/>
      <c r="B882" s="207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210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</row>
    <row r="883" ht="15.75" customHeight="1">
      <c r="A883" s="207"/>
      <c r="B883" s="207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210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</row>
    <row r="884" ht="15.75" customHeight="1">
      <c r="A884" s="207"/>
      <c r="B884" s="207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210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</row>
    <row r="885" ht="15.75" customHeight="1">
      <c r="A885" s="207"/>
      <c r="B885" s="207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210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</row>
    <row r="886" ht="15.75" customHeight="1">
      <c r="A886" s="207"/>
      <c r="B886" s="207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210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</row>
    <row r="887" ht="15.75" customHeight="1">
      <c r="A887" s="207"/>
      <c r="B887" s="207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210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</row>
    <row r="888" ht="15.75" customHeight="1">
      <c r="A888" s="207"/>
      <c r="B888" s="207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210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</row>
    <row r="889" ht="15.75" customHeight="1">
      <c r="A889" s="207"/>
      <c r="B889" s="207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210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</row>
    <row r="890" ht="15.75" customHeight="1">
      <c r="A890" s="207"/>
      <c r="B890" s="207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210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</row>
    <row r="891" ht="15.75" customHeight="1">
      <c r="A891" s="207"/>
      <c r="B891" s="207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210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</row>
    <row r="892" ht="15.75" customHeight="1">
      <c r="A892" s="207"/>
      <c r="B892" s="207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210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</row>
    <row r="893" ht="15.75" customHeight="1">
      <c r="A893" s="207"/>
      <c r="B893" s="207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210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</row>
    <row r="894" ht="15.75" customHeight="1">
      <c r="A894" s="207"/>
      <c r="B894" s="207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210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</row>
    <row r="895" ht="15.75" customHeight="1">
      <c r="A895" s="207"/>
      <c r="B895" s="207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210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</row>
    <row r="896" ht="15.75" customHeight="1">
      <c r="A896" s="207"/>
      <c r="B896" s="207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210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</row>
    <row r="897" ht="15.75" customHeight="1">
      <c r="A897" s="207"/>
      <c r="B897" s="207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210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</row>
    <row r="898" ht="15.75" customHeight="1">
      <c r="A898" s="207"/>
      <c r="B898" s="207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210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</row>
    <row r="899" ht="15.75" customHeight="1">
      <c r="A899" s="207"/>
      <c r="B899" s="207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210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</row>
    <row r="900" ht="15.75" customHeight="1">
      <c r="A900" s="207"/>
      <c r="B900" s="207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210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</row>
    <row r="901" ht="15.75" customHeight="1">
      <c r="A901" s="207"/>
      <c r="B901" s="207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210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</row>
    <row r="902" ht="15.75" customHeight="1">
      <c r="A902" s="207"/>
      <c r="B902" s="207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210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</row>
    <row r="903" ht="15.75" customHeight="1">
      <c r="A903" s="207"/>
      <c r="B903" s="207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210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</row>
    <row r="904" ht="15.75" customHeight="1">
      <c r="A904" s="207"/>
      <c r="B904" s="207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210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</row>
    <row r="905" ht="15.75" customHeight="1">
      <c r="A905" s="207"/>
      <c r="B905" s="207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210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</row>
    <row r="906" ht="15.75" customHeight="1">
      <c r="A906" s="207"/>
      <c r="B906" s="207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210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</row>
    <row r="907" ht="15.75" customHeight="1">
      <c r="A907" s="207"/>
      <c r="B907" s="207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210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</row>
    <row r="908" ht="15.75" customHeight="1">
      <c r="A908" s="207"/>
      <c r="B908" s="207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210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</row>
    <row r="909" ht="15.75" customHeight="1">
      <c r="A909" s="207"/>
      <c r="B909" s="207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210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</row>
    <row r="910" ht="15.75" customHeight="1">
      <c r="A910" s="207"/>
      <c r="B910" s="207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210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</row>
    <row r="911" ht="15.75" customHeight="1">
      <c r="A911" s="207"/>
      <c r="B911" s="207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210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</row>
    <row r="912" ht="15.75" customHeight="1">
      <c r="A912" s="207"/>
      <c r="B912" s="207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210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</row>
    <row r="913" ht="15.75" customHeight="1">
      <c r="A913" s="207"/>
      <c r="B913" s="207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210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</row>
    <row r="914" ht="15.75" customHeight="1">
      <c r="A914" s="207"/>
      <c r="B914" s="207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210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</row>
    <row r="915" ht="15.75" customHeight="1">
      <c r="A915" s="207"/>
      <c r="B915" s="207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210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</row>
    <row r="916" ht="15.75" customHeight="1">
      <c r="A916" s="207"/>
      <c r="B916" s="207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210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</row>
    <row r="917" ht="15.75" customHeight="1">
      <c r="A917" s="207"/>
      <c r="B917" s="207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210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</row>
    <row r="918" ht="15.75" customHeight="1">
      <c r="A918" s="207"/>
      <c r="B918" s="207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210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</row>
    <row r="919" ht="15.75" customHeight="1">
      <c r="A919" s="207"/>
      <c r="B919" s="207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210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</row>
    <row r="920" ht="15.75" customHeight="1">
      <c r="A920" s="207"/>
      <c r="B920" s="207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210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</row>
    <row r="921" ht="15.75" customHeight="1">
      <c r="A921" s="207"/>
      <c r="B921" s="207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210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</row>
    <row r="922" ht="15.75" customHeight="1">
      <c r="A922" s="207"/>
      <c r="B922" s="207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210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</row>
    <row r="923" ht="15.75" customHeight="1">
      <c r="A923" s="207"/>
      <c r="B923" s="207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210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</row>
    <row r="924" ht="15.75" customHeight="1">
      <c r="A924" s="207"/>
      <c r="B924" s="207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210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</row>
    <row r="925" ht="15.75" customHeight="1">
      <c r="A925" s="207"/>
      <c r="B925" s="207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210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</row>
    <row r="926" ht="15.75" customHeight="1">
      <c r="A926" s="207"/>
      <c r="B926" s="207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210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</row>
    <row r="927" ht="15.75" customHeight="1">
      <c r="A927" s="207"/>
      <c r="B927" s="207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210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</row>
    <row r="928" ht="15.75" customHeight="1">
      <c r="A928" s="207"/>
      <c r="B928" s="207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210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</row>
    <row r="929" ht="15.75" customHeight="1">
      <c r="A929" s="207"/>
      <c r="B929" s="207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210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</row>
    <row r="930" ht="15.75" customHeight="1">
      <c r="A930" s="207"/>
      <c r="B930" s="207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210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</row>
    <row r="931" ht="15.75" customHeight="1">
      <c r="A931" s="207"/>
      <c r="B931" s="207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210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</row>
    <row r="932" ht="15.75" customHeight="1">
      <c r="A932" s="207"/>
      <c r="B932" s="207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210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</row>
    <row r="933" ht="15.75" customHeight="1">
      <c r="A933" s="207"/>
      <c r="B933" s="207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210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</row>
    <row r="934" ht="15.75" customHeight="1">
      <c r="A934" s="207"/>
      <c r="B934" s="207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210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</row>
    <row r="935" ht="15.75" customHeight="1">
      <c r="A935" s="207"/>
      <c r="B935" s="207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210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</row>
    <row r="936" ht="15.75" customHeight="1">
      <c r="A936" s="207"/>
      <c r="B936" s="207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210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</row>
    <row r="937" ht="15.75" customHeight="1">
      <c r="A937" s="207"/>
      <c r="B937" s="207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210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</row>
    <row r="938" ht="15.75" customHeight="1">
      <c r="A938" s="207"/>
      <c r="B938" s="207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210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</row>
    <row r="939" ht="15.75" customHeight="1">
      <c r="A939" s="207"/>
      <c r="B939" s="207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210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</row>
    <row r="940" ht="15.75" customHeight="1">
      <c r="A940" s="207"/>
      <c r="B940" s="207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210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</row>
    <row r="941" ht="15.75" customHeight="1">
      <c r="A941" s="207"/>
      <c r="B941" s="207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210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</row>
    <row r="942" ht="15.75" customHeight="1">
      <c r="A942" s="207"/>
      <c r="B942" s="207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210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</row>
    <row r="943" ht="15.75" customHeight="1">
      <c r="A943" s="207"/>
      <c r="B943" s="207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210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</row>
    <row r="944" ht="15.75" customHeight="1">
      <c r="A944" s="207"/>
      <c r="B944" s="207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210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</row>
    <row r="945" ht="15.75" customHeight="1">
      <c r="A945" s="207"/>
      <c r="B945" s="207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210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</row>
    <row r="946" ht="15.75" customHeight="1">
      <c r="A946" s="207"/>
      <c r="B946" s="207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210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</row>
    <row r="947" ht="15.75" customHeight="1">
      <c r="A947" s="207"/>
      <c r="B947" s="207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210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</row>
    <row r="948" ht="15.75" customHeight="1">
      <c r="A948" s="207"/>
      <c r="B948" s="207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210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</row>
    <row r="949" ht="15.75" customHeight="1">
      <c r="A949" s="207"/>
      <c r="B949" s="207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210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</row>
    <row r="950" ht="15.75" customHeight="1">
      <c r="A950" s="207"/>
      <c r="B950" s="207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210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</row>
    <row r="951" ht="15.75" customHeight="1">
      <c r="A951" s="207"/>
      <c r="B951" s="207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210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</row>
    <row r="952" ht="15.75" customHeight="1">
      <c r="A952" s="207"/>
      <c r="B952" s="207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210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</row>
    <row r="953" ht="15.75" customHeight="1">
      <c r="A953" s="207"/>
      <c r="B953" s="207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210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</row>
    <row r="954" ht="15.75" customHeight="1">
      <c r="A954" s="207"/>
      <c r="B954" s="207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210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</row>
    <row r="955" ht="15.75" customHeight="1">
      <c r="A955" s="207"/>
      <c r="B955" s="207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210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</row>
    <row r="956" ht="15.75" customHeight="1">
      <c r="A956" s="207"/>
      <c r="B956" s="207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210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</row>
    <row r="957" ht="15.75" customHeight="1">
      <c r="A957" s="207"/>
      <c r="B957" s="207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210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</row>
    <row r="958" ht="15.75" customHeight="1">
      <c r="A958" s="207"/>
      <c r="B958" s="207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210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</row>
    <row r="959" ht="15.75" customHeight="1">
      <c r="A959" s="207"/>
      <c r="B959" s="207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210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</row>
    <row r="960" ht="15.75" customHeight="1">
      <c r="A960" s="207"/>
      <c r="B960" s="207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210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</row>
    <row r="961" ht="15.75" customHeight="1">
      <c r="A961" s="207"/>
      <c r="B961" s="207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210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</row>
    <row r="962" ht="15.75" customHeight="1">
      <c r="A962" s="207"/>
      <c r="B962" s="207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210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</row>
    <row r="963" ht="15.75" customHeight="1">
      <c r="A963" s="207"/>
      <c r="B963" s="207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210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</row>
    <row r="964" ht="15.75" customHeight="1">
      <c r="A964" s="207"/>
      <c r="B964" s="207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210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</row>
    <row r="965" ht="15.75" customHeight="1">
      <c r="A965" s="207"/>
      <c r="B965" s="207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210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</row>
    <row r="966" ht="15.75" customHeight="1">
      <c r="A966" s="207"/>
      <c r="B966" s="207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210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</row>
    <row r="967" ht="15.75" customHeight="1">
      <c r="A967" s="207"/>
      <c r="B967" s="207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210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</row>
    <row r="968" ht="15.75" customHeight="1">
      <c r="A968" s="207"/>
      <c r="B968" s="207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210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</row>
    <row r="969" ht="15.75" customHeight="1">
      <c r="A969" s="207"/>
      <c r="B969" s="207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210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</row>
    <row r="970" ht="15.75" customHeight="1">
      <c r="A970" s="207"/>
      <c r="B970" s="207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210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</row>
    <row r="971" ht="15.75" customHeight="1">
      <c r="A971" s="207"/>
      <c r="B971" s="207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210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</row>
    <row r="972" ht="15.75" customHeight="1">
      <c r="A972" s="207"/>
      <c r="B972" s="207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210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</row>
    <row r="973" ht="15.75" customHeight="1">
      <c r="A973" s="207"/>
      <c r="B973" s="207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210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</row>
    <row r="974" ht="15.75" customHeight="1">
      <c r="A974" s="207"/>
      <c r="B974" s="207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210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</row>
    <row r="975" ht="15.75" customHeight="1">
      <c r="A975" s="207"/>
      <c r="B975" s="207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210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</row>
    <row r="976" ht="15.75" customHeight="1">
      <c r="A976" s="207"/>
      <c r="B976" s="207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210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</row>
    <row r="977" ht="15.75" customHeight="1">
      <c r="A977" s="207"/>
      <c r="B977" s="207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210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</row>
    <row r="978" ht="15.75" customHeight="1">
      <c r="A978" s="207"/>
      <c r="B978" s="207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210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</row>
    <row r="979" ht="15.75" customHeight="1">
      <c r="A979" s="207"/>
      <c r="B979" s="207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210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</row>
    <row r="980" ht="15.75" customHeight="1">
      <c r="A980" s="207"/>
      <c r="B980" s="207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210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</row>
    <row r="981" ht="15.75" customHeight="1">
      <c r="A981" s="207"/>
      <c r="B981" s="207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210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</row>
    <row r="982" ht="15.75" customHeight="1">
      <c r="A982" s="207"/>
      <c r="B982" s="207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210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</row>
    <row r="983" ht="15.75" customHeight="1">
      <c r="A983" s="207"/>
      <c r="B983" s="207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210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</row>
    <row r="984" ht="15.75" customHeight="1">
      <c r="A984" s="207"/>
      <c r="B984" s="207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210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</row>
    <row r="985" ht="15.75" customHeight="1">
      <c r="A985" s="207"/>
      <c r="B985" s="207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210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</row>
    <row r="986" ht="15.75" customHeight="1">
      <c r="A986" s="207"/>
      <c r="B986" s="207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210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</row>
    <row r="987" ht="15.75" customHeight="1">
      <c r="A987" s="207"/>
      <c r="B987" s="207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210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</row>
    <row r="988" ht="15.75" customHeight="1">
      <c r="A988" s="207"/>
      <c r="B988" s="207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210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</row>
    <row r="989" ht="15.75" customHeight="1">
      <c r="A989" s="207"/>
      <c r="B989" s="207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210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</row>
    <row r="990" ht="15.75" customHeight="1">
      <c r="A990" s="207"/>
      <c r="B990" s="207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210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</row>
    <row r="991" ht="15.75" customHeight="1">
      <c r="A991" s="207"/>
      <c r="B991" s="207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210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</row>
    <row r="992" ht="15.75" customHeight="1">
      <c r="A992" s="207"/>
      <c r="B992" s="207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210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</row>
    <row r="993" ht="15.75" customHeight="1">
      <c r="A993" s="207"/>
      <c r="B993" s="207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210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</row>
    <row r="994" ht="15.75" customHeight="1">
      <c r="A994" s="207"/>
      <c r="B994" s="207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210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</row>
    <row r="995" ht="15.75" customHeight="1">
      <c r="A995" s="207"/>
      <c r="B995" s="207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210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</row>
    <row r="996" ht="15.75" customHeight="1">
      <c r="A996" s="207"/>
      <c r="B996" s="207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210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</row>
    <row r="997" ht="15.75" customHeight="1">
      <c r="A997" s="207"/>
      <c r="B997" s="207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210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</row>
    <row r="998" ht="15.75" customHeight="1">
      <c r="A998" s="207"/>
      <c r="B998" s="207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210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</row>
    <row r="999" ht="15.75" customHeight="1">
      <c r="A999" s="207"/>
      <c r="B999" s="207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210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</row>
    <row r="1000" ht="15.75" customHeight="1">
      <c r="A1000" s="207"/>
      <c r="B1000" s="207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210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3.86"/>
    <col customWidth="1" min="2" max="2" width="6.29"/>
    <col customWidth="1" min="3" max="3" width="13.0"/>
    <col customWidth="1" min="4" max="5" width="18.57"/>
    <col customWidth="1" min="6" max="6" width="12.29"/>
    <col customWidth="1" min="7" max="10" width="8.71"/>
    <col customWidth="1" min="11" max="12" width="9.29"/>
    <col customWidth="1" min="13" max="13" width="12.29"/>
    <col customWidth="1" min="14" max="14" width="27.0"/>
    <col customWidth="1" min="15" max="15" width="7.14"/>
    <col customWidth="1" min="16" max="16" width="7.29"/>
    <col customWidth="1" min="17" max="17" width="8.86"/>
    <col customWidth="1" min="18" max="28" width="8.71"/>
  </cols>
  <sheetData>
    <row r="1" ht="30.0" customHeight="1">
      <c r="A1" s="152" t="s">
        <v>0</v>
      </c>
      <c r="B1" s="152" t="s">
        <v>1</v>
      </c>
      <c r="C1" s="153" t="s">
        <v>2</v>
      </c>
      <c r="D1" s="153" t="s">
        <v>3</v>
      </c>
      <c r="E1" s="153" t="s">
        <v>4</v>
      </c>
      <c r="F1" s="153" t="s">
        <v>6</v>
      </c>
      <c r="G1" s="153" t="s">
        <v>7</v>
      </c>
      <c r="H1" s="153" t="s">
        <v>8</v>
      </c>
      <c r="I1" s="153" t="s">
        <v>9</v>
      </c>
      <c r="J1" s="153" t="s">
        <v>10</v>
      </c>
      <c r="K1" s="154" t="s">
        <v>11</v>
      </c>
      <c r="L1" s="154" t="s">
        <v>12</v>
      </c>
      <c r="M1" s="153" t="s">
        <v>13</v>
      </c>
      <c r="N1" s="153" t="s">
        <v>14</v>
      </c>
      <c r="O1" s="153" t="s">
        <v>15</v>
      </c>
      <c r="P1" s="153" t="s">
        <v>16</v>
      </c>
      <c r="Q1" s="153" t="s">
        <v>18</v>
      </c>
      <c r="R1" s="155" t="s">
        <v>19</v>
      </c>
      <c r="S1" s="156" t="s">
        <v>20</v>
      </c>
      <c r="T1" s="156" t="s">
        <v>21</v>
      </c>
      <c r="U1" s="156" t="s">
        <v>22</v>
      </c>
      <c r="V1" s="157" t="s">
        <v>23</v>
      </c>
      <c r="W1" s="157" t="s">
        <v>24</v>
      </c>
      <c r="X1" s="159"/>
      <c r="Y1" s="159"/>
      <c r="Z1" s="159"/>
      <c r="AA1" s="159"/>
      <c r="AB1" s="159"/>
    </row>
    <row r="2" ht="14.25" customHeight="1">
      <c r="A2" s="160">
        <v>1.0</v>
      </c>
      <c r="B2" s="160" t="s">
        <v>25</v>
      </c>
      <c r="C2" s="172" t="s">
        <v>26</v>
      </c>
      <c r="D2" s="173">
        <v>4.0</v>
      </c>
      <c r="E2" s="173">
        <v>4.0</v>
      </c>
      <c r="F2" s="172"/>
      <c r="G2" s="64"/>
      <c r="H2" s="172"/>
      <c r="I2" s="172">
        <f t="shared" ref="I2:I61" si="1">max(0,K2-G2)</f>
        <v>0</v>
      </c>
      <c r="J2" s="174"/>
      <c r="K2" s="174"/>
      <c r="L2" s="172">
        <f t="shared" ref="L2:L61" si="2">J2+H2</f>
        <v>0</v>
      </c>
      <c r="M2" s="172">
        <f t="shared" ref="M2:M61" si="3">G2+H2+I2+J2</f>
        <v>0</v>
      </c>
      <c r="N2" s="176" t="s">
        <v>109</v>
      </c>
      <c r="O2" s="172">
        <v>16.904</v>
      </c>
      <c r="P2" s="172">
        <v>12.699</v>
      </c>
      <c r="Q2" s="172">
        <f t="shared" ref="Q2:Q61" si="4">(D2*O2)+(E2*P2)</f>
        <v>118.412</v>
      </c>
      <c r="R2" s="177"/>
      <c r="S2" s="177"/>
      <c r="T2" s="181"/>
      <c r="U2" s="181"/>
      <c r="V2" s="179">
        <f t="shared" ref="V2:V61" si="5">S2-R2</f>
        <v>0</v>
      </c>
      <c r="W2" s="179">
        <f t="shared" ref="W2:W61" si="6">U2-T2</f>
        <v>0</v>
      </c>
      <c r="X2" s="42"/>
      <c r="Y2" s="42"/>
      <c r="Z2" s="42"/>
      <c r="AA2" s="42"/>
      <c r="AB2" s="42"/>
    </row>
    <row r="3" ht="14.25" customHeight="1">
      <c r="A3" s="160">
        <v>2.0</v>
      </c>
      <c r="B3" s="160" t="s">
        <v>25</v>
      </c>
      <c r="C3" s="161" t="s">
        <v>27</v>
      </c>
      <c r="D3" s="164">
        <v>6.0</v>
      </c>
      <c r="E3" s="164">
        <v>6.0</v>
      </c>
      <c r="F3" s="161"/>
      <c r="G3" s="34">
        <v>45.0</v>
      </c>
      <c r="H3" s="161"/>
      <c r="I3" s="161">
        <f t="shared" si="1"/>
        <v>82</v>
      </c>
      <c r="J3" s="165"/>
      <c r="K3" s="166">
        <v>127.0</v>
      </c>
      <c r="L3" s="161">
        <f t="shared" si="2"/>
        <v>0</v>
      </c>
      <c r="M3" s="161">
        <f t="shared" si="3"/>
        <v>127</v>
      </c>
      <c r="N3" s="167"/>
      <c r="O3" s="161">
        <v>16.904</v>
      </c>
      <c r="P3" s="161">
        <v>12.699</v>
      </c>
      <c r="Q3" s="161">
        <f t="shared" si="4"/>
        <v>177.618</v>
      </c>
      <c r="R3" s="168">
        <v>508220.0</v>
      </c>
      <c r="S3" s="168">
        <v>508.0</v>
      </c>
      <c r="T3" s="222"/>
      <c r="U3" s="222"/>
      <c r="V3" s="170">
        <f t="shared" si="5"/>
        <v>-507712</v>
      </c>
      <c r="W3" s="170">
        <f t="shared" si="6"/>
        <v>0</v>
      </c>
      <c r="X3" s="42"/>
      <c r="Y3" s="42"/>
      <c r="Z3" s="42"/>
      <c r="AA3" s="42"/>
      <c r="AB3" s="42"/>
    </row>
    <row r="4" ht="14.25" customHeight="1">
      <c r="A4" s="160">
        <v>3.0</v>
      </c>
      <c r="B4" s="160" t="s">
        <v>25</v>
      </c>
      <c r="C4" s="161" t="s">
        <v>28</v>
      </c>
      <c r="D4" s="164">
        <v>7.0</v>
      </c>
      <c r="E4" s="164">
        <v>7.0</v>
      </c>
      <c r="F4" s="161"/>
      <c r="G4" s="34">
        <v>66.0</v>
      </c>
      <c r="H4" s="161"/>
      <c r="I4" s="161">
        <f t="shared" si="1"/>
        <v>0</v>
      </c>
      <c r="J4" s="165"/>
      <c r="K4" s="165"/>
      <c r="L4" s="161">
        <f t="shared" si="2"/>
        <v>0</v>
      </c>
      <c r="M4" s="161">
        <f t="shared" si="3"/>
        <v>66</v>
      </c>
      <c r="N4" s="167"/>
      <c r="O4" s="161">
        <v>16.904</v>
      </c>
      <c r="P4" s="161">
        <v>12.699</v>
      </c>
      <c r="Q4" s="161">
        <f t="shared" si="4"/>
        <v>207.221</v>
      </c>
      <c r="R4" s="168">
        <v>514065.0</v>
      </c>
      <c r="S4" s="168">
        <v>514.0</v>
      </c>
      <c r="T4" s="223"/>
      <c r="U4" s="222"/>
      <c r="V4" s="170">
        <f t="shared" si="5"/>
        <v>-513551</v>
      </c>
      <c r="W4" s="170">
        <f t="shared" si="6"/>
        <v>0</v>
      </c>
      <c r="X4" s="42"/>
      <c r="Y4" s="42"/>
      <c r="Z4" s="42"/>
      <c r="AA4" s="42"/>
      <c r="AB4" s="42"/>
    </row>
    <row r="5" ht="14.25" customHeight="1">
      <c r="A5" s="160">
        <v>4.0</v>
      </c>
      <c r="B5" s="160" t="s">
        <v>25</v>
      </c>
      <c r="C5" s="193" t="s">
        <v>29</v>
      </c>
      <c r="D5" s="256"/>
      <c r="E5" s="256"/>
      <c r="F5" s="193"/>
      <c r="G5" s="257"/>
      <c r="H5" s="193"/>
      <c r="I5" s="193">
        <f t="shared" si="1"/>
        <v>0</v>
      </c>
      <c r="J5" s="194"/>
      <c r="K5" s="194"/>
      <c r="L5" s="193">
        <f t="shared" si="2"/>
        <v>0</v>
      </c>
      <c r="M5" s="193">
        <f t="shared" si="3"/>
        <v>0</v>
      </c>
      <c r="N5" s="195" t="s">
        <v>120</v>
      </c>
      <c r="O5" s="193">
        <v>16.904</v>
      </c>
      <c r="P5" s="193">
        <v>12.699</v>
      </c>
      <c r="Q5" s="193">
        <f t="shared" si="4"/>
        <v>0</v>
      </c>
      <c r="R5" s="196"/>
      <c r="S5" s="196"/>
      <c r="T5" s="196"/>
      <c r="U5" s="197"/>
      <c r="V5" s="198">
        <f t="shared" si="5"/>
        <v>0</v>
      </c>
      <c r="W5" s="198">
        <f t="shared" si="6"/>
        <v>0</v>
      </c>
      <c r="X5" s="42"/>
      <c r="Y5" s="42"/>
      <c r="Z5" s="42"/>
      <c r="AA5" s="42"/>
      <c r="AB5" s="42"/>
    </row>
    <row r="6" ht="14.25" customHeight="1">
      <c r="A6" s="160">
        <v>5.0</v>
      </c>
      <c r="B6" s="160" t="s">
        <v>25</v>
      </c>
      <c r="C6" s="161" t="s">
        <v>30</v>
      </c>
      <c r="D6" s="164">
        <v>7.0</v>
      </c>
      <c r="E6" s="164">
        <v>7.0</v>
      </c>
      <c r="F6" s="161"/>
      <c r="G6" s="34">
        <v>61.0</v>
      </c>
      <c r="H6" s="161"/>
      <c r="I6" s="161">
        <f t="shared" si="1"/>
        <v>92</v>
      </c>
      <c r="J6" s="165"/>
      <c r="K6" s="166">
        <v>153.0</v>
      </c>
      <c r="L6" s="161">
        <f t="shared" si="2"/>
        <v>0</v>
      </c>
      <c r="M6" s="161">
        <f t="shared" si="3"/>
        <v>153</v>
      </c>
      <c r="N6" s="167"/>
      <c r="O6" s="161">
        <v>16.904</v>
      </c>
      <c r="P6" s="161">
        <v>12.699</v>
      </c>
      <c r="Q6" s="161">
        <f t="shared" si="4"/>
        <v>207.221</v>
      </c>
      <c r="R6" s="168">
        <v>486000.0</v>
      </c>
      <c r="S6" s="168">
        <v>486.0</v>
      </c>
      <c r="T6" s="223"/>
      <c r="U6" s="222"/>
      <c r="V6" s="170">
        <f t="shared" si="5"/>
        <v>-485514</v>
      </c>
      <c r="W6" s="170">
        <f t="shared" si="6"/>
        <v>0</v>
      </c>
      <c r="X6" s="42"/>
      <c r="Y6" s="42"/>
      <c r="Z6" s="42"/>
      <c r="AA6" s="42"/>
      <c r="AB6" s="42"/>
    </row>
    <row r="7" ht="14.25" customHeight="1">
      <c r="A7" s="160">
        <v>6.0</v>
      </c>
      <c r="B7" s="160" t="s">
        <v>25</v>
      </c>
      <c r="C7" s="161" t="s">
        <v>31</v>
      </c>
      <c r="D7" s="164">
        <v>7.0</v>
      </c>
      <c r="E7" s="164">
        <v>7.0</v>
      </c>
      <c r="F7" s="161"/>
      <c r="G7" s="34">
        <v>63.0</v>
      </c>
      <c r="H7" s="161"/>
      <c r="I7" s="161">
        <f t="shared" si="1"/>
        <v>0</v>
      </c>
      <c r="J7" s="165"/>
      <c r="K7" s="165"/>
      <c r="L7" s="161">
        <f t="shared" si="2"/>
        <v>0</v>
      </c>
      <c r="M7" s="161">
        <f t="shared" si="3"/>
        <v>63</v>
      </c>
      <c r="N7" s="167"/>
      <c r="O7" s="161">
        <v>16.904</v>
      </c>
      <c r="P7" s="161">
        <v>12.699</v>
      </c>
      <c r="Q7" s="161">
        <f t="shared" si="4"/>
        <v>207.221</v>
      </c>
      <c r="R7" s="168">
        <v>182750.0</v>
      </c>
      <c r="S7" s="168">
        <v>182.0</v>
      </c>
      <c r="T7" s="223"/>
      <c r="U7" s="222"/>
      <c r="V7" s="170">
        <f t="shared" si="5"/>
        <v>-182568</v>
      </c>
      <c r="W7" s="170">
        <f t="shared" si="6"/>
        <v>0</v>
      </c>
      <c r="X7" s="42"/>
      <c r="Y7" s="42"/>
      <c r="Z7" s="42"/>
      <c r="AA7" s="42"/>
      <c r="AB7" s="42"/>
    </row>
    <row r="8" ht="14.25" customHeight="1">
      <c r="A8" s="160">
        <v>7.0</v>
      </c>
      <c r="B8" s="160" t="s">
        <v>25</v>
      </c>
      <c r="C8" s="161" t="s">
        <v>32</v>
      </c>
      <c r="D8" s="164">
        <v>6.0</v>
      </c>
      <c r="E8" s="164">
        <v>6.0</v>
      </c>
      <c r="F8" s="161"/>
      <c r="G8" s="34">
        <v>87.0</v>
      </c>
      <c r="H8" s="161"/>
      <c r="I8" s="161">
        <f t="shared" si="1"/>
        <v>25</v>
      </c>
      <c r="J8" s="165"/>
      <c r="K8" s="166">
        <v>112.0</v>
      </c>
      <c r="L8" s="161">
        <f t="shared" si="2"/>
        <v>0</v>
      </c>
      <c r="M8" s="161">
        <f t="shared" si="3"/>
        <v>112</v>
      </c>
      <c r="N8" s="167"/>
      <c r="O8" s="161">
        <v>16.904</v>
      </c>
      <c r="P8" s="161">
        <v>12.699</v>
      </c>
      <c r="Q8" s="161">
        <f t="shared" si="4"/>
        <v>177.618</v>
      </c>
      <c r="R8" s="168">
        <v>200744.0</v>
      </c>
      <c r="S8" s="168">
        <v>200.0</v>
      </c>
      <c r="T8" s="223"/>
      <c r="U8" s="222"/>
      <c r="V8" s="170">
        <f t="shared" si="5"/>
        <v>-200544</v>
      </c>
      <c r="W8" s="170">
        <f t="shared" si="6"/>
        <v>0</v>
      </c>
      <c r="X8" s="42"/>
      <c r="Y8" s="42"/>
      <c r="Z8" s="42"/>
      <c r="AA8" s="42"/>
      <c r="AB8" s="42"/>
    </row>
    <row r="9" ht="14.25" customHeight="1">
      <c r="A9" s="160">
        <v>8.0</v>
      </c>
      <c r="B9" s="160" t="s">
        <v>25</v>
      </c>
      <c r="C9" s="161" t="s">
        <v>33</v>
      </c>
      <c r="D9" s="164">
        <v>7.0</v>
      </c>
      <c r="E9" s="164">
        <v>7.0</v>
      </c>
      <c r="F9" s="161"/>
      <c r="G9" s="34">
        <v>60.0</v>
      </c>
      <c r="H9" s="161"/>
      <c r="I9" s="161">
        <f t="shared" si="1"/>
        <v>88</v>
      </c>
      <c r="J9" s="165"/>
      <c r="K9" s="166">
        <v>148.0</v>
      </c>
      <c r="L9" s="161">
        <f t="shared" si="2"/>
        <v>0</v>
      </c>
      <c r="M9" s="161">
        <f t="shared" si="3"/>
        <v>148</v>
      </c>
      <c r="N9" s="167"/>
      <c r="O9" s="161">
        <v>16.904</v>
      </c>
      <c r="P9" s="161">
        <v>12.699</v>
      </c>
      <c r="Q9" s="161">
        <f t="shared" si="4"/>
        <v>207.221</v>
      </c>
      <c r="R9" s="168">
        <v>196694.0</v>
      </c>
      <c r="S9" s="168">
        <v>196.0</v>
      </c>
      <c r="T9" s="223"/>
      <c r="U9" s="222"/>
      <c r="V9" s="170">
        <f t="shared" si="5"/>
        <v>-196498</v>
      </c>
      <c r="W9" s="170">
        <f t="shared" si="6"/>
        <v>0</v>
      </c>
      <c r="X9" s="42"/>
      <c r="Y9" s="42"/>
      <c r="Z9" s="42"/>
      <c r="AA9" s="42"/>
      <c r="AB9" s="42"/>
    </row>
    <row r="10" ht="14.25" customHeight="1">
      <c r="A10" s="160">
        <v>9.0</v>
      </c>
      <c r="B10" s="160" t="s">
        <v>25</v>
      </c>
      <c r="C10" s="161" t="s">
        <v>34</v>
      </c>
      <c r="D10" s="164">
        <v>7.0</v>
      </c>
      <c r="E10" s="164">
        <v>7.0</v>
      </c>
      <c r="F10" s="161"/>
      <c r="G10" s="34">
        <v>70.0</v>
      </c>
      <c r="H10" s="161"/>
      <c r="I10" s="161">
        <f t="shared" si="1"/>
        <v>55</v>
      </c>
      <c r="J10" s="165"/>
      <c r="K10" s="166">
        <v>125.0</v>
      </c>
      <c r="L10" s="161">
        <f t="shared" si="2"/>
        <v>0</v>
      </c>
      <c r="M10" s="161">
        <f t="shared" si="3"/>
        <v>125</v>
      </c>
      <c r="N10" s="167"/>
      <c r="O10" s="161">
        <v>16.904</v>
      </c>
      <c r="P10" s="161">
        <v>12.699</v>
      </c>
      <c r="Q10" s="161">
        <f t="shared" si="4"/>
        <v>207.221</v>
      </c>
      <c r="R10" s="168">
        <v>53915.0</v>
      </c>
      <c r="S10" s="168">
        <v>539.0</v>
      </c>
      <c r="T10" s="223"/>
      <c r="U10" s="222"/>
      <c r="V10" s="170">
        <f t="shared" si="5"/>
        <v>-53376</v>
      </c>
      <c r="W10" s="170">
        <f t="shared" si="6"/>
        <v>0</v>
      </c>
      <c r="X10" s="42"/>
      <c r="Y10" s="42"/>
      <c r="Z10" s="42"/>
      <c r="AA10" s="42"/>
      <c r="AB10" s="42"/>
    </row>
    <row r="11" ht="14.25" customHeight="1">
      <c r="A11" s="160">
        <v>10.0</v>
      </c>
      <c r="B11" s="160" t="s">
        <v>25</v>
      </c>
      <c r="C11" s="161" t="s">
        <v>35</v>
      </c>
      <c r="D11" s="164">
        <v>7.0</v>
      </c>
      <c r="E11" s="164">
        <v>7.0</v>
      </c>
      <c r="F11" s="161"/>
      <c r="G11" s="34">
        <v>66.0</v>
      </c>
      <c r="H11" s="161"/>
      <c r="I11" s="161">
        <f t="shared" si="1"/>
        <v>0</v>
      </c>
      <c r="J11" s="165"/>
      <c r="K11" s="165"/>
      <c r="L11" s="161">
        <f t="shared" si="2"/>
        <v>0</v>
      </c>
      <c r="M11" s="161">
        <f t="shared" si="3"/>
        <v>66</v>
      </c>
      <c r="N11" s="167"/>
      <c r="O11" s="161">
        <v>16.904</v>
      </c>
      <c r="P11" s="161">
        <v>12.699</v>
      </c>
      <c r="Q11" s="161">
        <f t="shared" si="4"/>
        <v>207.221</v>
      </c>
      <c r="R11" s="168">
        <v>197325.0</v>
      </c>
      <c r="S11" s="168">
        <v>197.0</v>
      </c>
      <c r="T11" s="223"/>
      <c r="U11" s="222"/>
      <c r="V11" s="170">
        <f t="shared" si="5"/>
        <v>-197128</v>
      </c>
      <c r="W11" s="170">
        <f t="shared" si="6"/>
        <v>0</v>
      </c>
      <c r="X11" s="42"/>
      <c r="Y11" s="42"/>
      <c r="Z11" s="42"/>
      <c r="AA11" s="42"/>
      <c r="AB11" s="42"/>
    </row>
    <row r="12" ht="14.25" customHeight="1">
      <c r="A12" s="160">
        <v>11.0</v>
      </c>
      <c r="B12" s="160" t="s">
        <v>25</v>
      </c>
      <c r="C12" s="161" t="s">
        <v>36</v>
      </c>
      <c r="D12" s="164">
        <v>7.0</v>
      </c>
      <c r="E12" s="164">
        <v>7.0</v>
      </c>
      <c r="F12" s="161"/>
      <c r="G12" s="34">
        <v>51.0</v>
      </c>
      <c r="H12" s="161"/>
      <c r="I12" s="161">
        <f t="shared" si="1"/>
        <v>64</v>
      </c>
      <c r="J12" s="165"/>
      <c r="K12" s="166">
        <v>115.0</v>
      </c>
      <c r="L12" s="161">
        <f t="shared" si="2"/>
        <v>0</v>
      </c>
      <c r="M12" s="161">
        <f t="shared" si="3"/>
        <v>115</v>
      </c>
      <c r="N12" s="167"/>
      <c r="O12" s="161">
        <v>16.904</v>
      </c>
      <c r="P12" s="161">
        <v>12.699</v>
      </c>
      <c r="Q12" s="161">
        <f t="shared" si="4"/>
        <v>207.221</v>
      </c>
      <c r="R12" s="168">
        <v>588041.0</v>
      </c>
      <c r="S12" s="168">
        <v>588.0</v>
      </c>
      <c r="T12" s="223"/>
      <c r="U12" s="222"/>
      <c r="V12" s="170">
        <f t="shared" si="5"/>
        <v>-587453</v>
      </c>
      <c r="W12" s="170">
        <f t="shared" si="6"/>
        <v>0</v>
      </c>
      <c r="X12" s="42"/>
      <c r="Y12" s="42"/>
      <c r="Z12" s="42"/>
      <c r="AA12" s="42"/>
      <c r="AB12" s="42"/>
    </row>
    <row r="13" ht="14.25" customHeight="1">
      <c r="A13" s="160">
        <v>12.0</v>
      </c>
      <c r="B13" s="160" t="s">
        <v>25</v>
      </c>
      <c r="C13" s="161" t="s">
        <v>37</v>
      </c>
      <c r="D13" s="164">
        <v>7.0</v>
      </c>
      <c r="E13" s="164">
        <v>7.0</v>
      </c>
      <c r="F13" s="161"/>
      <c r="G13" s="34">
        <v>75.0</v>
      </c>
      <c r="H13" s="161"/>
      <c r="I13" s="161">
        <f t="shared" si="1"/>
        <v>53</v>
      </c>
      <c r="J13" s="165"/>
      <c r="K13" s="166">
        <v>128.0</v>
      </c>
      <c r="L13" s="161">
        <f t="shared" si="2"/>
        <v>0</v>
      </c>
      <c r="M13" s="161">
        <f t="shared" si="3"/>
        <v>128</v>
      </c>
      <c r="N13" s="167"/>
      <c r="O13" s="161">
        <v>16.904</v>
      </c>
      <c r="P13" s="161">
        <v>12.699</v>
      </c>
      <c r="Q13" s="161">
        <f t="shared" si="4"/>
        <v>207.221</v>
      </c>
      <c r="R13" s="168">
        <v>585056.0</v>
      </c>
      <c r="S13" s="168">
        <v>585.0</v>
      </c>
      <c r="T13" s="223"/>
      <c r="U13" s="222"/>
      <c r="V13" s="170">
        <f t="shared" si="5"/>
        <v>-584471</v>
      </c>
      <c r="W13" s="170">
        <f t="shared" si="6"/>
        <v>0</v>
      </c>
      <c r="X13" s="42"/>
      <c r="Y13" s="42"/>
      <c r="Z13" s="42"/>
      <c r="AA13" s="42"/>
      <c r="AB13" s="42"/>
    </row>
    <row r="14" ht="14.25" customHeight="1">
      <c r="A14" s="160">
        <v>13.0</v>
      </c>
      <c r="B14" s="160" t="s">
        <v>25</v>
      </c>
      <c r="C14" s="161" t="s">
        <v>38</v>
      </c>
      <c r="D14" s="164">
        <v>7.0</v>
      </c>
      <c r="E14" s="164">
        <v>7.0</v>
      </c>
      <c r="F14" s="161"/>
      <c r="G14" s="34">
        <v>55.0</v>
      </c>
      <c r="H14" s="161"/>
      <c r="I14" s="161">
        <f t="shared" si="1"/>
        <v>14</v>
      </c>
      <c r="J14" s="166">
        <v>20.0</v>
      </c>
      <c r="K14" s="166">
        <v>69.0</v>
      </c>
      <c r="L14" s="161">
        <f t="shared" si="2"/>
        <v>20</v>
      </c>
      <c r="M14" s="161">
        <f t="shared" si="3"/>
        <v>89</v>
      </c>
      <c r="N14" s="167"/>
      <c r="O14" s="161">
        <v>16.904</v>
      </c>
      <c r="P14" s="161">
        <v>12.699</v>
      </c>
      <c r="Q14" s="161">
        <f t="shared" si="4"/>
        <v>207.221</v>
      </c>
      <c r="R14" s="168">
        <v>200562.0</v>
      </c>
      <c r="S14" s="168">
        <v>200.0</v>
      </c>
      <c r="T14" s="223"/>
      <c r="U14" s="222"/>
      <c r="V14" s="170">
        <f t="shared" si="5"/>
        <v>-200362</v>
      </c>
      <c r="W14" s="170">
        <f t="shared" si="6"/>
        <v>0</v>
      </c>
      <c r="X14" s="42"/>
      <c r="Y14" s="42"/>
      <c r="Z14" s="42"/>
      <c r="AA14" s="42"/>
      <c r="AB14" s="42"/>
    </row>
    <row r="15" ht="14.25" customHeight="1">
      <c r="A15" s="160">
        <v>14.0</v>
      </c>
      <c r="B15" s="160" t="s">
        <v>25</v>
      </c>
      <c r="C15" s="161" t="s">
        <v>39</v>
      </c>
      <c r="D15" s="164">
        <v>7.0</v>
      </c>
      <c r="E15" s="164">
        <v>7.0</v>
      </c>
      <c r="F15" s="161"/>
      <c r="G15" s="34">
        <v>35.0</v>
      </c>
      <c r="H15" s="161"/>
      <c r="I15" s="161">
        <f t="shared" si="1"/>
        <v>103</v>
      </c>
      <c r="J15" s="165"/>
      <c r="K15" s="166">
        <v>138.0</v>
      </c>
      <c r="L15" s="161">
        <f t="shared" si="2"/>
        <v>0</v>
      </c>
      <c r="M15" s="161">
        <f t="shared" si="3"/>
        <v>138</v>
      </c>
      <c r="N15" s="167"/>
      <c r="O15" s="161">
        <v>16.904</v>
      </c>
      <c r="P15" s="161">
        <v>12.699</v>
      </c>
      <c r="Q15" s="161">
        <f t="shared" si="4"/>
        <v>207.221</v>
      </c>
      <c r="R15" s="168">
        <v>241761.0</v>
      </c>
      <c r="S15" s="168">
        <v>241.0</v>
      </c>
      <c r="T15" s="223"/>
      <c r="U15" s="222"/>
      <c r="V15" s="170">
        <f t="shared" si="5"/>
        <v>-241520</v>
      </c>
      <c r="W15" s="170">
        <f t="shared" si="6"/>
        <v>0</v>
      </c>
      <c r="X15" s="42"/>
      <c r="Y15" s="42"/>
      <c r="Z15" s="42"/>
      <c r="AA15" s="42"/>
      <c r="AB15" s="42"/>
    </row>
    <row r="16" ht="14.25" customHeight="1">
      <c r="A16" s="160">
        <v>15.0</v>
      </c>
      <c r="B16" s="160" t="s">
        <v>25</v>
      </c>
      <c r="C16" s="161" t="s">
        <v>40</v>
      </c>
      <c r="D16" s="164">
        <v>7.0</v>
      </c>
      <c r="E16" s="164">
        <v>7.0</v>
      </c>
      <c r="F16" s="161"/>
      <c r="G16" s="34">
        <v>47.0</v>
      </c>
      <c r="H16" s="161"/>
      <c r="I16" s="161">
        <f t="shared" si="1"/>
        <v>0</v>
      </c>
      <c r="J16" s="165"/>
      <c r="K16" s="165"/>
      <c r="L16" s="161">
        <f t="shared" si="2"/>
        <v>0</v>
      </c>
      <c r="M16" s="161">
        <f t="shared" si="3"/>
        <v>47</v>
      </c>
      <c r="N16" s="167"/>
      <c r="O16" s="161">
        <v>16.904</v>
      </c>
      <c r="P16" s="161">
        <v>12.699</v>
      </c>
      <c r="Q16" s="161">
        <f t="shared" si="4"/>
        <v>207.221</v>
      </c>
      <c r="R16" s="168">
        <v>553584.0</v>
      </c>
      <c r="S16" s="168">
        <v>553.0</v>
      </c>
      <c r="T16" s="223"/>
      <c r="U16" s="222"/>
      <c r="V16" s="170">
        <f t="shared" si="5"/>
        <v>-553031</v>
      </c>
      <c r="W16" s="170">
        <f t="shared" si="6"/>
        <v>0</v>
      </c>
      <c r="X16" s="42"/>
      <c r="Y16" s="42"/>
      <c r="Z16" s="42"/>
      <c r="AA16" s="42"/>
      <c r="AB16" s="42"/>
    </row>
    <row r="17" ht="14.25" customHeight="1">
      <c r="A17" s="160">
        <v>16.0</v>
      </c>
      <c r="B17" s="160" t="s">
        <v>25</v>
      </c>
      <c r="C17" s="161" t="s">
        <v>41</v>
      </c>
      <c r="D17" s="164">
        <v>7.0</v>
      </c>
      <c r="E17" s="164">
        <v>7.0</v>
      </c>
      <c r="F17" s="161"/>
      <c r="G17" s="34">
        <v>58.0</v>
      </c>
      <c r="H17" s="161"/>
      <c r="I17" s="161">
        <f t="shared" si="1"/>
        <v>84</v>
      </c>
      <c r="J17" s="165"/>
      <c r="K17" s="166">
        <v>142.0</v>
      </c>
      <c r="L17" s="161">
        <f t="shared" si="2"/>
        <v>0</v>
      </c>
      <c r="M17" s="161">
        <f t="shared" si="3"/>
        <v>142</v>
      </c>
      <c r="N17" s="167"/>
      <c r="O17" s="161">
        <v>16.904</v>
      </c>
      <c r="P17" s="161">
        <v>12.699</v>
      </c>
      <c r="Q17" s="161">
        <f t="shared" si="4"/>
        <v>207.221</v>
      </c>
      <c r="R17" s="168">
        <v>178046.0</v>
      </c>
      <c r="S17" s="168">
        <v>178.0</v>
      </c>
      <c r="T17" s="223"/>
      <c r="U17" s="222"/>
      <c r="V17" s="170">
        <f t="shared" si="5"/>
        <v>-177868</v>
      </c>
      <c r="W17" s="170">
        <f t="shared" si="6"/>
        <v>0</v>
      </c>
      <c r="X17" s="42"/>
      <c r="Y17" s="42"/>
      <c r="Z17" s="42"/>
      <c r="AA17" s="42"/>
      <c r="AB17" s="42"/>
    </row>
    <row r="18" ht="14.25" customHeight="1">
      <c r="A18" s="160">
        <v>17.0</v>
      </c>
      <c r="B18" s="160" t="s">
        <v>25</v>
      </c>
      <c r="C18" s="161" t="s">
        <v>42</v>
      </c>
      <c r="D18" s="164">
        <v>7.0</v>
      </c>
      <c r="E18" s="164">
        <v>7.0</v>
      </c>
      <c r="F18" s="161"/>
      <c r="G18" s="34">
        <v>45.0</v>
      </c>
      <c r="H18" s="161"/>
      <c r="I18" s="161">
        <f t="shared" si="1"/>
        <v>138</v>
      </c>
      <c r="J18" s="165"/>
      <c r="K18" s="166">
        <v>183.0</v>
      </c>
      <c r="L18" s="161">
        <f t="shared" si="2"/>
        <v>0</v>
      </c>
      <c r="M18" s="161">
        <f t="shared" si="3"/>
        <v>183</v>
      </c>
      <c r="N18" s="167"/>
      <c r="O18" s="161">
        <v>16.904</v>
      </c>
      <c r="P18" s="161">
        <v>12.699</v>
      </c>
      <c r="Q18" s="161">
        <f t="shared" si="4"/>
        <v>207.221</v>
      </c>
      <c r="R18" s="168">
        <v>173901.0</v>
      </c>
      <c r="S18" s="168">
        <v>173.0</v>
      </c>
      <c r="T18" s="223"/>
      <c r="U18" s="222"/>
      <c r="V18" s="170">
        <f t="shared" si="5"/>
        <v>-173728</v>
      </c>
      <c r="W18" s="170">
        <f t="shared" si="6"/>
        <v>0</v>
      </c>
      <c r="X18" s="42"/>
      <c r="Y18" s="42"/>
      <c r="Z18" s="42"/>
      <c r="AA18" s="42"/>
      <c r="AB18" s="42"/>
    </row>
    <row r="19" ht="14.25" customHeight="1">
      <c r="A19" s="160">
        <v>18.0</v>
      </c>
      <c r="B19" s="160" t="s">
        <v>25</v>
      </c>
      <c r="C19" s="161" t="s">
        <v>43</v>
      </c>
      <c r="D19" s="164">
        <v>7.0</v>
      </c>
      <c r="E19" s="164">
        <v>7.0</v>
      </c>
      <c r="F19" s="161"/>
      <c r="G19" s="34">
        <v>70.0</v>
      </c>
      <c r="H19" s="161"/>
      <c r="I19" s="161">
        <f t="shared" si="1"/>
        <v>0</v>
      </c>
      <c r="J19" s="165"/>
      <c r="K19" s="165"/>
      <c r="L19" s="161">
        <f t="shared" si="2"/>
        <v>0</v>
      </c>
      <c r="M19" s="161">
        <f t="shared" si="3"/>
        <v>70</v>
      </c>
      <c r="N19" s="167"/>
      <c r="O19" s="161">
        <v>16.904</v>
      </c>
      <c r="P19" s="161">
        <v>12.699</v>
      </c>
      <c r="Q19" s="161">
        <f t="shared" si="4"/>
        <v>207.221</v>
      </c>
      <c r="R19" s="168">
        <v>201586.0</v>
      </c>
      <c r="S19" s="168">
        <v>201.0</v>
      </c>
      <c r="T19" s="223"/>
      <c r="U19" s="222"/>
      <c r="V19" s="170">
        <f t="shared" si="5"/>
        <v>-201385</v>
      </c>
      <c r="W19" s="170">
        <f t="shared" si="6"/>
        <v>0</v>
      </c>
      <c r="X19" s="42"/>
      <c r="Y19" s="42"/>
      <c r="Z19" s="42"/>
      <c r="AA19" s="42"/>
      <c r="AB19" s="42"/>
    </row>
    <row r="20" ht="14.25" customHeight="1">
      <c r="A20" s="160">
        <v>19.0</v>
      </c>
      <c r="B20" s="160" t="s">
        <v>25</v>
      </c>
      <c r="C20" s="161" t="s">
        <v>44</v>
      </c>
      <c r="D20" s="164">
        <v>7.0</v>
      </c>
      <c r="E20" s="164">
        <v>7.0</v>
      </c>
      <c r="F20" s="161"/>
      <c r="G20" s="34">
        <v>62.0</v>
      </c>
      <c r="H20" s="161"/>
      <c r="I20" s="161">
        <f t="shared" si="1"/>
        <v>0</v>
      </c>
      <c r="J20" s="165"/>
      <c r="K20" s="165"/>
      <c r="L20" s="161">
        <f t="shared" si="2"/>
        <v>0</v>
      </c>
      <c r="M20" s="161">
        <f t="shared" si="3"/>
        <v>62</v>
      </c>
      <c r="N20" s="167"/>
      <c r="O20" s="161">
        <v>16.904</v>
      </c>
      <c r="P20" s="161">
        <v>12.699</v>
      </c>
      <c r="Q20" s="161">
        <f t="shared" si="4"/>
        <v>207.221</v>
      </c>
      <c r="R20" s="168">
        <v>200887.0</v>
      </c>
      <c r="S20" s="168">
        <v>200.0</v>
      </c>
      <c r="T20" s="223"/>
      <c r="U20" s="222"/>
      <c r="V20" s="170">
        <f t="shared" si="5"/>
        <v>-200687</v>
      </c>
      <c r="W20" s="170">
        <f t="shared" si="6"/>
        <v>0</v>
      </c>
      <c r="X20" s="42"/>
      <c r="Y20" s="42"/>
      <c r="Z20" s="42"/>
      <c r="AA20" s="42"/>
      <c r="AB20" s="42"/>
    </row>
    <row r="21" ht="14.25" customHeight="1">
      <c r="A21" s="160">
        <v>20.0</v>
      </c>
      <c r="B21" s="160" t="s">
        <v>25</v>
      </c>
      <c r="C21" s="161" t="s">
        <v>45</v>
      </c>
      <c r="D21" s="164">
        <v>7.0</v>
      </c>
      <c r="E21" s="164">
        <v>7.0</v>
      </c>
      <c r="F21" s="161"/>
      <c r="G21" s="34">
        <v>47.0</v>
      </c>
      <c r="H21" s="161"/>
      <c r="I21" s="161">
        <f t="shared" si="1"/>
        <v>0</v>
      </c>
      <c r="J21" s="165"/>
      <c r="K21" s="165"/>
      <c r="L21" s="161">
        <f t="shared" si="2"/>
        <v>0</v>
      </c>
      <c r="M21" s="161">
        <f t="shared" si="3"/>
        <v>47</v>
      </c>
      <c r="N21" s="167"/>
      <c r="O21" s="161">
        <v>16.904</v>
      </c>
      <c r="P21" s="161">
        <v>12.699</v>
      </c>
      <c r="Q21" s="161">
        <f t="shared" si="4"/>
        <v>207.221</v>
      </c>
      <c r="R21" s="168">
        <v>177031.0</v>
      </c>
      <c r="S21" s="168">
        <v>177.0</v>
      </c>
      <c r="T21" s="223"/>
      <c r="U21" s="222"/>
      <c r="V21" s="170">
        <f t="shared" si="5"/>
        <v>-176854</v>
      </c>
      <c r="W21" s="170">
        <f t="shared" si="6"/>
        <v>0</v>
      </c>
      <c r="X21" s="42"/>
      <c r="Y21" s="42"/>
      <c r="Z21" s="42"/>
      <c r="AA21" s="42"/>
      <c r="AB21" s="42"/>
    </row>
    <row r="22" ht="14.25" customHeight="1">
      <c r="A22" s="160">
        <v>21.0</v>
      </c>
      <c r="B22" s="160" t="s">
        <v>25</v>
      </c>
      <c r="C22" s="172" t="s">
        <v>46</v>
      </c>
      <c r="D22" s="173">
        <v>5.0</v>
      </c>
      <c r="E22" s="173">
        <v>5.0</v>
      </c>
      <c r="F22" s="172"/>
      <c r="G22" s="74">
        <v>63.0</v>
      </c>
      <c r="H22" s="172"/>
      <c r="I22" s="172">
        <f t="shared" si="1"/>
        <v>53</v>
      </c>
      <c r="J22" s="174"/>
      <c r="K22" s="175">
        <v>116.0</v>
      </c>
      <c r="L22" s="172">
        <f t="shared" si="2"/>
        <v>0</v>
      </c>
      <c r="M22" s="172">
        <f t="shared" si="3"/>
        <v>116</v>
      </c>
      <c r="N22" s="176" t="s">
        <v>108</v>
      </c>
      <c r="O22" s="172">
        <v>16.904</v>
      </c>
      <c r="P22" s="172">
        <v>12.699</v>
      </c>
      <c r="Q22" s="172">
        <f t="shared" si="4"/>
        <v>148.015</v>
      </c>
      <c r="R22" s="177">
        <v>201501.0</v>
      </c>
      <c r="S22" s="177">
        <v>201.0</v>
      </c>
      <c r="T22" s="180"/>
      <c r="U22" s="181"/>
      <c r="V22" s="179">
        <f t="shared" si="5"/>
        <v>-201300</v>
      </c>
      <c r="W22" s="179">
        <f t="shared" si="6"/>
        <v>0</v>
      </c>
      <c r="X22" s="42"/>
      <c r="Y22" s="42"/>
      <c r="Z22" s="42"/>
      <c r="AA22" s="42"/>
      <c r="AB22" s="42"/>
    </row>
    <row r="23" ht="14.25" customHeight="1">
      <c r="A23" s="160">
        <v>22.0</v>
      </c>
      <c r="B23" s="160" t="s">
        <v>25</v>
      </c>
      <c r="C23" s="161" t="s">
        <v>47</v>
      </c>
      <c r="D23" s="164">
        <v>7.0</v>
      </c>
      <c r="E23" s="164">
        <v>7.0</v>
      </c>
      <c r="F23" s="161"/>
      <c r="G23" s="34">
        <v>67.0</v>
      </c>
      <c r="H23" s="161"/>
      <c r="I23" s="161">
        <f t="shared" si="1"/>
        <v>0</v>
      </c>
      <c r="J23" s="165"/>
      <c r="K23" s="165"/>
      <c r="L23" s="161">
        <f t="shared" si="2"/>
        <v>0</v>
      </c>
      <c r="M23" s="161">
        <f t="shared" si="3"/>
        <v>67</v>
      </c>
      <c r="N23" s="167"/>
      <c r="O23" s="161">
        <v>16.904</v>
      </c>
      <c r="P23" s="161">
        <v>12.699</v>
      </c>
      <c r="Q23" s="161">
        <f t="shared" si="4"/>
        <v>207.221</v>
      </c>
      <c r="R23" s="168">
        <v>456090.0</v>
      </c>
      <c r="S23" s="168">
        <v>456.0</v>
      </c>
      <c r="T23" s="223"/>
      <c r="U23" s="222"/>
      <c r="V23" s="170">
        <f t="shared" si="5"/>
        <v>-455634</v>
      </c>
      <c r="W23" s="170">
        <f t="shared" si="6"/>
        <v>0</v>
      </c>
      <c r="X23" s="42"/>
      <c r="Y23" s="42"/>
      <c r="Z23" s="42"/>
      <c r="AA23" s="42"/>
      <c r="AB23" s="42"/>
    </row>
    <row r="24" ht="14.25" customHeight="1">
      <c r="A24" s="160">
        <v>23.0</v>
      </c>
      <c r="B24" s="160" t="s">
        <v>25</v>
      </c>
      <c r="C24" s="161" t="s">
        <v>48</v>
      </c>
      <c r="D24" s="164">
        <v>6.0</v>
      </c>
      <c r="E24" s="164">
        <v>6.0</v>
      </c>
      <c r="F24" s="161"/>
      <c r="G24" s="34">
        <v>42.0</v>
      </c>
      <c r="H24" s="161"/>
      <c r="I24" s="161">
        <f t="shared" si="1"/>
        <v>108</v>
      </c>
      <c r="J24" s="165"/>
      <c r="K24" s="166">
        <v>150.0</v>
      </c>
      <c r="L24" s="161">
        <f t="shared" si="2"/>
        <v>0</v>
      </c>
      <c r="M24" s="161">
        <f t="shared" si="3"/>
        <v>150</v>
      </c>
      <c r="N24" s="167"/>
      <c r="O24" s="161">
        <v>16.904</v>
      </c>
      <c r="P24" s="161">
        <v>12.699</v>
      </c>
      <c r="Q24" s="161">
        <f t="shared" si="4"/>
        <v>177.618</v>
      </c>
      <c r="R24" s="168">
        <v>551700.0</v>
      </c>
      <c r="S24" s="168">
        <v>551.0</v>
      </c>
      <c r="T24" s="223"/>
      <c r="U24" s="222"/>
      <c r="V24" s="170">
        <f t="shared" si="5"/>
        <v>-551149</v>
      </c>
      <c r="W24" s="170">
        <f t="shared" si="6"/>
        <v>0</v>
      </c>
      <c r="X24" s="42"/>
      <c r="Y24" s="42"/>
      <c r="Z24" s="42"/>
      <c r="AA24" s="42"/>
      <c r="AB24" s="42"/>
    </row>
    <row r="25" ht="14.25" customHeight="1">
      <c r="A25" s="160">
        <v>24.0</v>
      </c>
      <c r="B25" s="160" t="s">
        <v>25</v>
      </c>
      <c r="C25" s="183" t="s">
        <v>49</v>
      </c>
      <c r="D25" s="186">
        <v>3.0</v>
      </c>
      <c r="E25" s="186">
        <v>3.0</v>
      </c>
      <c r="F25" s="183"/>
      <c r="G25" s="137">
        <v>43.0</v>
      </c>
      <c r="H25" s="183"/>
      <c r="I25" s="183">
        <f t="shared" si="1"/>
        <v>0</v>
      </c>
      <c r="J25" s="187"/>
      <c r="K25" s="187"/>
      <c r="L25" s="183">
        <f t="shared" si="2"/>
        <v>0</v>
      </c>
      <c r="M25" s="183">
        <f t="shared" si="3"/>
        <v>43</v>
      </c>
      <c r="N25" s="188" t="s">
        <v>121</v>
      </c>
      <c r="O25" s="183">
        <v>16.904</v>
      </c>
      <c r="P25" s="183">
        <v>12.699</v>
      </c>
      <c r="Q25" s="183">
        <f t="shared" si="4"/>
        <v>88.809</v>
      </c>
      <c r="R25" s="189">
        <v>376819.0</v>
      </c>
      <c r="S25" s="189">
        <v>376.0</v>
      </c>
      <c r="T25" s="190"/>
      <c r="U25" s="191"/>
      <c r="V25" s="192">
        <f t="shared" si="5"/>
        <v>-376443</v>
      </c>
      <c r="W25" s="192">
        <f t="shared" si="6"/>
        <v>0</v>
      </c>
      <c r="X25" s="42"/>
      <c r="Y25" s="42"/>
      <c r="Z25" s="42"/>
      <c r="AA25" s="42"/>
      <c r="AB25" s="42"/>
    </row>
    <row r="26" ht="14.25" customHeight="1">
      <c r="A26" s="160">
        <v>25.0</v>
      </c>
      <c r="B26" s="160" t="s">
        <v>25</v>
      </c>
      <c r="C26" s="161" t="s">
        <v>50</v>
      </c>
      <c r="D26" s="164">
        <v>7.0</v>
      </c>
      <c r="E26" s="164">
        <v>7.0</v>
      </c>
      <c r="F26" s="161"/>
      <c r="G26" s="34">
        <v>49.0</v>
      </c>
      <c r="H26" s="161"/>
      <c r="I26" s="161">
        <f t="shared" si="1"/>
        <v>100</v>
      </c>
      <c r="J26" s="165"/>
      <c r="K26" s="166">
        <v>149.0</v>
      </c>
      <c r="L26" s="161">
        <f t="shared" si="2"/>
        <v>0</v>
      </c>
      <c r="M26" s="161">
        <f t="shared" si="3"/>
        <v>149</v>
      </c>
      <c r="N26" s="167"/>
      <c r="O26" s="161">
        <v>16.904</v>
      </c>
      <c r="P26" s="161">
        <v>12.699</v>
      </c>
      <c r="Q26" s="161">
        <f t="shared" si="4"/>
        <v>207.221</v>
      </c>
      <c r="R26" s="168">
        <v>195141.0</v>
      </c>
      <c r="S26" s="168">
        <v>195.0</v>
      </c>
      <c r="T26" s="223"/>
      <c r="U26" s="222"/>
      <c r="V26" s="170">
        <f t="shared" si="5"/>
        <v>-194946</v>
      </c>
      <c r="W26" s="170">
        <f t="shared" si="6"/>
        <v>0</v>
      </c>
      <c r="X26" s="42"/>
      <c r="Y26" s="42"/>
      <c r="Z26" s="42"/>
      <c r="AA26" s="42"/>
      <c r="AB26" s="42"/>
    </row>
    <row r="27" ht="14.25" customHeight="1">
      <c r="A27" s="160">
        <v>26.0</v>
      </c>
      <c r="B27" s="160" t="s">
        <v>25</v>
      </c>
      <c r="C27" s="161" t="s">
        <v>51</v>
      </c>
      <c r="D27" s="164">
        <v>7.0</v>
      </c>
      <c r="E27" s="164">
        <v>7.0</v>
      </c>
      <c r="F27" s="161"/>
      <c r="G27" s="34">
        <v>42.0</v>
      </c>
      <c r="H27" s="161"/>
      <c r="I27" s="161">
        <f t="shared" si="1"/>
        <v>0</v>
      </c>
      <c r="J27" s="165"/>
      <c r="K27" s="165"/>
      <c r="L27" s="161">
        <f t="shared" si="2"/>
        <v>0</v>
      </c>
      <c r="M27" s="161">
        <f t="shared" si="3"/>
        <v>42</v>
      </c>
      <c r="N27" s="167"/>
      <c r="O27" s="161">
        <v>16.904</v>
      </c>
      <c r="P27" s="161">
        <v>12.699</v>
      </c>
      <c r="Q27" s="161">
        <f t="shared" si="4"/>
        <v>207.221</v>
      </c>
      <c r="R27" s="168">
        <v>191356.0</v>
      </c>
      <c r="S27" s="168">
        <v>191.0</v>
      </c>
      <c r="T27" s="223"/>
      <c r="U27" s="222"/>
      <c r="V27" s="170">
        <f t="shared" si="5"/>
        <v>-191165</v>
      </c>
      <c r="W27" s="170">
        <f t="shared" si="6"/>
        <v>0</v>
      </c>
      <c r="X27" s="42"/>
      <c r="Y27" s="42"/>
      <c r="Z27" s="42"/>
      <c r="AA27" s="42"/>
      <c r="AB27" s="42"/>
    </row>
    <row r="28" ht="14.25" customHeight="1">
      <c r="A28" s="160">
        <v>27.0</v>
      </c>
      <c r="B28" s="160" t="s">
        <v>25</v>
      </c>
      <c r="C28" s="161" t="s">
        <v>52</v>
      </c>
      <c r="D28" s="164">
        <v>7.0</v>
      </c>
      <c r="E28" s="164">
        <v>7.0</v>
      </c>
      <c r="F28" s="161"/>
      <c r="G28" s="34">
        <v>45.0</v>
      </c>
      <c r="H28" s="161"/>
      <c r="I28" s="161">
        <f t="shared" si="1"/>
        <v>40</v>
      </c>
      <c r="J28" s="165"/>
      <c r="K28" s="166">
        <v>85.0</v>
      </c>
      <c r="L28" s="161">
        <f t="shared" si="2"/>
        <v>0</v>
      </c>
      <c r="M28" s="161">
        <f t="shared" si="3"/>
        <v>85</v>
      </c>
      <c r="N28" s="167"/>
      <c r="O28" s="161">
        <v>16.904</v>
      </c>
      <c r="P28" s="161">
        <v>12.699</v>
      </c>
      <c r="Q28" s="161">
        <f t="shared" si="4"/>
        <v>207.221</v>
      </c>
      <c r="R28" s="168">
        <v>184891.0</v>
      </c>
      <c r="S28" s="168">
        <v>184.0</v>
      </c>
      <c r="T28" s="223"/>
      <c r="U28" s="222"/>
      <c r="V28" s="170">
        <f t="shared" si="5"/>
        <v>-184707</v>
      </c>
      <c r="W28" s="170">
        <f t="shared" si="6"/>
        <v>0</v>
      </c>
      <c r="X28" s="42"/>
      <c r="Y28" s="42"/>
      <c r="Z28" s="42"/>
      <c r="AA28" s="42"/>
      <c r="AB28" s="42"/>
    </row>
    <row r="29" ht="14.25" customHeight="1">
      <c r="A29" s="160">
        <v>28.0</v>
      </c>
      <c r="B29" s="160" t="s">
        <v>25</v>
      </c>
      <c r="C29" s="161" t="s">
        <v>53</v>
      </c>
      <c r="D29" s="164">
        <v>7.0</v>
      </c>
      <c r="E29" s="164">
        <v>7.0</v>
      </c>
      <c r="F29" s="161"/>
      <c r="G29" s="34">
        <v>46.0</v>
      </c>
      <c r="H29" s="161"/>
      <c r="I29" s="161">
        <f t="shared" si="1"/>
        <v>0</v>
      </c>
      <c r="J29" s="165"/>
      <c r="K29" s="165"/>
      <c r="L29" s="161">
        <f t="shared" si="2"/>
        <v>0</v>
      </c>
      <c r="M29" s="161">
        <f t="shared" si="3"/>
        <v>46</v>
      </c>
      <c r="N29" s="167"/>
      <c r="O29" s="161">
        <v>16.904</v>
      </c>
      <c r="P29" s="161">
        <v>12.699</v>
      </c>
      <c r="Q29" s="161">
        <f t="shared" si="4"/>
        <v>207.221</v>
      </c>
      <c r="R29" s="168">
        <v>182208.0</v>
      </c>
      <c r="S29" s="168">
        <v>182.0</v>
      </c>
      <c r="T29" s="223"/>
      <c r="U29" s="222"/>
      <c r="V29" s="170">
        <f t="shared" si="5"/>
        <v>-182026</v>
      </c>
      <c r="W29" s="170">
        <f t="shared" si="6"/>
        <v>0</v>
      </c>
      <c r="X29" s="42"/>
      <c r="Y29" s="42"/>
      <c r="Z29" s="42"/>
      <c r="AA29" s="42"/>
      <c r="AB29" s="42"/>
    </row>
    <row r="30" ht="14.25" customHeight="1">
      <c r="A30" s="160">
        <v>29.0</v>
      </c>
      <c r="B30" s="160" t="s">
        <v>25</v>
      </c>
      <c r="C30" s="161" t="s">
        <v>54</v>
      </c>
      <c r="D30" s="164">
        <v>6.0</v>
      </c>
      <c r="E30" s="164">
        <v>6.0</v>
      </c>
      <c r="F30" s="161"/>
      <c r="G30" s="34">
        <v>61.0</v>
      </c>
      <c r="H30" s="161"/>
      <c r="I30" s="161">
        <f t="shared" si="1"/>
        <v>60</v>
      </c>
      <c r="J30" s="165"/>
      <c r="K30" s="166">
        <v>121.0</v>
      </c>
      <c r="L30" s="161">
        <f t="shared" si="2"/>
        <v>0</v>
      </c>
      <c r="M30" s="161">
        <f t="shared" si="3"/>
        <v>121</v>
      </c>
      <c r="N30" s="167"/>
      <c r="O30" s="161">
        <v>16.904</v>
      </c>
      <c r="P30" s="161">
        <v>12.699</v>
      </c>
      <c r="Q30" s="161">
        <f t="shared" si="4"/>
        <v>177.618</v>
      </c>
      <c r="R30" s="168">
        <v>201478.0</v>
      </c>
      <c r="S30" s="168">
        <v>201.0</v>
      </c>
      <c r="T30" s="223"/>
      <c r="U30" s="222"/>
      <c r="V30" s="170">
        <f t="shared" si="5"/>
        <v>-201277</v>
      </c>
      <c r="W30" s="170">
        <f t="shared" si="6"/>
        <v>0</v>
      </c>
      <c r="X30" s="42"/>
      <c r="Y30" s="42"/>
      <c r="Z30" s="42"/>
      <c r="AA30" s="42"/>
      <c r="AB30" s="42"/>
    </row>
    <row r="31" ht="14.25" customHeight="1">
      <c r="A31" s="160">
        <v>30.0</v>
      </c>
      <c r="B31" s="160" t="s">
        <v>25</v>
      </c>
      <c r="C31" s="161" t="s">
        <v>55</v>
      </c>
      <c r="D31" s="164">
        <v>7.0</v>
      </c>
      <c r="E31" s="164">
        <v>7.0</v>
      </c>
      <c r="F31" s="161"/>
      <c r="G31" s="34">
        <v>52.0</v>
      </c>
      <c r="H31" s="161"/>
      <c r="I31" s="161">
        <f t="shared" si="1"/>
        <v>131</v>
      </c>
      <c r="J31" s="165"/>
      <c r="K31" s="166">
        <v>183.0</v>
      </c>
      <c r="L31" s="161">
        <f t="shared" si="2"/>
        <v>0</v>
      </c>
      <c r="M31" s="161">
        <f t="shared" si="3"/>
        <v>183</v>
      </c>
      <c r="N31" s="167"/>
      <c r="O31" s="161">
        <v>16.904</v>
      </c>
      <c r="P31" s="161">
        <v>12.699</v>
      </c>
      <c r="Q31" s="161">
        <f t="shared" si="4"/>
        <v>207.221</v>
      </c>
      <c r="R31" s="168">
        <v>205060.0</v>
      </c>
      <c r="S31" s="168">
        <v>205.0</v>
      </c>
      <c r="T31" s="223"/>
      <c r="U31" s="222"/>
      <c r="V31" s="170">
        <f t="shared" si="5"/>
        <v>-204855</v>
      </c>
      <c r="W31" s="170">
        <f t="shared" si="6"/>
        <v>0</v>
      </c>
      <c r="X31" s="42"/>
      <c r="Y31" s="42"/>
      <c r="Z31" s="42"/>
      <c r="AA31" s="42"/>
      <c r="AB31" s="42"/>
    </row>
    <row r="32" ht="14.25" customHeight="1">
      <c r="A32" s="160">
        <v>31.0</v>
      </c>
      <c r="B32" s="160" t="s">
        <v>25</v>
      </c>
      <c r="C32" s="161" t="s">
        <v>56</v>
      </c>
      <c r="D32" s="164">
        <v>7.0</v>
      </c>
      <c r="E32" s="164">
        <v>7.0</v>
      </c>
      <c r="F32" s="161"/>
      <c r="G32" s="34">
        <v>59.0</v>
      </c>
      <c r="H32" s="161"/>
      <c r="I32" s="161">
        <f t="shared" si="1"/>
        <v>62</v>
      </c>
      <c r="J32" s="165"/>
      <c r="K32" s="166">
        <v>121.0</v>
      </c>
      <c r="L32" s="161">
        <f t="shared" si="2"/>
        <v>0</v>
      </c>
      <c r="M32" s="161">
        <f t="shared" si="3"/>
        <v>121</v>
      </c>
      <c r="N32" s="167"/>
      <c r="O32" s="161">
        <v>16.904</v>
      </c>
      <c r="P32" s="161">
        <v>12.699</v>
      </c>
      <c r="Q32" s="161">
        <f t="shared" si="4"/>
        <v>207.221</v>
      </c>
      <c r="R32" s="168">
        <v>185100.0</v>
      </c>
      <c r="S32" s="168">
        <v>185.0</v>
      </c>
      <c r="T32" s="223"/>
      <c r="U32" s="222"/>
      <c r="V32" s="170">
        <f t="shared" si="5"/>
        <v>-184915</v>
      </c>
      <c r="W32" s="170">
        <f t="shared" si="6"/>
        <v>0</v>
      </c>
      <c r="X32" s="42"/>
      <c r="Y32" s="42"/>
      <c r="Z32" s="42"/>
      <c r="AA32" s="42"/>
      <c r="AB32" s="42"/>
    </row>
    <row r="33" ht="14.25" customHeight="1">
      <c r="A33" s="160">
        <v>32.0</v>
      </c>
      <c r="B33" s="160" t="s">
        <v>25</v>
      </c>
      <c r="C33" s="161" t="s">
        <v>57</v>
      </c>
      <c r="D33" s="164">
        <v>7.0</v>
      </c>
      <c r="E33" s="164">
        <v>7.0</v>
      </c>
      <c r="F33" s="161"/>
      <c r="G33" s="34">
        <v>48.0</v>
      </c>
      <c r="H33" s="161"/>
      <c r="I33" s="161">
        <f t="shared" si="1"/>
        <v>83</v>
      </c>
      <c r="J33" s="165"/>
      <c r="K33" s="166">
        <v>131.0</v>
      </c>
      <c r="L33" s="161">
        <f t="shared" si="2"/>
        <v>0</v>
      </c>
      <c r="M33" s="161">
        <f t="shared" si="3"/>
        <v>131</v>
      </c>
      <c r="N33" s="167"/>
      <c r="O33" s="161">
        <v>16.904</v>
      </c>
      <c r="P33" s="161">
        <v>12.699</v>
      </c>
      <c r="Q33" s="161">
        <f t="shared" si="4"/>
        <v>207.221</v>
      </c>
      <c r="R33" s="168">
        <v>184992.0</v>
      </c>
      <c r="S33" s="168">
        <v>184.0</v>
      </c>
      <c r="T33" s="223"/>
      <c r="U33" s="222"/>
      <c r="V33" s="170">
        <f t="shared" si="5"/>
        <v>-184808</v>
      </c>
      <c r="W33" s="170">
        <f t="shared" si="6"/>
        <v>0</v>
      </c>
      <c r="X33" s="42"/>
      <c r="Y33" s="42"/>
      <c r="Z33" s="42"/>
      <c r="AA33" s="42"/>
      <c r="AB33" s="42"/>
    </row>
    <row r="34" ht="14.25" customHeight="1">
      <c r="A34" s="160">
        <v>33.0</v>
      </c>
      <c r="B34" s="160" t="s">
        <v>25</v>
      </c>
      <c r="C34" s="161" t="s">
        <v>58</v>
      </c>
      <c r="D34" s="164">
        <v>7.0</v>
      </c>
      <c r="E34" s="164">
        <v>7.0</v>
      </c>
      <c r="F34" s="161"/>
      <c r="G34" s="34">
        <v>59.0</v>
      </c>
      <c r="H34" s="161"/>
      <c r="I34" s="161">
        <f t="shared" si="1"/>
        <v>51</v>
      </c>
      <c r="J34" s="165"/>
      <c r="K34" s="166">
        <v>110.0</v>
      </c>
      <c r="L34" s="161">
        <f t="shared" si="2"/>
        <v>0</v>
      </c>
      <c r="M34" s="161">
        <f t="shared" si="3"/>
        <v>110</v>
      </c>
      <c r="N34" s="167"/>
      <c r="O34" s="161">
        <v>16.904</v>
      </c>
      <c r="P34" s="161">
        <v>12.699</v>
      </c>
      <c r="Q34" s="161">
        <f t="shared" si="4"/>
        <v>207.221</v>
      </c>
      <c r="R34" s="168">
        <v>574412.0</v>
      </c>
      <c r="S34" s="168">
        <v>574.0</v>
      </c>
      <c r="T34" s="223"/>
      <c r="U34" s="222"/>
      <c r="V34" s="170">
        <f t="shared" si="5"/>
        <v>-573838</v>
      </c>
      <c r="W34" s="170">
        <f t="shared" si="6"/>
        <v>0</v>
      </c>
      <c r="X34" s="42"/>
      <c r="Y34" s="42"/>
      <c r="Z34" s="42"/>
      <c r="AA34" s="42"/>
      <c r="AB34" s="42"/>
    </row>
    <row r="35" ht="14.25" customHeight="1">
      <c r="A35" s="160">
        <v>34.0</v>
      </c>
      <c r="B35" s="160" t="s">
        <v>25</v>
      </c>
      <c r="C35" s="161" t="s">
        <v>59</v>
      </c>
      <c r="D35" s="164">
        <v>7.0</v>
      </c>
      <c r="E35" s="164">
        <v>7.0</v>
      </c>
      <c r="F35" s="161"/>
      <c r="G35" s="34">
        <v>83.0</v>
      </c>
      <c r="H35" s="161"/>
      <c r="I35" s="161">
        <f t="shared" si="1"/>
        <v>0</v>
      </c>
      <c r="J35" s="165"/>
      <c r="K35" s="165"/>
      <c r="L35" s="161">
        <f t="shared" si="2"/>
        <v>0</v>
      </c>
      <c r="M35" s="161">
        <f t="shared" si="3"/>
        <v>83</v>
      </c>
      <c r="N35" s="167"/>
      <c r="O35" s="161">
        <v>16.904</v>
      </c>
      <c r="P35" s="161">
        <v>12.699</v>
      </c>
      <c r="Q35" s="161">
        <f t="shared" si="4"/>
        <v>207.221</v>
      </c>
      <c r="R35" s="168">
        <v>190317.0</v>
      </c>
      <c r="S35" s="168">
        <v>190.0</v>
      </c>
      <c r="T35" s="223"/>
      <c r="U35" s="222"/>
      <c r="V35" s="170">
        <f t="shared" si="5"/>
        <v>-190127</v>
      </c>
      <c r="W35" s="170">
        <f t="shared" si="6"/>
        <v>0</v>
      </c>
      <c r="X35" s="42"/>
      <c r="Y35" s="42"/>
      <c r="Z35" s="42"/>
      <c r="AA35" s="42"/>
      <c r="AB35" s="42"/>
    </row>
    <row r="36" ht="14.25" customHeight="1">
      <c r="A36" s="160">
        <v>35.0</v>
      </c>
      <c r="B36" s="160" t="s">
        <v>25</v>
      </c>
      <c r="C36" s="161" t="s">
        <v>60</v>
      </c>
      <c r="D36" s="164">
        <v>7.0</v>
      </c>
      <c r="E36" s="164">
        <v>7.0</v>
      </c>
      <c r="F36" s="161"/>
      <c r="G36" s="34">
        <v>38.0</v>
      </c>
      <c r="H36" s="161"/>
      <c r="I36" s="161">
        <f t="shared" si="1"/>
        <v>127</v>
      </c>
      <c r="J36" s="165"/>
      <c r="K36" s="166">
        <v>165.0</v>
      </c>
      <c r="L36" s="161">
        <f t="shared" si="2"/>
        <v>0</v>
      </c>
      <c r="M36" s="161">
        <f t="shared" si="3"/>
        <v>165</v>
      </c>
      <c r="N36" s="167"/>
      <c r="O36" s="161">
        <v>16.904</v>
      </c>
      <c r="P36" s="161">
        <v>12.699</v>
      </c>
      <c r="Q36" s="161">
        <f t="shared" si="4"/>
        <v>207.221</v>
      </c>
      <c r="R36" s="168">
        <v>475232.0</v>
      </c>
      <c r="S36" s="168">
        <v>475.0</v>
      </c>
      <c r="T36" s="223"/>
      <c r="U36" s="222"/>
      <c r="V36" s="170">
        <f t="shared" si="5"/>
        <v>-474757</v>
      </c>
      <c r="W36" s="170">
        <f t="shared" si="6"/>
        <v>0</v>
      </c>
      <c r="X36" s="42"/>
      <c r="Y36" s="42"/>
      <c r="Z36" s="42"/>
      <c r="AA36" s="42"/>
      <c r="AB36" s="42"/>
    </row>
    <row r="37" ht="14.25" customHeight="1">
      <c r="A37" s="160">
        <v>36.0</v>
      </c>
      <c r="B37" s="160" t="s">
        <v>25</v>
      </c>
      <c r="C37" s="161" t="s">
        <v>61</v>
      </c>
      <c r="D37" s="164">
        <v>7.0</v>
      </c>
      <c r="E37" s="164">
        <v>7.0</v>
      </c>
      <c r="F37" s="161"/>
      <c r="G37" s="34">
        <v>43.0</v>
      </c>
      <c r="H37" s="161"/>
      <c r="I37" s="161">
        <f t="shared" si="1"/>
        <v>81</v>
      </c>
      <c r="J37" s="165"/>
      <c r="K37" s="166">
        <v>124.0</v>
      </c>
      <c r="L37" s="161">
        <f t="shared" si="2"/>
        <v>0</v>
      </c>
      <c r="M37" s="161">
        <f t="shared" si="3"/>
        <v>124</v>
      </c>
      <c r="N37" s="167"/>
      <c r="O37" s="161">
        <v>16.904</v>
      </c>
      <c r="P37" s="161">
        <v>12.699</v>
      </c>
      <c r="Q37" s="161">
        <f t="shared" si="4"/>
        <v>207.221</v>
      </c>
      <c r="R37" s="168">
        <v>468161.0</v>
      </c>
      <c r="S37" s="168">
        <v>468.0</v>
      </c>
      <c r="T37" s="223"/>
      <c r="U37" s="222"/>
      <c r="V37" s="170">
        <f t="shared" si="5"/>
        <v>-467693</v>
      </c>
      <c r="W37" s="170">
        <f t="shared" si="6"/>
        <v>0</v>
      </c>
      <c r="X37" s="42"/>
      <c r="Y37" s="42"/>
      <c r="Z37" s="42"/>
      <c r="AA37" s="42"/>
      <c r="AB37" s="42"/>
    </row>
    <row r="38" ht="14.25" customHeight="1">
      <c r="A38" s="160">
        <v>37.0</v>
      </c>
      <c r="B38" s="160" t="s">
        <v>25</v>
      </c>
      <c r="C38" s="161" t="s">
        <v>62</v>
      </c>
      <c r="D38" s="164">
        <v>7.0</v>
      </c>
      <c r="E38" s="164">
        <v>7.0</v>
      </c>
      <c r="F38" s="161"/>
      <c r="G38" s="34">
        <v>48.0</v>
      </c>
      <c r="H38" s="161"/>
      <c r="I38" s="161">
        <f t="shared" si="1"/>
        <v>0</v>
      </c>
      <c r="J38" s="165"/>
      <c r="K38" s="165"/>
      <c r="L38" s="161">
        <f t="shared" si="2"/>
        <v>0</v>
      </c>
      <c r="M38" s="161">
        <f t="shared" si="3"/>
        <v>48</v>
      </c>
      <c r="N38" s="167"/>
      <c r="O38" s="161">
        <v>16.904</v>
      </c>
      <c r="P38" s="161">
        <v>12.699</v>
      </c>
      <c r="Q38" s="161">
        <f t="shared" si="4"/>
        <v>207.221</v>
      </c>
      <c r="R38" s="168">
        <v>200707.0</v>
      </c>
      <c r="S38" s="168">
        <v>200.0</v>
      </c>
      <c r="T38" s="223"/>
      <c r="U38" s="222"/>
      <c r="V38" s="170">
        <f t="shared" si="5"/>
        <v>-200507</v>
      </c>
      <c r="W38" s="170">
        <f t="shared" si="6"/>
        <v>0</v>
      </c>
      <c r="X38" s="42"/>
      <c r="Y38" s="42"/>
      <c r="Z38" s="42"/>
      <c r="AA38" s="42"/>
      <c r="AB38" s="42"/>
    </row>
    <row r="39" ht="14.25" customHeight="1">
      <c r="A39" s="160">
        <v>38.0</v>
      </c>
      <c r="B39" s="160" t="s">
        <v>25</v>
      </c>
      <c r="C39" s="161" t="s">
        <v>63</v>
      </c>
      <c r="D39" s="164">
        <v>7.0</v>
      </c>
      <c r="E39" s="164">
        <v>7.0</v>
      </c>
      <c r="F39" s="161"/>
      <c r="G39" s="34">
        <v>67.0</v>
      </c>
      <c r="H39" s="161"/>
      <c r="I39" s="161">
        <f t="shared" si="1"/>
        <v>70</v>
      </c>
      <c r="J39" s="165"/>
      <c r="K39" s="166">
        <v>137.0</v>
      </c>
      <c r="L39" s="161">
        <f t="shared" si="2"/>
        <v>0</v>
      </c>
      <c r="M39" s="161">
        <f t="shared" si="3"/>
        <v>137</v>
      </c>
      <c r="N39" s="167"/>
      <c r="O39" s="161">
        <v>16.904</v>
      </c>
      <c r="P39" s="161">
        <v>12.699</v>
      </c>
      <c r="Q39" s="161">
        <f t="shared" si="4"/>
        <v>207.221</v>
      </c>
      <c r="R39" s="168">
        <v>380311.0</v>
      </c>
      <c r="S39" s="168">
        <v>380.0</v>
      </c>
      <c r="T39" s="223"/>
      <c r="U39" s="222"/>
      <c r="V39" s="170">
        <f t="shared" si="5"/>
        <v>-379931</v>
      </c>
      <c r="W39" s="170">
        <f t="shared" si="6"/>
        <v>0</v>
      </c>
      <c r="X39" s="42"/>
      <c r="Y39" s="42"/>
      <c r="Z39" s="42"/>
      <c r="AA39" s="42"/>
      <c r="AB39" s="42"/>
    </row>
    <row r="40" ht="14.25" customHeight="1">
      <c r="A40" s="160">
        <v>39.0</v>
      </c>
      <c r="B40" s="160" t="s">
        <v>25</v>
      </c>
      <c r="C40" s="161" t="s">
        <v>64</v>
      </c>
      <c r="D40" s="164">
        <v>7.0</v>
      </c>
      <c r="E40" s="164">
        <v>7.0</v>
      </c>
      <c r="F40" s="161"/>
      <c r="G40" s="34">
        <v>40.0</v>
      </c>
      <c r="H40" s="161"/>
      <c r="I40" s="161">
        <f t="shared" si="1"/>
        <v>0</v>
      </c>
      <c r="J40" s="165"/>
      <c r="K40" s="165"/>
      <c r="L40" s="161">
        <f t="shared" si="2"/>
        <v>0</v>
      </c>
      <c r="M40" s="161">
        <f t="shared" si="3"/>
        <v>40</v>
      </c>
      <c r="N40" s="167"/>
      <c r="O40" s="161">
        <v>16.904</v>
      </c>
      <c r="P40" s="161">
        <v>12.699</v>
      </c>
      <c r="Q40" s="161">
        <f t="shared" si="4"/>
        <v>207.221</v>
      </c>
      <c r="R40" s="168">
        <v>173996.0</v>
      </c>
      <c r="S40" s="168">
        <v>173.0</v>
      </c>
      <c r="T40" s="223"/>
      <c r="U40" s="222"/>
      <c r="V40" s="170">
        <f t="shared" si="5"/>
        <v>-173823</v>
      </c>
      <c r="W40" s="170">
        <f t="shared" si="6"/>
        <v>0</v>
      </c>
      <c r="X40" s="42"/>
      <c r="Y40" s="42"/>
      <c r="Z40" s="42"/>
      <c r="AA40" s="42"/>
      <c r="AB40" s="42"/>
    </row>
    <row r="41" ht="14.25" customHeight="1">
      <c r="A41" s="160">
        <v>40.0</v>
      </c>
      <c r="B41" s="160" t="s">
        <v>25</v>
      </c>
      <c r="C41" s="161" t="s">
        <v>65</v>
      </c>
      <c r="D41" s="164">
        <v>7.0</v>
      </c>
      <c r="E41" s="164">
        <v>7.0</v>
      </c>
      <c r="F41" s="161"/>
      <c r="G41" s="34">
        <v>65.0</v>
      </c>
      <c r="H41" s="161"/>
      <c r="I41" s="161">
        <f t="shared" si="1"/>
        <v>50</v>
      </c>
      <c r="J41" s="165"/>
      <c r="K41" s="166">
        <v>115.0</v>
      </c>
      <c r="L41" s="161">
        <f t="shared" si="2"/>
        <v>0</v>
      </c>
      <c r="M41" s="161">
        <f t="shared" si="3"/>
        <v>115</v>
      </c>
      <c r="N41" s="167"/>
      <c r="O41" s="161">
        <v>16.904</v>
      </c>
      <c r="P41" s="161">
        <v>12.699</v>
      </c>
      <c r="Q41" s="161">
        <f t="shared" si="4"/>
        <v>207.221</v>
      </c>
      <c r="R41" s="168">
        <v>418045.0</v>
      </c>
      <c r="S41" s="168">
        <v>418.0</v>
      </c>
      <c r="T41" s="223"/>
      <c r="U41" s="222"/>
      <c r="V41" s="170">
        <f t="shared" si="5"/>
        <v>-417627</v>
      </c>
      <c r="W41" s="170">
        <f t="shared" si="6"/>
        <v>0</v>
      </c>
      <c r="X41" s="42"/>
      <c r="Y41" s="42"/>
      <c r="Z41" s="42"/>
      <c r="AA41" s="42"/>
      <c r="AB41" s="42"/>
    </row>
    <row r="42" ht="14.25" customHeight="1">
      <c r="A42" s="160">
        <v>41.0</v>
      </c>
      <c r="B42" s="160" t="s">
        <v>25</v>
      </c>
      <c r="C42" s="161" t="s">
        <v>66</v>
      </c>
      <c r="D42" s="164">
        <v>7.0</v>
      </c>
      <c r="E42" s="164">
        <v>7.0</v>
      </c>
      <c r="F42" s="161"/>
      <c r="G42" s="34">
        <v>49.0</v>
      </c>
      <c r="H42" s="161"/>
      <c r="I42" s="161">
        <f t="shared" si="1"/>
        <v>0</v>
      </c>
      <c r="J42" s="165"/>
      <c r="K42" s="165"/>
      <c r="L42" s="161">
        <f t="shared" si="2"/>
        <v>0</v>
      </c>
      <c r="M42" s="161">
        <f t="shared" si="3"/>
        <v>49</v>
      </c>
      <c r="N42" s="167"/>
      <c r="O42" s="161">
        <v>16.904</v>
      </c>
      <c r="P42" s="161">
        <v>12.699</v>
      </c>
      <c r="Q42" s="161">
        <f t="shared" si="4"/>
        <v>207.221</v>
      </c>
      <c r="R42" s="168">
        <v>204272.0</v>
      </c>
      <c r="S42" s="168">
        <v>204.0</v>
      </c>
      <c r="T42" s="223"/>
      <c r="U42" s="222"/>
      <c r="V42" s="170">
        <f t="shared" si="5"/>
        <v>-204068</v>
      </c>
      <c r="W42" s="170">
        <f t="shared" si="6"/>
        <v>0</v>
      </c>
      <c r="X42" s="42"/>
      <c r="Y42" s="42"/>
      <c r="Z42" s="42"/>
      <c r="AA42" s="42"/>
      <c r="AB42" s="42"/>
    </row>
    <row r="43" ht="14.25" customHeight="1">
      <c r="A43" s="160">
        <v>42.0</v>
      </c>
      <c r="B43" s="160" t="s">
        <v>25</v>
      </c>
      <c r="C43" s="161" t="s">
        <v>67</v>
      </c>
      <c r="D43" s="164">
        <v>7.0</v>
      </c>
      <c r="E43" s="164">
        <v>7.0</v>
      </c>
      <c r="F43" s="161"/>
      <c r="G43" s="34">
        <v>55.0</v>
      </c>
      <c r="H43" s="161"/>
      <c r="I43" s="161">
        <f t="shared" si="1"/>
        <v>0</v>
      </c>
      <c r="J43" s="165"/>
      <c r="K43" s="165"/>
      <c r="L43" s="161">
        <f t="shared" si="2"/>
        <v>0</v>
      </c>
      <c r="M43" s="161">
        <f t="shared" si="3"/>
        <v>55</v>
      </c>
      <c r="N43" s="167"/>
      <c r="O43" s="161">
        <v>16.904</v>
      </c>
      <c r="P43" s="161">
        <v>12.699</v>
      </c>
      <c r="Q43" s="161">
        <f t="shared" si="4"/>
        <v>207.221</v>
      </c>
      <c r="R43" s="168">
        <v>181852.0</v>
      </c>
      <c r="S43" s="168">
        <v>181.0</v>
      </c>
      <c r="T43" s="223"/>
      <c r="U43" s="222"/>
      <c r="V43" s="170">
        <f t="shared" si="5"/>
        <v>-181671</v>
      </c>
      <c r="W43" s="170">
        <f t="shared" si="6"/>
        <v>0</v>
      </c>
      <c r="X43" s="42"/>
      <c r="Y43" s="42"/>
      <c r="Z43" s="42"/>
      <c r="AA43" s="42"/>
      <c r="AB43" s="42"/>
    </row>
    <row r="44" ht="14.25" customHeight="1">
      <c r="A44" s="160">
        <v>43.0</v>
      </c>
      <c r="B44" s="160" t="s">
        <v>25</v>
      </c>
      <c r="C44" s="183" t="s">
        <v>68</v>
      </c>
      <c r="D44" s="186">
        <v>3.0</v>
      </c>
      <c r="E44" s="186">
        <v>3.0</v>
      </c>
      <c r="F44" s="183"/>
      <c r="G44" s="137">
        <v>47.0</v>
      </c>
      <c r="H44" s="183"/>
      <c r="I44" s="183">
        <f t="shared" si="1"/>
        <v>0</v>
      </c>
      <c r="J44" s="187"/>
      <c r="K44" s="187"/>
      <c r="L44" s="183">
        <f t="shared" si="2"/>
        <v>0</v>
      </c>
      <c r="M44" s="183">
        <f t="shared" si="3"/>
        <v>47</v>
      </c>
      <c r="N44" s="188" t="s">
        <v>121</v>
      </c>
      <c r="O44" s="183">
        <v>16.904</v>
      </c>
      <c r="P44" s="183">
        <v>12.699</v>
      </c>
      <c r="Q44" s="183">
        <f t="shared" si="4"/>
        <v>88.809</v>
      </c>
      <c r="R44" s="189">
        <v>206663.0</v>
      </c>
      <c r="S44" s="189">
        <v>206.0</v>
      </c>
      <c r="T44" s="190"/>
      <c r="U44" s="191"/>
      <c r="V44" s="192">
        <f t="shared" si="5"/>
        <v>-206457</v>
      </c>
      <c r="W44" s="192">
        <f t="shared" si="6"/>
        <v>0</v>
      </c>
      <c r="X44" s="42"/>
      <c r="Y44" s="42"/>
      <c r="Z44" s="42"/>
      <c r="AA44" s="42"/>
      <c r="AB44" s="42"/>
    </row>
    <row r="45" ht="14.25" customHeight="1">
      <c r="A45" s="160">
        <v>44.0</v>
      </c>
      <c r="B45" s="160" t="s">
        <v>25</v>
      </c>
      <c r="C45" s="161" t="s">
        <v>69</v>
      </c>
      <c r="D45" s="164">
        <v>7.0</v>
      </c>
      <c r="E45" s="164">
        <v>7.0</v>
      </c>
      <c r="F45" s="161"/>
      <c r="G45" s="34">
        <v>40.0</v>
      </c>
      <c r="H45" s="161"/>
      <c r="I45" s="161">
        <f t="shared" si="1"/>
        <v>88</v>
      </c>
      <c r="J45" s="165"/>
      <c r="K45" s="166">
        <v>128.0</v>
      </c>
      <c r="L45" s="161">
        <f t="shared" si="2"/>
        <v>0</v>
      </c>
      <c r="M45" s="161">
        <f t="shared" si="3"/>
        <v>128</v>
      </c>
      <c r="N45" s="167"/>
      <c r="O45" s="161">
        <v>16.904</v>
      </c>
      <c r="P45" s="161">
        <v>12.699</v>
      </c>
      <c r="Q45" s="161">
        <f t="shared" si="4"/>
        <v>207.221</v>
      </c>
      <c r="R45" s="168">
        <v>561458.0</v>
      </c>
      <c r="S45" s="168">
        <v>561.0</v>
      </c>
      <c r="T45" s="223"/>
      <c r="U45" s="222"/>
      <c r="V45" s="170">
        <f t="shared" si="5"/>
        <v>-560897</v>
      </c>
      <c r="W45" s="170">
        <f t="shared" si="6"/>
        <v>0</v>
      </c>
      <c r="X45" s="42"/>
      <c r="Y45" s="42"/>
      <c r="Z45" s="42"/>
      <c r="AA45" s="42"/>
      <c r="AB45" s="42"/>
    </row>
    <row r="46" ht="14.25" customHeight="1">
      <c r="A46" s="160">
        <v>45.0</v>
      </c>
      <c r="B46" s="160" t="s">
        <v>25</v>
      </c>
      <c r="C46" s="161" t="s">
        <v>70</v>
      </c>
      <c r="D46" s="164">
        <v>7.0</v>
      </c>
      <c r="E46" s="164">
        <v>7.0</v>
      </c>
      <c r="F46" s="161"/>
      <c r="G46" s="34">
        <v>47.0</v>
      </c>
      <c r="H46" s="161"/>
      <c r="I46" s="161">
        <f t="shared" si="1"/>
        <v>0</v>
      </c>
      <c r="J46" s="165"/>
      <c r="K46" s="165"/>
      <c r="L46" s="161">
        <f t="shared" si="2"/>
        <v>0</v>
      </c>
      <c r="M46" s="161">
        <f t="shared" si="3"/>
        <v>47</v>
      </c>
      <c r="N46" s="167"/>
      <c r="O46" s="161">
        <v>16.904</v>
      </c>
      <c r="P46" s="161">
        <v>12.699</v>
      </c>
      <c r="Q46" s="161">
        <f t="shared" si="4"/>
        <v>207.221</v>
      </c>
      <c r="R46" s="168">
        <v>550686.0</v>
      </c>
      <c r="S46" s="168">
        <v>550.0</v>
      </c>
      <c r="T46" s="223"/>
      <c r="U46" s="222"/>
      <c r="V46" s="170">
        <f t="shared" si="5"/>
        <v>-550136</v>
      </c>
      <c r="W46" s="170">
        <f t="shared" si="6"/>
        <v>0</v>
      </c>
      <c r="X46" s="42"/>
      <c r="Y46" s="42"/>
      <c r="Z46" s="42"/>
      <c r="AA46" s="42"/>
      <c r="AB46" s="42"/>
    </row>
    <row r="47" ht="14.25" customHeight="1">
      <c r="A47" s="160">
        <v>46.0</v>
      </c>
      <c r="B47" s="160" t="s">
        <v>25</v>
      </c>
      <c r="C47" s="161" t="s">
        <v>71</v>
      </c>
      <c r="D47" s="164">
        <v>6.0</v>
      </c>
      <c r="E47" s="164">
        <v>6.0</v>
      </c>
      <c r="F47" s="161"/>
      <c r="G47" s="34">
        <v>49.0</v>
      </c>
      <c r="H47" s="161"/>
      <c r="I47" s="161">
        <f t="shared" si="1"/>
        <v>58</v>
      </c>
      <c r="J47" s="165"/>
      <c r="K47" s="166">
        <v>107.0</v>
      </c>
      <c r="L47" s="161">
        <f t="shared" si="2"/>
        <v>0</v>
      </c>
      <c r="M47" s="161">
        <f t="shared" si="3"/>
        <v>107</v>
      </c>
      <c r="N47" s="167"/>
      <c r="O47" s="161">
        <v>16.904</v>
      </c>
      <c r="P47" s="161">
        <v>12.699</v>
      </c>
      <c r="Q47" s="161">
        <f t="shared" si="4"/>
        <v>177.618</v>
      </c>
      <c r="R47" s="168">
        <v>184013.0</v>
      </c>
      <c r="S47" s="168">
        <v>184.0</v>
      </c>
      <c r="T47" s="223"/>
      <c r="U47" s="222"/>
      <c r="V47" s="170">
        <f t="shared" si="5"/>
        <v>-183829</v>
      </c>
      <c r="W47" s="170">
        <f t="shared" si="6"/>
        <v>0</v>
      </c>
      <c r="X47" s="42"/>
      <c r="Y47" s="42"/>
      <c r="Z47" s="42"/>
      <c r="AA47" s="42"/>
      <c r="AB47" s="42"/>
    </row>
    <row r="48" ht="14.25" customHeight="1">
      <c r="A48" s="160">
        <v>47.0</v>
      </c>
      <c r="B48" s="160" t="s">
        <v>25</v>
      </c>
      <c r="C48" s="161" t="s">
        <v>72</v>
      </c>
      <c r="D48" s="164">
        <v>6.0</v>
      </c>
      <c r="E48" s="164">
        <v>6.0</v>
      </c>
      <c r="F48" s="161"/>
      <c r="G48" s="34">
        <v>47.0</v>
      </c>
      <c r="H48" s="161"/>
      <c r="I48" s="161">
        <f t="shared" si="1"/>
        <v>91</v>
      </c>
      <c r="J48" s="165"/>
      <c r="K48" s="166">
        <v>138.0</v>
      </c>
      <c r="L48" s="161">
        <f t="shared" si="2"/>
        <v>0</v>
      </c>
      <c r="M48" s="161">
        <f t="shared" si="3"/>
        <v>138</v>
      </c>
      <c r="N48" s="167"/>
      <c r="O48" s="161">
        <v>16.904</v>
      </c>
      <c r="P48" s="161">
        <v>12.699</v>
      </c>
      <c r="Q48" s="161">
        <f t="shared" si="4"/>
        <v>177.618</v>
      </c>
      <c r="R48" s="168">
        <v>387285.0</v>
      </c>
      <c r="S48" s="168">
        <v>387.0</v>
      </c>
      <c r="T48" s="223"/>
      <c r="U48" s="222"/>
      <c r="V48" s="170">
        <f t="shared" si="5"/>
        <v>-386898</v>
      </c>
      <c r="W48" s="170">
        <f t="shared" si="6"/>
        <v>0</v>
      </c>
      <c r="X48" s="42"/>
      <c r="Y48" s="42"/>
      <c r="Z48" s="42"/>
      <c r="AA48" s="42"/>
      <c r="AB48" s="42"/>
    </row>
    <row r="49" ht="14.25" customHeight="1">
      <c r="A49" s="160">
        <v>48.0</v>
      </c>
      <c r="B49" s="160" t="s">
        <v>25</v>
      </c>
      <c r="C49" s="161" t="s">
        <v>73</v>
      </c>
      <c r="D49" s="164">
        <v>7.0</v>
      </c>
      <c r="E49" s="164">
        <v>7.0</v>
      </c>
      <c r="F49" s="161"/>
      <c r="G49" s="34">
        <v>67.0</v>
      </c>
      <c r="H49" s="161"/>
      <c r="I49" s="161">
        <f t="shared" si="1"/>
        <v>58</v>
      </c>
      <c r="J49" s="165"/>
      <c r="K49" s="166">
        <v>125.0</v>
      </c>
      <c r="L49" s="161">
        <f t="shared" si="2"/>
        <v>0</v>
      </c>
      <c r="M49" s="161">
        <f t="shared" si="3"/>
        <v>125</v>
      </c>
      <c r="N49" s="167"/>
      <c r="O49" s="161">
        <v>16.904</v>
      </c>
      <c r="P49" s="161">
        <v>12.699</v>
      </c>
      <c r="Q49" s="161">
        <f t="shared" si="4"/>
        <v>207.221</v>
      </c>
      <c r="R49" s="168">
        <v>184192.0</v>
      </c>
      <c r="S49" s="168">
        <v>184.0</v>
      </c>
      <c r="T49" s="223"/>
      <c r="U49" s="222"/>
      <c r="V49" s="170">
        <f t="shared" si="5"/>
        <v>-184008</v>
      </c>
      <c r="W49" s="170">
        <f t="shared" si="6"/>
        <v>0</v>
      </c>
      <c r="X49" s="42"/>
      <c r="Y49" s="42"/>
      <c r="Z49" s="42"/>
      <c r="AA49" s="42"/>
      <c r="AB49" s="42"/>
    </row>
    <row r="50" ht="14.25" customHeight="1">
      <c r="A50" s="160">
        <v>49.0</v>
      </c>
      <c r="B50" s="160" t="s">
        <v>25</v>
      </c>
      <c r="C50" s="161" t="s">
        <v>74</v>
      </c>
      <c r="D50" s="164">
        <v>7.0</v>
      </c>
      <c r="E50" s="164">
        <v>7.0</v>
      </c>
      <c r="F50" s="161"/>
      <c r="G50" s="34">
        <v>54.0</v>
      </c>
      <c r="H50" s="161"/>
      <c r="I50" s="161">
        <f t="shared" si="1"/>
        <v>78</v>
      </c>
      <c r="J50" s="165"/>
      <c r="K50" s="166">
        <v>132.0</v>
      </c>
      <c r="L50" s="161">
        <f t="shared" si="2"/>
        <v>0</v>
      </c>
      <c r="M50" s="161">
        <f t="shared" si="3"/>
        <v>132</v>
      </c>
      <c r="N50" s="167"/>
      <c r="O50" s="161">
        <v>16.904</v>
      </c>
      <c r="P50" s="161">
        <v>12.699</v>
      </c>
      <c r="Q50" s="161">
        <f t="shared" si="4"/>
        <v>207.221</v>
      </c>
      <c r="R50" s="168">
        <v>178402.0</v>
      </c>
      <c r="S50" s="168">
        <v>178.0</v>
      </c>
      <c r="T50" s="223"/>
      <c r="U50" s="222"/>
      <c r="V50" s="170">
        <f t="shared" si="5"/>
        <v>-178224</v>
      </c>
      <c r="W50" s="170">
        <f t="shared" si="6"/>
        <v>0</v>
      </c>
      <c r="X50" s="42"/>
      <c r="Y50" s="42"/>
      <c r="Z50" s="42"/>
      <c r="AA50" s="42"/>
      <c r="AB50" s="42"/>
    </row>
    <row r="51" ht="14.25" customHeight="1">
      <c r="A51" s="160">
        <v>50.0</v>
      </c>
      <c r="B51" s="160" t="s">
        <v>25</v>
      </c>
      <c r="C51" s="161" t="s">
        <v>75</v>
      </c>
      <c r="D51" s="164">
        <v>7.0</v>
      </c>
      <c r="E51" s="164">
        <v>7.0</v>
      </c>
      <c r="F51" s="161"/>
      <c r="G51" s="34">
        <v>45.0</v>
      </c>
      <c r="H51" s="161"/>
      <c r="I51" s="161">
        <f t="shared" si="1"/>
        <v>95</v>
      </c>
      <c r="J51" s="165"/>
      <c r="K51" s="166">
        <v>140.0</v>
      </c>
      <c r="L51" s="161">
        <f t="shared" si="2"/>
        <v>0</v>
      </c>
      <c r="M51" s="161">
        <f t="shared" si="3"/>
        <v>140</v>
      </c>
      <c r="N51" s="167"/>
      <c r="O51" s="161">
        <v>16.904</v>
      </c>
      <c r="P51" s="161">
        <v>12.699</v>
      </c>
      <c r="Q51" s="161">
        <f t="shared" si="4"/>
        <v>207.221</v>
      </c>
      <c r="R51" s="168">
        <v>198902.0</v>
      </c>
      <c r="S51" s="168">
        <v>198.0</v>
      </c>
      <c r="T51" s="223"/>
      <c r="U51" s="222"/>
      <c r="V51" s="170">
        <f t="shared" si="5"/>
        <v>-198704</v>
      </c>
      <c r="W51" s="170">
        <f t="shared" si="6"/>
        <v>0</v>
      </c>
      <c r="X51" s="42"/>
      <c r="Y51" s="42"/>
      <c r="Z51" s="42"/>
      <c r="AA51" s="42"/>
      <c r="AB51" s="42"/>
    </row>
    <row r="52" ht="14.25" customHeight="1">
      <c r="A52" s="160">
        <v>51.0</v>
      </c>
      <c r="B52" s="160" t="s">
        <v>25</v>
      </c>
      <c r="C52" s="161" t="s">
        <v>76</v>
      </c>
      <c r="D52" s="164">
        <v>7.0</v>
      </c>
      <c r="E52" s="164">
        <v>7.0</v>
      </c>
      <c r="F52" s="161"/>
      <c r="G52" s="34">
        <v>71.0</v>
      </c>
      <c r="H52" s="161"/>
      <c r="I52" s="161">
        <f t="shared" si="1"/>
        <v>111</v>
      </c>
      <c r="J52" s="165"/>
      <c r="K52" s="166">
        <v>182.0</v>
      </c>
      <c r="L52" s="161">
        <f t="shared" si="2"/>
        <v>0</v>
      </c>
      <c r="M52" s="161">
        <f t="shared" si="3"/>
        <v>182</v>
      </c>
      <c r="N52" s="167"/>
      <c r="O52" s="161">
        <v>16.904</v>
      </c>
      <c r="P52" s="161">
        <v>12.699</v>
      </c>
      <c r="Q52" s="161">
        <f t="shared" si="4"/>
        <v>207.221</v>
      </c>
      <c r="R52" s="168">
        <v>530377.0</v>
      </c>
      <c r="S52" s="168">
        <v>530.0</v>
      </c>
      <c r="T52" s="223"/>
      <c r="U52" s="222"/>
      <c r="V52" s="170">
        <f t="shared" si="5"/>
        <v>-529847</v>
      </c>
      <c r="W52" s="170">
        <f t="shared" si="6"/>
        <v>0</v>
      </c>
      <c r="X52" s="42"/>
      <c r="Y52" s="42"/>
      <c r="Z52" s="42"/>
      <c r="AA52" s="42"/>
      <c r="AB52" s="42"/>
    </row>
    <row r="53" ht="14.25" customHeight="1">
      <c r="A53" s="160">
        <v>52.0</v>
      </c>
      <c r="B53" s="160" t="s">
        <v>25</v>
      </c>
      <c r="C53" s="161" t="s">
        <v>77</v>
      </c>
      <c r="D53" s="164">
        <v>7.0</v>
      </c>
      <c r="E53" s="164">
        <v>7.0</v>
      </c>
      <c r="F53" s="161"/>
      <c r="G53" s="34">
        <v>57.0</v>
      </c>
      <c r="H53" s="161"/>
      <c r="I53" s="161">
        <f t="shared" si="1"/>
        <v>61</v>
      </c>
      <c r="J53" s="165"/>
      <c r="K53" s="166">
        <v>118.0</v>
      </c>
      <c r="L53" s="161">
        <f t="shared" si="2"/>
        <v>0</v>
      </c>
      <c r="M53" s="161">
        <f t="shared" si="3"/>
        <v>118</v>
      </c>
      <c r="N53" s="167"/>
      <c r="O53" s="161">
        <v>16.904</v>
      </c>
      <c r="P53" s="161">
        <v>12.699</v>
      </c>
      <c r="Q53" s="161">
        <f t="shared" si="4"/>
        <v>207.221</v>
      </c>
      <c r="R53" s="168">
        <v>479947.0</v>
      </c>
      <c r="S53" s="168">
        <v>480.0</v>
      </c>
      <c r="T53" s="223"/>
      <c r="U53" s="222"/>
      <c r="V53" s="170">
        <f t="shared" si="5"/>
        <v>-479467</v>
      </c>
      <c r="W53" s="170">
        <f t="shared" si="6"/>
        <v>0</v>
      </c>
      <c r="X53" s="42"/>
      <c r="Y53" s="42"/>
      <c r="Z53" s="42"/>
      <c r="AA53" s="42"/>
      <c r="AB53" s="42"/>
    </row>
    <row r="54" ht="14.25" customHeight="1">
      <c r="A54" s="160">
        <v>53.0</v>
      </c>
      <c r="B54" s="160" t="s">
        <v>25</v>
      </c>
      <c r="C54" s="161" t="s">
        <v>78</v>
      </c>
      <c r="D54" s="164">
        <v>7.0</v>
      </c>
      <c r="E54" s="164">
        <v>7.0</v>
      </c>
      <c r="F54" s="161"/>
      <c r="G54" s="34">
        <v>78.0</v>
      </c>
      <c r="H54" s="161"/>
      <c r="I54" s="161">
        <f t="shared" si="1"/>
        <v>102</v>
      </c>
      <c r="J54" s="165"/>
      <c r="K54" s="166">
        <v>180.0</v>
      </c>
      <c r="L54" s="161">
        <f t="shared" si="2"/>
        <v>0</v>
      </c>
      <c r="M54" s="161">
        <f t="shared" si="3"/>
        <v>180</v>
      </c>
      <c r="N54" s="167"/>
      <c r="O54" s="161">
        <v>16.904</v>
      </c>
      <c r="P54" s="161">
        <v>12.699</v>
      </c>
      <c r="Q54" s="161">
        <f t="shared" si="4"/>
        <v>207.221</v>
      </c>
      <c r="R54" s="168">
        <v>493587.0</v>
      </c>
      <c r="S54" s="168">
        <v>493.0</v>
      </c>
      <c r="T54" s="223"/>
      <c r="U54" s="222"/>
      <c r="V54" s="170">
        <f t="shared" si="5"/>
        <v>-493094</v>
      </c>
      <c r="W54" s="170">
        <f t="shared" si="6"/>
        <v>0</v>
      </c>
      <c r="X54" s="42"/>
      <c r="Y54" s="42"/>
      <c r="Z54" s="42"/>
      <c r="AA54" s="42"/>
      <c r="AB54" s="42"/>
    </row>
    <row r="55" ht="14.25" customHeight="1">
      <c r="A55" s="160">
        <v>54.0</v>
      </c>
      <c r="B55" s="160" t="s">
        <v>25</v>
      </c>
      <c r="C55" s="161" t="s">
        <v>79</v>
      </c>
      <c r="D55" s="164">
        <v>6.0</v>
      </c>
      <c r="E55" s="164">
        <v>6.0</v>
      </c>
      <c r="F55" s="161"/>
      <c r="G55" s="34">
        <v>59.0</v>
      </c>
      <c r="H55" s="161"/>
      <c r="I55" s="161">
        <f t="shared" si="1"/>
        <v>94</v>
      </c>
      <c r="J55" s="165"/>
      <c r="K55" s="166">
        <v>153.0</v>
      </c>
      <c r="L55" s="161">
        <f t="shared" si="2"/>
        <v>0</v>
      </c>
      <c r="M55" s="161">
        <f t="shared" si="3"/>
        <v>153</v>
      </c>
      <c r="N55" s="167"/>
      <c r="O55" s="161">
        <v>16.904</v>
      </c>
      <c r="P55" s="161">
        <v>12.699</v>
      </c>
      <c r="Q55" s="161">
        <f t="shared" si="4"/>
        <v>177.618</v>
      </c>
      <c r="R55" s="168">
        <v>521992.0</v>
      </c>
      <c r="S55" s="168">
        <v>522.0</v>
      </c>
      <c r="T55" s="223"/>
      <c r="U55" s="222"/>
      <c r="V55" s="170">
        <f t="shared" si="5"/>
        <v>-521470</v>
      </c>
      <c r="W55" s="170">
        <f t="shared" si="6"/>
        <v>0</v>
      </c>
      <c r="X55" s="42"/>
      <c r="Y55" s="42"/>
      <c r="Z55" s="42"/>
      <c r="AA55" s="42"/>
      <c r="AB55" s="42"/>
    </row>
    <row r="56" ht="14.25" customHeight="1">
      <c r="A56" s="160">
        <v>55.0</v>
      </c>
      <c r="B56" s="160" t="s">
        <v>25</v>
      </c>
      <c r="C56" s="161" t="s">
        <v>80</v>
      </c>
      <c r="D56" s="164">
        <v>7.0</v>
      </c>
      <c r="E56" s="164">
        <v>7.0</v>
      </c>
      <c r="F56" s="161"/>
      <c r="G56" s="34">
        <v>54.0</v>
      </c>
      <c r="H56" s="161"/>
      <c r="I56" s="161">
        <f t="shared" si="1"/>
        <v>0</v>
      </c>
      <c r="J56" s="165"/>
      <c r="K56" s="165"/>
      <c r="L56" s="161">
        <f t="shared" si="2"/>
        <v>0</v>
      </c>
      <c r="M56" s="161">
        <f t="shared" si="3"/>
        <v>54</v>
      </c>
      <c r="N56" s="167"/>
      <c r="O56" s="161">
        <v>16.904</v>
      </c>
      <c r="P56" s="161">
        <v>12.699</v>
      </c>
      <c r="Q56" s="161">
        <f t="shared" si="4"/>
        <v>207.221</v>
      </c>
      <c r="R56" s="168">
        <v>513346.0</v>
      </c>
      <c r="S56" s="168">
        <v>513.0</v>
      </c>
      <c r="T56" s="223"/>
      <c r="U56" s="222"/>
      <c r="V56" s="170">
        <f t="shared" si="5"/>
        <v>-512833</v>
      </c>
      <c r="W56" s="170">
        <f t="shared" si="6"/>
        <v>0</v>
      </c>
      <c r="X56" s="42"/>
      <c r="Y56" s="42"/>
      <c r="Z56" s="42"/>
      <c r="AA56" s="42"/>
      <c r="AB56" s="42"/>
    </row>
    <row r="57" ht="14.25" customHeight="1">
      <c r="A57" s="160">
        <v>56.0</v>
      </c>
      <c r="B57" s="160" t="s">
        <v>25</v>
      </c>
      <c r="C57" s="161" t="s">
        <v>81</v>
      </c>
      <c r="D57" s="164">
        <v>7.0</v>
      </c>
      <c r="E57" s="164">
        <v>7.0</v>
      </c>
      <c r="F57" s="161"/>
      <c r="G57" s="34">
        <v>41.0</v>
      </c>
      <c r="H57" s="161"/>
      <c r="I57" s="161">
        <f t="shared" si="1"/>
        <v>69</v>
      </c>
      <c r="J57" s="165"/>
      <c r="K57" s="166">
        <v>110.0</v>
      </c>
      <c r="L57" s="161">
        <f t="shared" si="2"/>
        <v>0</v>
      </c>
      <c r="M57" s="161">
        <f t="shared" si="3"/>
        <v>110</v>
      </c>
      <c r="N57" s="167"/>
      <c r="O57" s="161">
        <v>16.904</v>
      </c>
      <c r="P57" s="161">
        <v>12.699</v>
      </c>
      <c r="Q57" s="161">
        <f t="shared" si="4"/>
        <v>207.221</v>
      </c>
      <c r="R57" s="168">
        <v>483120.0</v>
      </c>
      <c r="S57" s="168">
        <v>483.0</v>
      </c>
      <c r="T57" s="223"/>
      <c r="U57" s="222"/>
      <c r="V57" s="170">
        <f t="shared" si="5"/>
        <v>-482637</v>
      </c>
      <c r="W57" s="170">
        <f t="shared" si="6"/>
        <v>0</v>
      </c>
      <c r="X57" s="42"/>
      <c r="Y57" s="42"/>
      <c r="Z57" s="42"/>
      <c r="AA57" s="42"/>
      <c r="AB57" s="42"/>
    </row>
    <row r="58" ht="14.25" customHeight="1">
      <c r="A58" s="160">
        <v>57.0</v>
      </c>
      <c r="B58" s="160" t="s">
        <v>25</v>
      </c>
      <c r="C58" s="161" t="s">
        <v>82</v>
      </c>
      <c r="D58" s="164">
        <v>7.0</v>
      </c>
      <c r="E58" s="164">
        <v>7.0</v>
      </c>
      <c r="F58" s="161"/>
      <c r="G58" s="34">
        <v>67.0</v>
      </c>
      <c r="H58" s="161"/>
      <c r="I58" s="161">
        <f t="shared" si="1"/>
        <v>57</v>
      </c>
      <c r="J58" s="165"/>
      <c r="K58" s="166">
        <v>124.0</v>
      </c>
      <c r="L58" s="161">
        <f t="shared" si="2"/>
        <v>0</v>
      </c>
      <c r="M58" s="161">
        <f t="shared" si="3"/>
        <v>124</v>
      </c>
      <c r="N58" s="167"/>
      <c r="O58" s="161">
        <v>16.904</v>
      </c>
      <c r="P58" s="161">
        <v>12.699</v>
      </c>
      <c r="Q58" s="161">
        <f t="shared" si="4"/>
        <v>207.221</v>
      </c>
      <c r="R58" s="168">
        <v>460667.0</v>
      </c>
      <c r="S58" s="168">
        <v>460.0</v>
      </c>
      <c r="T58" s="223"/>
      <c r="U58" s="222"/>
      <c r="V58" s="170">
        <f t="shared" si="5"/>
        <v>-460207</v>
      </c>
      <c r="W58" s="170">
        <f t="shared" si="6"/>
        <v>0</v>
      </c>
      <c r="X58" s="42"/>
      <c r="Y58" s="42"/>
      <c r="Z58" s="42"/>
      <c r="AA58" s="42"/>
      <c r="AB58" s="42"/>
    </row>
    <row r="59" ht="14.25" customHeight="1">
      <c r="A59" s="160">
        <v>58.0</v>
      </c>
      <c r="B59" s="160" t="s">
        <v>25</v>
      </c>
      <c r="C59" s="161" t="s">
        <v>83</v>
      </c>
      <c r="D59" s="164">
        <v>7.0</v>
      </c>
      <c r="E59" s="164">
        <v>7.0</v>
      </c>
      <c r="F59" s="161"/>
      <c r="G59" s="34">
        <v>50.0</v>
      </c>
      <c r="H59" s="161"/>
      <c r="I59" s="161">
        <f t="shared" si="1"/>
        <v>0</v>
      </c>
      <c r="J59" s="165"/>
      <c r="K59" s="165"/>
      <c r="L59" s="161">
        <f t="shared" si="2"/>
        <v>0</v>
      </c>
      <c r="M59" s="161">
        <f t="shared" si="3"/>
        <v>50</v>
      </c>
      <c r="N59" s="167"/>
      <c r="O59" s="161">
        <v>16.904</v>
      </c>
      <c r="P59" s="161">
        <v>12.699</v>
      </c>
      <c r="Q59" s="161">
        <f t="shared" si="4"/>
        <v>207.221</v>
      </c>
      <c r="R59" s="168">
        <v>447749.0</v>
      </c>
      <c r="S59" s="168">
        <v>447.0</v>
      </c>
      <c r="T59" s="223"/>
      <c r="U59" s="222"/>
      <c r="V59" s="170">
        <f t="shared" si="5"/>
        <v>-447302</v>
      </c>
      <c r="W59" s="170">
        <f t="shared" si="6"/>
        <v>0</v>
      </c>
      <c r="X59" s="42"/>
      <c r="Y59" s="42"/>
      <c r="Z59" s="42"/>
      <c r="AA59" s="42"/>
      <c r="AB59" s="42"/>
    </row>
    <row r="60" ht="14.25" customHeight="1">
      <c r="A60" s="160">
        <v>59.0</v>
      </c>
      <c r="B60" s="160" t="s">
        <v>25</v>
      </c>
      <c r="C60" s="161" t="s">
        <v>84</v>
      </c>
      <c r="D60" s="164">
        <v>6.0</v>
      </c>
      <c r="E60" s="164">
        <v>6.0</v>
      </c>
      <c r="F60" s="161"/>
      <c r="G60" s="34">
        <v>45.0</v>
      </c>
      <c r="H60" s="161"/>
      <c r="I60" s="161">
        <f t="shared" si="1"/>
        <v>59</v>
      </c>
      <c r="J60" s="165"/>
      <c r="K60" s="166">
        <v>104.0</v>
      </c>
      <c r="L60" s="161">
        <f t="shared" si="2"/>
        <v>0</v>
      </c>
      <c r="M60" s="161">
        <f t="shared" si="3"/>
        <v>104</v>
      </c>
      <c r="N60" s="167"/>
      <c r="O60" s="161">
        <v>16.904</v>
      </c>
      <c r="P60" s="161">
        <v>12.699</v>
      </c>
      <c r="Q60" s="161">
        <f t="shared" si="4"/>
        <v>177.618</v>
      </c>
      <c r="R60" s="202">
        <v>503501.0</v>
      </c>
      <c r="S60" s="202">
        <v>503.0</v>
      </c>
      <c r="T60" s="231"/>
      <c r="U60" s="255"/>
      <c r="V60" s="204">
        <f t="shared" si="5"/>
        <v>-502998</v>
      </c>
      <c r="W60" s="204">
        <f t="shared" si="6"/>
        <v>0</v>
      </c>
      <c r="X60" s="42"/>
      <c r="Y60" s="42"/>
      <c r="Z60" s="42"/>
      <c r="AA60" s="42"/>
      <c r="AB60" s="42"/>
    </row>
    <row r="61" ht="14.25" customHeight="1">
      <c r="A61" s="160">
        <v>60.0</v>
      </c>
      <c r="B61" s="160" t="s">
        <v>25</v>
      </c>
      <c r="C61" s="161" t="s">
        <v>85</v>
      </c>
      <c r="D61" s="164">
        <v>7.0</v>
      </c>
      <c r="E61" s="164">
        <v>7.0</v>
      </c>
      <c r="F61" s="161"/>
      <c r="G61" s="34">
        <v>75.0</v>
      </c>
      <c r="H61" s="161"/>
      <c r="I61" s="161">
        <f t="shared" si="1"/>
        <v>0</v>
      </c>
      <c r="J61" s="165"/>
      <c r="K61" s="165"/>
      <c r="L61" s="161">
        <f t="shared" si="2"/>
        <v>0</v>
      </c>
      <c r="M61" s="161">
        <f t="shared" si="3"/>
        <v>75</v>
      </c>
      <c r="N61" s="167"/>
      <c r="O61" s="161">
        <v>16.904</v>
      </c>
      <c r="P61" s="161">
        <v>12.699</v>
      </c>
      <c r="Q61" s="161">
        <f t="shared" si="4"/>
        <v>207.221</v>
      </c>
      <c r="R61" s="40">
        <v>452126.0</v>
      </c>
      <c r="S61" s="40">
        <v>452.0</v>
      </c>
      <c r="T61" s="232"/>
      <c r="U61" s="232"/>
      <c r="V61" s="205">
        <f t="shared" si="5"/>
        <v>-451674</v>
      </c>
      <c r="W61" s="205">
        <f t="shared" si="6"/>
        <v>0</v>
      </c>
      <c r="X61" s="42"/>
      <c r="Y61" s="42"/>
      <c r="Z61" s="42"/>
      <c r="AA61" s="42"/>
      <c r="AB61" s="42"/>
    </row>
    <row r="62" ht="14.25" customHeight="1">
      <c r="A62" s="206"/>
      <c r="B62" s="207"/>
      <c r="C62" s="42"/>
      <c r="D62" s="208" t="s">
        <v>86</v>
      </c>
      <c r="E62" s="209">
        <f>SUM(M:M)</f>
        <v>6075</v>
      </c>
      <c r="F62" s="42"/>
      <c r="G62" s="42"/>
      <c r="H62" s="42"/>
      <c r="I62" s="42"/>
      <c r="J62" s="42"/>
      <c r="K62" s="42"/>
      <c r="L62" s="42"/>
      <c r="M62" s="42"/>
      <c r="N62" s="210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</row>
    <row r="63" ht="14.25" customHeight="1">
      <c r="A63" s="206"/>
      <c r="B63" s="207"/>
      <c r="C63" s="42"/>
      <c r="D63" s="208" t="s">
        <v>87</v>
      </c>
      <c r="E63" s="209">
        <f>SUM(Q:Q)</f>
        <v>11604.376</v>
      </c>
      <c r="F63" s="42"/>
      <c r="G63" s="42"/>
      <c r="H63" s="42"/>
      <c r="I63" s="42"/>
      <c r="J63" s="42"/>
      <c r="K63" s="42"/>
      <c r="L63" s="42"/>
      <c r="M63" s="42"/>
      <c r="N63" s="210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</row>
    <row r="64" ht="14.25" customHeight="1">
      <c r="A64" s="206"/>
      <c r="B64" s="207"/>
      <c r="C64" s="42"/>
      <c r="D64" s="208" t="s">
        <v>88</v>
      </c>
      <c r="E64" s="209">
        <f>E62/E63</f>
        <v>0.5235094071</v>
      </c>
      <c r="F64" s="42"/>
      <c r="G64" s="42"/>
      <c r="H64" s="42"/>
      <c r="I64" s="42"/>
      <c r="J64" s="42"/>
      <c r="K64" s="42"/>
      <c r="L64" s="42"/>
      <c r="M64" s="42"/>
      <c r="N64" s="210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</row>
    <row r="65" ht="14.25" customHeight="1">
      <c r="A65" s="206"/>
      <c r="B65" s="207"/>
      <c r="C65" s="42"/>
      <c r="D65" s="211"/>
      <c r="E65" s="212"/>
      <c r="F65" s="42"/>
      <c r="G65" s="42"/>
      <c r="H65" s="42"/>
      <c r="I65" s="42"/>
      <c r="J65" s="42"/>
      <c r="K65" s="42"/>
      <c r="L65" s="42"/>
      <c r="M65" s="42"/>
      <c r="N65" s="210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</row>
    <row r="66" ht="14.25" customHeight="1">
      <c r="A66" s="206"/>
      <c r="B66" s="207"/>
      <c r="C66" s="42"/>
      <c r="D66" s="213" t="s">
        <v>89</v>
      </c>
      <c r="E66" s="214">
        <f>AVERAGEIF(Q:Q,"&gt;0",Q:Q)</f>
        <v>196.684339</v>
      </c>
      <c r="F66" s="42"/>
      <c r="G66" s="42"/>
      <c r="H66" s="42"/>
      <c r="I66" s="42"/>
      <c r="J66" s="42"/>
      <c r="K66" s="42"/>
      <c r="L66" s="42"/>
      <c r="M66" s="42"/>
      <c r="N66" s="210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</row>
    <row r="67" ht="14.25" customHeight="1">
      <c r="A67" s="206"/>
      <c r="B67" s="207"/>
      <c r="C67" s="42"/>
      <c r="D67" s="158"/>
      <c r="E67" s="212"/>
      <c r="F67" s="42"/>
      <c r="G67" s="42"/>
      <c r="H67" s="42"/>
      <c r="I67" s="42"/>
      <c r="J67" s="42"/>
      <c r="K67" s="42"/>
      <c r="L67" s="42"/>
      <c r="M67" s="42"/>
      <c r="N67" s="210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</row>
    <row r="68" ht="14.25" customHeight="1">
      <c r="A68" s="206"/>
      <c r="B68" s="207"/>
      <c r="C68" s="42"/>
      <c r="D68" s="215" t="s">
        <v>90</v>
      </c>
      <c r="E68" s="216">
        <f>SUM(G:G)</f>
        <v>3220</v>
      </c>
      <c r="F68" s="42"/>
      <c r="G68" s="42"/>
      <c r="H68" s="42"/>
      <c r="I68" s="42"/>
      <c r="J68" s="42"/>
      <c r="K68" s="42"/>
      <c r="L68" s="42"/>
      <c r="M68" s="42"/>
      <c r="N68" s="210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</row>
    <row r="69" ht="14.25" customHeight="1">
      <c r="A69" s="206"/>
      <c r="B69" s="207"/>
      <c r="C69" s="42"/>
      <c r="D69" s="215" t="s">
        <v>91</v>
      </c>
      <c r="E69" s="216">
        <f>SUM(H:H)</f>
        <v>0</v>
      </c>
      <c r="F69" s="42"/>
      <c r="G69" s="42"/>
      <c r="H69" s="42"/>
      <c r="I69" s="42"/>
      <c r="J69" s="42"/>
      <c r="K69" s="42"/>
      <c r="L69" s="42"/>
      <c r="M69" s="42"/>
      <c r="N69" s="210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</row>
    <row r="70" ht="14.25" customHeight="1">
      <c r="A70" s="206"/>
      <c r="B70" s="207"/>
      <c r="C70" s="42"/>
      <c r="D70" s="215" t="s">
        <v>92</v>
      </c>
      <c r="E70" s="216">
        <f>E69+E68</f>
        <v>3220</v>
      </c>
      <c r="F70" s="42"/>
      <c r="G70" s="42"/>
      <c r="H70" s="42"/>
      <c r="I70" s="42"/>
      <c r="J70" s="42"/>
      <c r="K70" s="42"/>
      <c r="L70" s="42"/>
      <c r="M70" s="42"/>
      <c r="N70" s="210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</row>
    <row r="71" ht="14.25" customHeight="1">
      <c r="A71" s="206"/>
      <c r="B71" s="207"/>
      <c r="C71" s="42"/>
      <c r="D71" s="158"/>
      <c r="E71" s="212"/>
      <c r="F71" s="42"/>
      <c r="G71" s="42"/>
      <c r="H71" s="42"/>
      <c r="I71" s="42"/>
      <c r="J71" s="42"/>
      <c r="K71" s="42"/>
      <c r="L71" s="42"/>
      <c r="M71" s="42"/>
      <c r="N71" s="210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</row>
    <row r="72" ht="14.25" customHeight="1">
      <c r="A72" s="206"/>
      <c r="B72" s="207"/>
      <c r="C72" s="42"/>
      <c r="D72" s="217" t="s">
        <v>93</v>
      </c>
      <c r="E72" s="218">
        <f>SUM(I:I)</f>
        <v>2835</v>
      </c>
      <c r="F72" s="42"/>
      <c r="G72" s="42"/>
      <c r="H72" s="42"/>
      <c r="I72" s="42"/>
      <c r="J72" s="42"/>
      <c r="K72" s="42"/>
      <c r="L72" s="42"/>
      <c r="M72" s="42"/>
      <c r="N72" s="210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</row>
    <row r="73" ht="14.25" customHeight="1">
      <c r="A73" s="206"/>
      <c r="B73" s="207"/>
      <c r="C73" s="42"/>
      <c r="D73" s="217" t="s">
        <v>94</v>
      </c>
      <c r="E73" s="218">
        <f>SUM(J:J)</f>
        <v>20</v>
      </c>
      <c r="F73" s="42"/>
      <c r="G73" s="42"/>
      <c r="H73" s="42"/>
      <c r="I73" s="42"/>
      <c r="J73" s="42"/>
      <c r="K73" s="42"/>
      <c r="L73" s="42"/>
      <c r="M73" s="42"/>
      <c r="N73" s="210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</row>
    <row r="74" ht="14.25" customHeight="1">
      <c r="A74" s="206"/>
      <c r="B74" s="207"/>
      <c r="C74" s="42"/>
      <c r="D74" s="217" t="s">
        <v>95</v>
      </c>
      <c r="E74" s="218">
        <f>E73+E72</f>
        <v>2855</v>
      </c>
      <c r="F74" s="42"/>
      <c r="G74" s="42"/>
      <c r="H74" s="42"/>
      <c r="I74" s="42"/>
      <c r="J74" s="42"/>
      <c r="K74" s="42"/>
      <c r="L74" s="42"/>
      <c r="M74" s="42"/>
      <c r="N74" s="210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</row>
    <row r="75" ht="14.25" customHeight="1">
      <c r="A75" s="206"/>
      <c r="B75" s="207"/>
      <c r="C75" s="42"/>
      <c r="D75" s="158"/>
      <c r="E75" s="212"/>
      <c r="F75" s="42"/>
      <c r="G75" s="42"/>
      <c r="H75" s="42"/>
      <c r="I75" s="42"/>
      <c r="J75" s="42"/>
      <c r="K75" s="42"/>
      <c r="L75" s="42"/>
      <c r="M75" s="42"/>
      <c r="N75" s="210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</row>
    <row r="76" ht="14.25" customHeight="1">
      <c r="A76" s="206"/>
      <c r="B76" s="207"/>
      <c r="C76" s="42"/>
      <c r="D76" s="219" t="s">
        <v>11</v>
      </c>
      <c r="E76" s="220">
        <f t="shared" ref="E76:E77" si="7">E72+E68</f>
        <v>6055</v>
      </c>
      <c r="F76" s="42"/>
      <c r="G76" s="42"/>
      <c r="H76" s="42"/>
      <c r="I76" s="42"/>
      <c r="J76" s="42"/>
      <c r="K76" s="42"/>
      <c r="L76" s="42"/>
      <c r="M76" s="42"/>
      <c r="N76" s="210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</row>
    <row r="77" ht="14.25" customHeight="1">
      <c r="A77" s="206"/>
      <c r="B77" s="207"/>
      <c r="C77" s="42"/>
      <c r="D77" s="219" t="s">
        <v>12</v>
      </c>
      <c r="E77" s="220">
        <f t="shared" si="7"/>
        <v>20</v>
      </c>
      <c r="F77" s="42"/>
      <c r="G77" s="42"/>
      <c r="H77" s="42"/>
      <c r="I77" s="42"/>
      <c r="J77" s="42"/>
      <c r="K77" s="42"/>
      <c r="L77" s="42"/>
      <c r="M77" s="42"/>
      <c r="N77" s="210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</row>
    <row r="78" ht="14.25" customHeight="1">
      <c r="A78" s="206"/>
      <c r="B78" s="207"/>
      <c r="C78" s="42"/>
      <c r="D78" s="221"/>
      <c r="E78" s="221"/>
      <c r="F78" s="42"/>
      <c r="G78" s="42"/>
      <c r="H78" s="42"/>
      <c r="I78" s="42"/>
      <c r="J78" s="42"/>
      <c r="K78" s="42"/>
      <c r="L78" s="42"/>
      <c r="M78" s="42"/>
      <c r="N78" s="210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</row>
    <row r="79" ht="14.25" customHeight="1">
      <c r="A79" s="206"/>
      <c r="B79" s="207"/>
      <c r="C79" s="42"/>
      <c r="D79" s="221"/>
      <c r="E79" s="221"/>
      <c r="F79" s="42"/>
      <c r="G79" s="42"/>
      <c r="H79" s="42"/>
      <c r="I79" s="42"/>
      <c r="J79" s="42"/>
      <c r="K79" s="42"/>
      <c r="L79" s="42"/>
      <c r="M79" s="42"/>
      <c r="N79" s="210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</row>
    <row r="80" ht="14.25" customHeight="1">
      <c r="A80" s="206"/>
      <c r="B80" s="207"/>
      <c r="C80" s="42"/>
      <c r="D80" s="221"/>
      <c r="E80" s="221"/>
      <c r="F80" s="42"/>
      <c r="G80" s="42"/>
      <c r="H80" s="42"/>
      <c r="I80" s="42"/>
      <c r="J80" s="42"/>
      <c r="K80" s="42"/>
      <c r="L80" s="42"/>
      <c r="M80" s="42"/>
      <c r="N80" s="210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</row>
    <row r="81" ht="14.25" customHeight="1">
      <c r="A81" s="206"/>
      <c r="B81" s="207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210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</row>
    <row r="82" ht="14.25" customHeight="1">
      <c r="A82" s="206"/>
      <c r="B82" s="207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210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</row>
    <row r="83" ht="14.25" customHeight="1">
      <c r="A83" s="206"/>
      <c r="B83" s="207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210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</row>
    <row r="84" ht="14.25" customHeight="1">
      <c r="A84" s="206"/>
      <c r="B84" s="207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210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</row>
    <row r="85" ht="14.25" customHeight="1">
      <c r="A85" s="206"/>
      <c r="B85" s="207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210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</row>
    <row r="86" ht="14.25" customHeight="1">
      <c r="A86" s="206"/>
      <c r="B86" s="207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210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</row>
    <row r="87" ht="14.25" customHeight="1">
      <c r="A87" s="206"/>
      <c r="B87" s="207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210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</row>
    <row r="88" ht="14.25" customHeight="1">
      <c r="A88" s="206"/>
      <c r="B88" s="207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210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</row>
    <row r="89" ht="14.25" customHeight="1">
      <c r="A89" s="206"/>
      <c r="B89" s="207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210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</row>
    <row r="90" ht="14.25" customHeight="1">
      <c r="A90" s="206"/>
      <c r="B90" s="207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210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</row>
    <row r="91" ht="14.25" customHeight="1">
      <c r="A91" s="206"/>
      <c r="B91" s="207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210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</row>
    <row r="92" ht="14.25" customHeight="1">
      <c r="A92" s="206"/>
      <c r="B92" s="207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210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</row>
    <row r="93" ht="14.25" customHeight="1">
      <c r="A93" s="206"/>
      <c r="B93" s="207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210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 ht="14.25" customHeight="1">
      <c r="A94" s="206"/>
      <c r="B94" s="207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210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</row>
    <row r="95" ht="14.25" customHeight="1">
      <c r="A95" s="206"/>
      <c r="B95" s="207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210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</row>
    <row r="96" ht="14.25" customHeight="1">
      <c r="A96" s="206"/>
      <c r="B96" s="207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210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</row>
    <row r="97" ht="14.25" customHeight="1">
      <c r="A97" s="206"/>
      <c r="B97" s="207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210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</row>
    <row r="98" ht="14.25" customHeight="1">
      <c r="A98" s="206"/>
      <c r="B98" s="207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210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</row>
    <row r="99" ht="14.25" customHeight="1">
      <c r="A99" s="206"/>
      <c r="B99" s="207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210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</row>
    <row r="100" ht="14.25" customHeight="1">
      <c r="A100" s="206"/>
      <c r="B100" s="207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210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</row>
    <row r="101" ht="14.25" customHeight="1">
      <c r="A101" s="206"/>
      <c r="B101" s="207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210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</row>
    <row r="102" ht="14.25" customHeight="1">
      <c r="A102" s="206"/>
      <c r="B102" s="207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210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</row>
    <row r="103" ht="14.25" customHeight="1">
      <c r="A103" s="206"/>
      <c r="B103" s="207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210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</row>
    <row r="104" ht="14.25" customHeight="1">
      <c r="A104" s="206"/>
      <c r="B104" s="207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210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</row>
    <row r="105" ht="14.25" customHeight="1">
      <c r="A105" s="206"/>
      <c r="B105" s="207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210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</row>
    <row r="106" ht="14.25" customHeight="1">
      <c r="A106" s="206"/>
      <c r="B106" s="207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210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 ht="14.25" customHeight="1">
      <c r="A107" s="206"/>
      <c r="B107" s="207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210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</row>
    <row r="108" ht="14.25" customHeight="1">
      <c r="A108" s="206"/>
      <c r="B108" s="207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210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</row>
    <row r="109" ht="14.25" customHeight="1">
      <c r="A109" s="206"/>
      <c r="B109" s="207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210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</row>
    <row r="110" ht="14.25" customHeight="1">
      <c r="A110" s="206"/>
      <c r="B110" s="207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210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</row>
    <row r="111" ht="14.25" customHeight="1">
      <c r="A111" s="206"/>
      <c r="B111" s="207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210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</row>
    <row r="112" ht="14.25" customHeight="1">
      <c r="A112" s="206"/>
      <c r="B112" s="207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210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 ht="14.25" customHeight="1">
      <c r="A113" s="206"/>
      <c r="B113" s="207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210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 ht="14.25" customHeight="1">
      <c r="A114" s="206"/>
      <c r="B114" s="207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210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 ht="14.25" customHeight="1">
      <c r="A115" s="206"/>
      <c r="B115" s="207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210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</row>
    <row r="116" ht="14.25" customHeight="1">
      <c r="A116" s="206"/>
      <c r="B116" s="207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210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</row>
    <row r="117" ht="14.25" customHeight="1">
      <c r="A117" s="206"/>
      <c r="B117" s="207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210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</row>
    <row r="118" ht="14.25" customHeight="1">
      <c r="A118" s="206"/>
      <c r="B118" s="207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210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</row>
    <row r="119" ht="14.25" customHeight="1">
      <c r="A119" s="206"/>
      <c r="B119" s="207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210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</row>
    <row r="120" ht="14.25" customHeight="1">
      <c r="A120" s="206"/>
      <c r="B120" s="207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210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</row>
    <row r="121" ht="14.25" customHeight="1">
      <c r="A121" s="206"/>
      <c r="B121" s="207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210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 ht="14.25" customHeight="1">
      <c r="A122" s="206"/>
      <c r="B122" s="207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210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</row>
    <row r="123" ht="14.25" customHeight="1">
      <c r="A123" s="206"/>
      <c r="B123" s="207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210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 ht="14.25" customHeight="1">
      <c r="A124" s="206"/>
      <c r="B124" s="207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210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 ht="14.25" customHeight="1">
      <c r="A125" s="206"/>
      <c r="B125" s="207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210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</row>
    <row r="126" ht="14.25" customHeight="1">
      <c r="A126" s="206"/>
      <c r="B126" s="207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210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</row>
    <row r="127" ht="14.25" customHeight="1">
      <c r="A127" s="206"/>
      <c r="B127" s="207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210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</row>
    <row r="128" ht="14.25" customHeight="1">
      <c r="A128" s="206"/>
      <c r="B128" s="207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210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</row>
    <row r="129" ht="14.25" customHeight="1">
      <c r="A129" s="206"/>
      <c r="B129" s="207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210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</row>
    <row r="130" ht="14.25" customHeight="1">
      <c r="A130" s="206"/>
      <c r="B130" s="207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210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</row>
    <row r="131" ht="14.25" customHeight="1">
      <c r="A131" s="206"/>
      <c r="B131" s="207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210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</row>
    <row r="132" ht="14.25" customHeight="1">
      <c r="A132" s="206"/>
      <c r="B132" s="207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210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</row>
    <row r="133" ht="14.25" customHeight="1">
      <c r="A133" s="206"/>
      <c r="B133" s="207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210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</row>
    <row r="134" ht="14.25" customHeight="1">
      <c r="A134" s="206"/>
      <c r="B134" s="207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210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</row>
    <row r="135" ht="14.25" customHeight="1">
      <c r="A135" s="206"/>
      <c r="B135" s="207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210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</row>
    <row r="136" ht="14.25" customHeight="1">
      <c r="A136" s="206"/>
      <c r="B136" s="207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210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</row>
    <row r="137" ht="14.25" customHeight="1">
      <c r="A137" s="206"/>
      <c r="B137" s="207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210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</row>
    <row r="138" ht="14.25" customHeight="1">
      <c r="A138" s="206"/>
      <c r="B138" s="207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210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</row>
    <row r="139" ht="14.25" customHeight="1">
      <c r="A139" s="206"/>
      <c r="B139" s="207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210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</row>
    <row r="140" ht="14.25" customHeight="1">
      <c r="A140" s="206"/>
      <c r="B140" s="207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210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</row>
    <row r="141" ht="14.25" customHeight="1">
      <c r="A141" s="206"/>
      <c r="B141" s="207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210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</row>
    <row r="142" ht="14.25" customHeight="1">
      <c r="A142" s="206"/>
      <c r="B142" s="207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210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</row>
    <row r="143" ht="14.25" customHeight="1">
      <c r="A143" s="206"/>
      <c r="B143" s="207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210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</row>
    <row r="144" ht="14.25" customHeight="1">
      <c r="A144" s="206"/>
      <c r="B144" s="207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210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</row>
    <row r="145" ht="14.25" customHeight="1">
      <c r="A145" s="206"/>
      <c r="B145" s="207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210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</row>
    <row r="146" ht="14.25" customHeight="1">
      <c r="A146" s="206"/>
      <c r="B146" s="207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210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</row>
    <row r="147" ht="14.25" customHeight="1">
      <c r="A147" s="206"/>
      <c r="B147" s="207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210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</row>
    <row r="148" ht="14.25" customHeight="1">
      <c r="A148" s="206"/>
      <c r="B148" s="207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210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</row>
    <row r="149" ht="14.25" customHeight="1">
      <c r="A149" s="206"/>
      <c r="B149" s="207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210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</row>
    <row r="150" ht="14.25" customHeight="1">
      <c r="A150" s="206"/>
      <c r="B150" s="207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210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</row>
    <row r="151" ht="14.25" customHeight="1">
      <c r="A151" s="206"/>
      <c r="B151" s="207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210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</row>
    <row r="152" ht="14.25" customHeight="1">
      <c r="A152" s="206"/>
      <c r="B152" s="207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210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</row>
    <row r="153" ht="14.25" customHeight="1">
      <c r="A153" s="206"/>
      <c r="B153" s="207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210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</row>
    <row r="154" ht="14.25" customHeight="1">
      <c r="A154" s="206"/>
      <c r="B154" s="207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210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</row>
    <row r="155" ht="14.25" customHeight="1">
      <c r="A155" s="206"/>
      <c r="B155" s="207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210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</row>
    <row r="156" ht="14.25" customHeight="1">
      <c r="A156" s="206"/>
      <c r="B156" s="207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210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</row>
    <row r="157" ht="14.25" customHeight="1">
      <c r="A157" s="206"/>
      <c r="B157" s="207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210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 ht="14.25" customHeight="1">
      <c r="A158" s="206"/>
      <c r="B158" s="207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210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</row>
    <row r="159" ht="14.25" customHeight="1">
      <c r="A159" s="206"/>
      <c r="B159" s="207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210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</row>
    <row r="160" ht="14.25" customHeight="1">
      <c r="A160" s="206"/>
      <c r="B160" s="207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210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</row>
    <row r="161" ht="14.25" customHeight="1">
      <c r="A161" s="206"/>
      <c r="B161" s="207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210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</row>
    <row r="162" ht="14.25" customHeight="1">
      <c r="A162" s="206"/>
      <c r="B162" s="207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210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</row>
    <row r="163" ht="14.25" customHeight="1">
      <c r="A163" s="206"/>
      <c r="B163" s="207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210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</row>
    <row r="164" ht="14.25" customHeight="1">
      <c r="A164" s="206"/>
      <c r="B164" s="207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210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</row>
    <row r="165" ht="14.25" customHeight="1">
      <c r="A165" s="206"/>
      <c r="B165" s="207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210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</row>
    <row r="166" ht="14.25" customHeight="1">
      <c r="A166" s="206"/>
      <c r="B166" s="207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210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</row>
    <row r="167" ht="14.25" customHeight="1">
      <c r="A167" s="206"/>
      <c r="B167" s="207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210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</row>
    <row r="168" ht="14.25" customHeight="1">
      <c r="A168" s="206"/>
      <c r="B168" s="207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210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</row>
    <row r="169" ht="14.25" customHeight="1">
      <c r="A169" s="206"/>
      <c r="B169" s="207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210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</row>
    <row r="170" ht="14.25" customHeight="1">
      <c r="A170" s="206"/>
      <c r="B170" s="207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210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</row>
    <row r="171" ht="14.25" customHeight="1">
      <c r="A171" s="206"/>
      <c r="B171" s="207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210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</row>
    <row r="172" ht="14.25" customHeight="1">
      <c r="A172" s="206"/>
      <c r="B172" s="207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210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</row>
    <row r="173" ht="14.25" customHeight="1">
      <c r="A173" s="206"/>
      <c r="B173" s="207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210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</row>
    <row r="174" ht="14.25" customHeight="1">
      <c r="A174" s="206"/>
      <c r="B174" s="207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210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</row>
    <row r="175" ht="14.25" customHeight="1">
      <c r="A175" s="206"/>
      <c r="B175" s="207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210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</row>
    <row r="176" ht="14.25" customHeight="1">
      <c r="A176" s="206"/>
      <c r="B176" s="207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210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</row>
    <row r="177" ht="14.25" customHeight="1">
      <c r="A177" s="206"/>
      <c r="B177" s="207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210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</row>
    <row r="178" ht="14.25" customHeight="1">
      <c r="A178" s="206"/>
      <c r="B178" s="207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210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</row>
    <row r="179" ht="14.25" customHeight="1">
      <c r="A179" s="206"/>
      <c r="B179" s="207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210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</row>
    <row r="180" ht="14.25" customHeight="1">
      <c r="A180" s="206"/>
      <c r="B180" s="207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210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</row>
    <row r="181" ht="14.25" customHeight="1">
      <c r="A181" s="206"/>
      <c r="B181" s="207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210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</row>
    <row r="182" ht="14.25" customHeight="1">
      <c r="A182" s="206"/>
      <c r="B182" s="207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210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</row>
    <row r="183" ht="14.25" customHeight="1">
      <c r="A183" s="206"/>
      <c r="B183" s="207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210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</row>
    <row r="184" ht="14.25" customHeight="1">
      <c r="A184" s="206"/>
      <c r="B184" s="207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210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</row>
    <row r="185" ht="14.25" customHeight="1">
      <c r="A185" s="206"/>
      <c r="B185" s="207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210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</row>
    <row r="186" ht="14.25" customHeight="1">
      <c r="A186" s="206"/>
      <c r="B186" s="207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210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</row>
    <row r="187" ht="14.25" customHeight="1">
      <c r="A187" s="206"/>
      <c r="B187" s="207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210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</row>
    <row r="188" ht="14.25" customHeight="1">
      <c r="A188" s="206"/>
      <c r="B188" s="207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210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</row>
    <row r="189" ht="14.25" customHeight="1">
      <c r="A189" s="206"/>
      <c r="B189" s="207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210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</row>
    <row r="190" ht="14.25" customHeight="1">
      <c r="A190" s="206"/>
      <c r="B190" s="207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210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</row>
    <row r="191" ht="14.25" customHeight="1">
      <c r="A191" s="206"/>
      <c r="B191" s="207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210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</row>
    <row r="192" ht="14.25" customHeight="1">
      <c r="A192" s="206"/>
      <c r="B192" s="207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210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</row>
    <row r="193" ht="14.25" customHeight="1">
      <c r="A193" s="206"/>
      <c r="B193" s="207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210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</row>
    <row r="194" ht="14.25" customHeight="1">
      <c r="A194" s="206"/>
      <c r="B194" s="207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210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</row>
    <row r="195" ht="14.25" customHeight="1">
      <c r="A195" s="206"/>
      <c r="B195" s="207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210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</row>
    <row r="196" ht="14.25" customHeight="1">
      <c r="A196" s="206"/>
      <c r="B196" s="207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210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</row>
    <row r="197" ht="14.25" customHeight="1">
      <c r="A197" s="206"/>
      <c r="B197" s="207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210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</row>
    <row r="198" ht="14.25" customHeight="1">
      <c r="A198" s="206"/>
      <c r="B198" s="207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210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</row>
    <row r="199" ht="14.25" customHeight="1">
      <c r="A199" s="206"/>
      <c r="B199" s="207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210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</row>
    <row r="200" ht="14.25" customHeight="1">
      <c r="A200" s="206"/>
      <c r="B200" s="207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210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</row>
    <row r="201" ht="14.25" customHeight="1">
      <c r="A201" s="206"/>
      <c r="B201" s="207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210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</row>
    <row r="202" ht="14.25" customHeight="1">
      <c r="A202" s="206"/>
      <c r="B202" s="207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210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 ht="14.25" customHeight="1">
      <c r="A203" s="206"/>
      <c r="B203" s="207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210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</row>
    <row r="204" ht="14.25" customHeight="1">
      <c r="A204" s="206"/>
      <c r="B204" s="207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210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</row>
    <row r="205" ht="14.25" customHeight="1">
      <c r="A205" s="206"/>
      <c r="B205" s="207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210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</row>
    <row r="206" ht="14.25" customHeight="1">
      <c r="A206" s="206"/>
      <c r="B206" s="207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210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</row>
    <row r="207" ht="14.25" customHeight="1">
      <c r="A207" s="206"/>
      <c r="B207" s="207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210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</row>
    <row r="208" ht="14.25" customHeight="1">
      <c r="A208" s="206"/>
      <c r="B208" s="207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210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</row>
    <row r="209" ht="14.25" customHeight="1">
      <c r="A209" s="206"/>
      <c r="B209" s="207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210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</row>
    <row r="210" ht="14.25" customHeight="1">
      <c r="A210" s="206"/>
      <c r="B210" s="207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210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</row>
    <row r="211" ht="14.25" customHeight="1">
      <c r="A211" s="206"/>
      <c r="B211" s="207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210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</row>
    <row r="212" ht="14.25" customHeight="1">
      <c r="A212" s="206"/>
      <c r="B212" s="207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210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</row>
    <row r="213" ht="14.25" customHeight="1">
      <c r="A213" s="206"/>
      <c r="B213" s="207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210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</row>
    <row r="214" ht="14.25" customHeight="1">
      <c r="A214" s="206"/>
      <c r="B214" s="207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210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</row>
    <row r="215" ht="14.25" customHeight="1">
      <c r="A215" s="206"/>
      <c r="B215" s="207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210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</row>
    <row r="216" ht="14.25" customHeight="1">
      <c r="A216" s="206"/>
      <c r="B216" s="207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210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</row>
    <row r="217" ht="14.25" customHeight="1">
      <c r="A217" s="206"/>
      <c r="B217" s="207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210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</row>
    <row r="218" ht="14.25" customHeight="1">
      <c r="A218" s="206"/>
      <c r="B218" s="207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210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</row>
    <row r="219" ht="14.25" customHeight="1">
      <c r="A219" s="206"/>
      <c r="B219" s="207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210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</row>
    <row r="220" ht="14.25" customHeight="1">
      <c r="A220" s="206"/>
      <c r="B220" s="207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210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</row>
    <row r="221" ht="14.25" customHeight="1">
      <c r="A221" s="206"/>
      <c r="B221" s="207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210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</row>
    <row r="222" ht="14.25" customHeight="1">
      <c r="A222" s="206"/>
      <c r="B222" s="207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210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</row>
    <row r="223" ht="14.25" customHeight="1">
      <c r="A223" s="206"/>
      <c r="B223" s="207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210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</row>
    <row r="224" ht="14.25" customHeight="1">
      <c r="A224" s="206"/>
      <c r="B224" s="207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210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</row>
    <row r="225" ht="14.25" customHeight="1">
      <c r="A225" s="206"/>
      <c r="B225" s="207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210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</row>
    <row r="226" ht="14.25" customHeight="1">
      <c r="A226" s="206"/>
      <c r="B226" s="207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210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</row>
    <row r="227" ht="14.25" customHeight="1">
      <c r="A227" s="206"/>
      <c r="B227" s="207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210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</row>
    <row r="228" ht="14.25" customHeight="1">
      <c r="A228" s="206"/>
      <c r="B228" s="207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210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</row>
    <row r="229" ht="14.25" customHeight="1">
      <c r="A229" s="206"/>
      <c r="B229" s="207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210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</row>
    <row r="230" ht="14.25" customHeight="1">
      <c r="A230" s="206"/>
      <c r="B230" s="207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210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</row>
    <row r="231" ht="14.25" customHeight="1">
      <c r="A231" s="206"/>
      <c r="B231" s="207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210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</row>
    <row r="232" ht="14.25" customHeight="1">
      <c r="A232" s="206"/>
      <c r="B232" s="207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210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</row>
    <row r="233" ht="14.25" customHeight="1">
      <c r="A233" s="206"/>
      <c r="B233" s="207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210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</row>
    <row r="234" ht="14.25" customHeight="1">
      <c r="A234" s="206"/>
      <c r="B234" s="207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210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</row>
    <row r="235" ht="14.25" customHeight="1">
      <c r="A235" s="206"/>
      <c r="B235" s="207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210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</row>
    <row r="236" ht="14.25" customHeight="1">
      <c r="A236" s="206"/>
      <c r="B236" s="207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210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</row>
    <row r="237" ht="14.25" customHeight="1">
      <c r="A237" s="206"/>
      <c r="B237" s="207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210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</row>
    <row r="238" ht="14.25" customHeight="1">
      <c r="A238" s="206"/>
      <c r="B238" s="207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210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</row>
    <row r="239" ht="14.25" customHeight="1">
      <c r="A239" s="206"/>
      <c r="B239" s="207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210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</row>
    <row r="240" ht="14.25" customHeight="1">
      <c r="A240" s="206"/>
      <c r="B240" s="207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210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</row>
    <row r="241" ht="14.25" customHeight="1">
      <c r="A241" s="206"/>
      <c r="B241" s="207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210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</row>
    <row r="242" ht="14.25" customHeight="1">
      <c r="A242" s="206"/>
      <c r="B242" s="207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210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</row>
    <row r="243" ht="14.25" customHeight="1">
      <c r="A243" s="206"/>
      <c r="B243" s="207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210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</row>
    <row r="244" ht="14.25" customHeight="1">
      <c r="A244" s="206"/>
      <c r="B244" s="207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210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</row>
    <row r="245" ht="14.25" customHeight="1">
      <c r="A245" s="206"/>
      <c r="B245" s="207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210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</row>
    <row r="246" ht="14.25" customHeight="1">
      <c r="A246" s="206"/>
      <c r="B246" s="207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210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</row>
    <row r="247" ht="14.25" customHeight="1">
      <c r="A247" s="206"/>
      <c r="B247" s="207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210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</row>
    <row r="248" ht="14.25" customHeight="1">
      <c r="A248" s="206"/>
      <c r="B248" s="207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210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</row>
    <row r="249" ht="14.25" customHeight="1">
      <c r="A249" s="206"/>
      <c r="B249" s="207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210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</row>
    <row r="250" ht="14.25" customHeight="1">
      <c r="A250" s="206"/>
      <c r="B250" s="207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210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</row>
    <row r="251" ht="14.25" customHeight="1">
      <c r="A251" s="206"/>
      <c r="B251" s="207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210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</row>
    <row r="252" ht="14.25" customHeight="1">
      <c r="A252" s="206"/>
      <c r="B252" s="207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210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</row>
    <row r="253" ht="14.25" customHeight="1">
      <c r="A253" s="206"/>
      <c r="B253" s="207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210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</row>
    <row r="254" ht="14.25" customHeight="1">
      <c r="A254" s="206"/>
      <c r="B254" s="207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210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</row>
    <row r="255" ht="14.25" customHeight="1">
      <c r="A255" s="206"/>
      <c r="B255" s="207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210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</row>
    <row r="256" ht="14.25" customHeight="1">
      <c r="A256" s="206"/>
      <c r="B256" s="207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210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</row>
    <row r="257" ht="14.25" customHeight="1">
      <c r="A257" s="206"/>
      <c r="B257" s="207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210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</row>
    <row r="258" ht="14.25" customHeight="1">
      <c r="A258" s="206"/>
      <c r="B258" s="207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210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</row>
    <row r="259" ht="14.25" customHeight="1">
      <c r="A259" s="206"/>
      <c r="B259" s="207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210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</row>
    <row r="260" ht="14.25" customHeight="1">
      <c r="A260" s="206"/>
      <c r="B260" s="207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210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</row>
    <row r="261" ht="14.25" customHeight="1">
      <c r="A261" s="206"/>
      <c r="B261" s="207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210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</row>
    <row r="262" ht="14.25" customHeight="1">
      <c r="A262" s="206"/>
      <c r="B262" s="207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210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</row>
    <row r="263" ht="14.25" customHeight="1">
      <c r="A263" s="206"/>
      <c r="B263" s="207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210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</row>
    <row r="264" ht="14.25" customHeight="1">
      <c r="A264" s="206"/>
      <c r="B264" s="207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210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</row>
    <row r="265" ht="14.25" customHeight="1">
      <c r="A265" s="206"/>
      <c r="B265" s="207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210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</row>
    <row r="266" ht="14.25" customHeight="1">
      <c r="A266" s="206"/>
      <c r="B266" s="207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210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</row>
    <row r="267" ht="14.25" customHeight="1">
      <c r="A267" s="206"/>
      <c r="B267" s="207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210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</row>
    <row r="268" ht="14.25" customHeight="1">
      <c r="A268" s="206"/>
      <c r="B268" s="207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210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</row>
    <row r="269" ht="14.25" customHeight="1">
      <c r="A269" s="206"/>
      <c r="B269" s="207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210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</row>
    <row r="270" ht="14.25" customHeight="1">
      <c r="A270" s="206"/>
      <c r="B270" s="207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210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</row>
    <row r="271" ht="14.25" customHeight="1">
      <c r="A271" s="206"/>
      <c r="B271" s="207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210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</row>
    <row r="272" ht="14.25" customHeight="1">
      <c r="A272" s="206"/>
      <c r="B272" s="207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210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</row>
    <row r="273" ht="14.25" customHeight="1">
      <c r="A273" s="206"/>
      <c r="B273" s="207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210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</row>
    <row r="274" ht="14.25" customHeight="1">
      <c r="A274" s="206"/>
      <c r="B274" s="207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210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</row>
    <row r="275" ht="14.25" customHeight="1">
      <c r="A275" s="206"/>
      <c r="B275" s="207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210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</row>
    <row r="276" ht="14.25" customHeight="1">
      <c r="A276" s="206"/>
      <c r="B276" s="207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210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</row>
    <row r="277" ht="14.25" customHeight="1">
      <c r="A277" s="206"/>
      <c r="B277" s="207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210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</row>
    <row r="278" ht="15.75" customHeight="1">
      <c r="A278" s="207"/>
      <c r="B278" s="207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210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</row>
    <row r="279" ht="15.75" customHeight="1">
      <c r="A279" s="207"/>
      <c r="B279" s="207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210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</row>
    <row r="280" ht="15.75" customHeight="1">
      <c r="A280" s="207"/>
      <c r="B280" s="207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210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</row>
    <row r="281" ht="15.75" customHeight="1">
      <c r="A281" s="207"/>
      <c r="B281" s="207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210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</row>
    <row r="282" ht="15.75" customHeight="1">
      <c r="A282" s="207"/>
      <c r="B282" s="207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210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</row>
    <row r="283" ht="15.75" customHeight="1">
      <c r="A283" s="207"/>
      <c r="B283" s="207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210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</row>
    <row r="284" ht="15.75" customHeight="1">
      <c r="A284" s="207"/>
      <c r="B284" s="207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210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</row>
    <row r="285" ht="15.75" customHeight="1">
      <c r="A285" s="207"/>
      <c r="B285" s="207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210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</row>
    <row r="286" ht="15.75" customHeight="1">
      <c r="A286" s="207"/>
      <c r="B286" s="207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210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</row>
    <row r="287" ht="15.75" customHeight="1">
      <c r="A287" s="207"/>
      <c r="B287" s="207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210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</row>
    <row r="288" ht="15.75" customHeight="1">
      <c r="A288" s="207"/>
      <c r="B288" s="207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210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</row>
    <row r="289" ht="15.75" customHeight="1">
      <c r="A289" s="207"/>
      <c r="B289" s="207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210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</row>
    <row r="290" ht="15.75" customHeight="1">
      <c r="A290" s="207"/>
      <c r="B290" s="207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210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</row>
    <row r="291" ht="15.75" customHeight="1">
      <c r="A291" s="207"/>
      <c r="B291" s="207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210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</row>
    <row r="292" ht="15.75" customHeight="1">
      <c r="A292" s="207"/>
      <c r="B292" s="207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210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</row>
    <row r="293" ht="15.75" customHeight="1">
      <c r="A293" s="207"/>
      <c r="B293" s="207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210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</row>
    <row r="294" ht="15.75" customHeight="1">
      <c r="A294" s="207"/>
      <c r="B294" s="207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210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</row>
    <row r="295" ht="15.75" customHeight="1">
      <c r="A295" s="207"/>
      <c r="B295" s="207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210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</row>
    <row r="296" ht="15.75" customHeight="1">
      <c r="A296" s="207"/>
      <c r="B296" s="207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210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</row>
    <row r="297" ht="15.75" customHeight="1">
      <c r="A297" s="207"/>
      <c r="B297" s="207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210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</row>
    <row r="298" ht="15.75" customHeight="1">
      <c r="A298" s="207"/>
      <c r="B298" s="207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210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</row>
    <row r="299" ht="15.75" customHeight="1">
      <c r="A299" s="207"/>
      <c r="B299" s="207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210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</row>
    <row r="300" ht="15.75" customHeight="1">
      <c r="A300" s="207"/>
      <c r="B300" s="207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210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</row>
    <row r="301" ht="15.75" customHeight="1">
      <c r="A301" s="207"/>
      <c r="B301" s="207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210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</row>
    <row r="302" ht="15.75" customHeight="1">
      <c r="A302" s="207"/>
      <c r="B302" s="207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210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</row>
    <row r="303" ht="15.75" customHeight="1">
      <c r="A303" s="207"/>
      <c r="B303" s="207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210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</row>
    <row r="304" ht="15.75" customHeight="1">
      <c r="A304" s="207"/>
      <c r="B304" s="207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210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</row>
    <row r="305" ht="15.75" customHeight="1">
      <c r="A305" s="207"/>
      <c r="B305" s="207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210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</row>
    <row r="306" ht="15.75" customHeight="1">
      <c r="A306" s="207"/>
      <c r="B306" s="207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210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</row>
    <row r="307" ht="15.75" customHeight="1">
      <c r="A307" s="207"/>
      <c r="B307" s="207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210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</row>
    <row r="308" ht="15.75" customHeight="1">
      <c r="A308" s="207"/>
      <c r="B308" s="207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210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</row>
    <row r="309" ht="15.75" customHeight="1">
      <c r="A309" s="207"/>
      <c r="B309" s="207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210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</row>
    <row r="310" ht="15.75" customHeight="1">
      <c r="A310" s="207"/>
      <c r="B310" s="207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210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</row>
    <row r="311" ht="15.75" customHeight="1">
      <c r="A311" s="207"/>
      <c r="B311" s="207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210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</row>
    <row r="312" ht="15.75" customHeight="1">
      <c r="A312" s="207"/>
      <c r="B312" s="207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210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</row>
    <row r="313" ht="15.75" customHeight="1">
      <c r="A313" s="207"/>
      <c r="B313" s="207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210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</row>
    <row r="314" ht="15.75" customHeight="1">
      <c r="A314" s="207"/>
      <c r="B314" s="207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210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</row>
    <row r="315" ht="15.75" customHeight="1">
      <c r="A315" s="207"/>
      <c r="B315" s="207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210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</row>
    <row r="316" ht="15.75" customHeight="1">
      <c r="A316" s="207"/>
      <c r="B316" s="207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210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</row>
    <row r="317" ht="15.75" customHeight="1">
      <c r="A317" s="207"/>
      <c r="B317" s="207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210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</row>
    <row r="318" ht="15.75" customHeight="1">
      <c r="A318" s="207"/>
      <c r="B318" s="207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210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</row>
    <row r="319" ht="15.75" customHeight="1">
      <c r="A319" s="207"/>
      <c r="B319" s="207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210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</row>
    <row r="320" ht="15.75" customHeight="1">
      <c r="A320" s="207"/>
      <c r="B320" s="207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210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</row>
    <row r="321" ht="15.75" customHeight="1">
      <c r="A321" s="207"/>
      <c r="B321" s="207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210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</row>
    <row r="322" ht="15.75" customHeight="1">
      <c r="A322" s="207"/>
      <c r="B322" s="207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210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</row>
    <row r="323" ht="15.75" customHeight="1">
      <c r="A323" s="207"/>
      <c r="B323" s="207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210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</row>
    <row r="324" ht="15.75" customHeight="1">
      <c r="A324" s="207"/>
      <c r="B324" s="207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210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</row>
    <row r="325" ht="15.75" customHeight="1">
      <c r="A325" s="207"/>
      <c r="B325" s="207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210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</row>
    <row r="326" ht="15.75" customHeight="1">
      <c r="A326" s="207"/>
      <c r="B326" s="207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210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</row>
    <row r="327" ht="15.75" customHeight="1">
      <c r="A327" s="207"/>
      <c r="B327" s="207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210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</row>
    <row r="328" ht="15.75" customHeight="1">
      <c r="A328" s="207"/>
      <c r="B328" s="207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210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</row>
    <row r="329" ht="15.75" customHeight="1">
      <c r="A329" s="207"/>
      <c r="B329" s="207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210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</row>
    <row r="330" ht="15.75" customHeight="1">
      <c r="A330" s="207"/>
      <c r="B330" s="207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210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</row>
    <row r="331" ht="15.75" customHeight="1">
      <c r="A331" s="207"/>
      <c r="B331" s="207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210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</row>
    <row r="332" ht="15.75" customHeight="1">
      <c r="A332" s="207"/>
      <c r="B332" s="207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210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</row>
    <row r="333" ht="15.75" customHeight="1">
      <c r="A333" s="207"/>
      <c r="B333" s="207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210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</row>
    <row r="334" ht="15.75" customHeight="1">
      <c r="A334" s="207"/>
      <c r="B334" s="207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210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</row>
    <row r="335" ht="15.75" customHeight="1">
      <c r="A335" s="207"/>
      <c r="B335" s="207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210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</row>
    <row r="336" ht="15.75" customHeight="1">
      <c r="A336" s="207"/>
      <c r="B336" s="207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210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</row>
    <row r="337" ht="15.75" customHeight="1">
      <c r="A337" s="207"/>
      <c r="B337" s="207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210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</row>
    <row r="338" ht="15.75" customHeight="1">
      <c r="A338" s="207"/>
      <c r="B338" s="207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210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</row>
    <row r="339" ht="15.75" customHeight="1">
      <c r="A339" s="207"/>
      <c r="B339" s="207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210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</row>
    <row r="340" ht="15.75" customHeight="1">
      <c r="A340" s="207"/>
      <c r="B340" s="207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210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</row>
    <row r="341" ht="15.75" customHeight="1">
      <c r="A341" s="207"/>
      <c r="B341" s="207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210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</row>
    <row r="342" ht="15.75" customHeight="1">
      <c r="A342" s="207"/>
      <c r="B342" s="207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210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</row>
    <row r="343" ht="15.75" customHeight="1">
      <c r="A343" s="207"/>
      <c r="B343" s="207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210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</row>
    <row r="344" ht="15.75" customHeight="1">
      <c r="A344" s="207"/>
      <c r="B344" s="207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210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</row>
    <row r="345" ht="15.75" customHeight="1">
      <c r="A345" s="207"/>
      <c r="B345" s="207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210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</row>
    <row r="346" ht="15.75" customHeight="1">
      <c r="A346" s="207"/>
      <c r="B346" s="207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210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</row>
    <row r="347" ht="15.75" customHeight="1">
      <c r="A347" s="207"/>
      <c r="B347" s="207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210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</row>
    <row r="348" ht="15.75" customHeight="1">
      <c r="A348" s="207"/>
      <c r="B348" s="207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210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</row>
    <row r="349" ht="15.75" customHeight="1">
      <c r="A349" s="207"/>
      <c r="B349" s="207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210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</row>
    <row r="350" ht="15.75" customHeight="1">
      <c r="A350" s="207"/>
      <c r="B350" s="207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210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</row>
    <row r="351" ht="15.75" customHeight="1">
      <c r="A351" s="207"/>
      <c r="B351" s="207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210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</row>
    <row r="352" ht="15.75" customHeight="1">
      <c r="A352" s="207"/>
      <c r="B352" s="207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210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</row>
    <row r="353" ht="15.75" customHeight="1">
      <c r="A353" s="207"/>
      <c r="B353" s="207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210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</row>
    <row r="354" ht="15.75" customHeight="1">
      <c r="A354" s="207"/>
      <c r="B354" s="207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210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</row>
    <row r="355" ht="15.75" customHeight="1">
      <c r="A355" s="207"/>
      <c r="B355" s="207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210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</row>
    <row r="356" ht="15.75" customHeight="1">
      <c r="A356" s="207"/>
      <c r="B356" s="207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210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</row>
    <row r="357" ht="15.75" customHeight="1">
      <c r="A357" s="207"/>
      <c r="B357" s="207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210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</row>
    <row r="358" ht="15.75" customHeight="1">
      <c r="A358" s="207"/>
      <c r="B358" s="207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210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</row>
    <row r="359" ht="15.75" customHeight="1">
      <c r="A359" s="207"/>
      <c r="B359" s="207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210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</row>
    <row r="360" ht="15.75" customHeight="1">
      <c r="A360" s="207"/>
      <c r="B360" s="207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210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</row>
    <row r="361" ht="15.75" customHeight="1">
      <c r="A361" s="207"/>
      <c r="B361" s="207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210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</row>
    <row r="362" ht="15.75" customHeight="1">
      <c r="A362" s="207"/>
      <c r="B362" s="207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210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</row>
    <row r="363" ht="15.75" customHeight="1">
      <c r="A363" s="207"/>
      <c r="B363" s="207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210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</row>
    <row r="364" ht="15.75" customHeight="1">
      <c r="A364" s="207"/>
      <c r="B364" s="207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210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</row>
    <row r="365" ht="15.75" customHeight="1">
      <c r="A365" s="207"/>
      <c r="B365" s="207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210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</row>
    <row r="366" ht="15.75" customHeight="1">
      <c r="A366" s="207"/>
      <c r="B366" s="207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210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</row>
    <row r="367" ht="15.75" customHeight="1">
      <c r="A367" s="207"/>
      <c r="B367" s="207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210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</row>
    <row r="368" ht="15.75" customHeight="1">
      <c r="A368" s="207"/>
      <c r="B368" s="207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210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</row>
    <row r="369" ht="15.75" customHeight="1">
      <c r="A369" s="207"/>
      <c r="B369" s="207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210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</row>
    <row r="370" ht="15.75" customHeight="1">
      <c r="A370" s="207"/>
      <c r="B370" s="207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210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</row>
    <row r="371" ht="15.75" customHeight="1">
      <c r="A371" s="207"/>
      <c r="B371" s="207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210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</row>
    <row r="372" ht="15.75" customHeight="1">
      <c r="A372" s="207"/>
      <c r="B372" s="207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210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</row>
    <row r="373" ht="15.75" customHeight="1">
      <c r="A373" s="207"/>
      <c r="B373" s="207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210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</row>
    <row r="374" ht="15.75" customHeight="1">
      <c r="A374" s="207"/>
      <c r="B374" s="207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210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</row>
    <row r="375" ht="15.75" customHeight="1">
      <c r="A375" s="207"/>
      <c r="B375" s="207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210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</row>
    <row r="376" ht="15.75" customHeight="1">
      <c r="A376" s="207"/>
      <c r="B376" s="207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210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</row>
    <row r="377" ht="15.75" customHeight="1">
      <c r="A377" s="207"/>
      <c r="B377" s="207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210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</row>
    <row r="378" ht="15.75" customHeight="1">
      <c r="A378" s="207"/>
      <c r="B378" s="207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210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</row>
    <row r="379" ht="15.75" customHeight="1">
      <c r="A379" s="207"/>
      <c r="B379" s="207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210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</row>
    <row r="380" ht="15.75" customHeight="1">
      <c r="A380" s="207"/>
      <c r="B380" s="207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210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</row>
    <row r="381" ht="15.75" customHeight="1">
      <c r="A381" s="207"/>
      <c r="B381" s="207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210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</row>
    <row r="382" ht="15.75" customHeight="1">
      <c r="A382" s="207"/>
      <c r="B382" s="207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210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</row>
    <row r="383" ht="15.75" customHeight="1">
      <c r="A383" s="207"/>
      <c r="B383" s="207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210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</row>
    <row r="384" ht="15.75" customHeight="1">
      <c r="A384" s="207"/>
      <c r="B384" s="207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210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</row>
    <row r="385" ht="15.75" customHeight="1">
      <c r="A385" s="207"/>
      <c r="B385" s="207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210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</row>
    <row r="386" ht="15.75" customHeight="1">
      <c r="A386" s="207"/>
      <c r="B386" s="207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210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</row>
    <row r="387" ht="15.75" customHeight="1">
      <c r="A387" s="207"/>
      <c r="B387" s="207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210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</row>
    <row r="388" ht="15.75" customHeight="1">
      <c r="A388" s="207"/>
      <c r="B388" s="207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210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</row>
    <row r="389" ht="15.75" customHeight="1">
      <c r="A389" s="207"/>
      <c r="B389" s="207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210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</row>
    <row r="390" ht="15.75" customHeight="1">
      <c r="A390" s="207"/>
      <c r="B390" s="207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210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</row>
    <row r="391" ht="15.75" customHeight="1">
      <c r="A391" s="207"/>
      <c r="B391" s="207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210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</row>
    <row r="392" ht="15.75" customHeight="1">
      <c r="A392" s="207"/>
      <c r="B392" s="207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210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</row>
    <row r="393" ht="15.75" customHeight="1">
      <c r="A393" s="207"/>
      <c r="B393" s="207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210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</row>
    <row r="394" ht="15.75" customHeight="1">
      <c r="A394" s="207"/>
      <c r="B394" s="207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210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</row>
    <row r="395" ht="15.75" customHeight="1">
      <c r="A395" s="207"/>
      <c r="B395" s="207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210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</row>
    <row r="396" ht="15.75" customHeight="1">
      <c r="A396" s="207"/>
      <c r="B396" s="207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210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</row>
    <row r="397" ht="15.75" customHeight="1">
      <c r="A397" s="207"/>
      <c r="B397" s="207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210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</row>
    <row r="398" ht="15.75" customHeight="1">
      <c r="A398" s="207"/>
      <c r="B398" s="207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210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</row>
    <row r="399" ht="15.75" customHeight="1">
      <c r="A399" s="207"/>
      <c r="B399" s="207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210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</row>
    <row r="400" ht="15.75" customHeight="1">
      <c r="A400" s="207"/>
      <c r="B400" s="207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210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</row>
    <row r="401" ht="15.75" customHeight="1">
      <c r="A401" s="207"/>
      <c r="B401" s="207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210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</row>
    <row r="402" ht="15.75" customHeight="1">
      <c r="A402" s="207"/>
      <c r="B402" s="207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210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</row>
    <row r="403" ht="15.75" customHeight="1">
      <c r="A403" s="207"/>
      <c r="B403" s="207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210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</row>
    <row r="404" ht="15.75" customHeight="1">
      <c r="A404" s="207"/>
      <c r="B404" s="207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210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</row>
    <row r="405" ht="15.75" customHeight="1">
      <c r="A405" s="207"/>
      <c r="B405" s="207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210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</row>
    <row r="406" ht="15.75" customHeight="1">
      <c r="A406" s="207"/>
      <c r="B406" s="207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210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</row>
    <row r="407" ht="15.75" customHeight="1">
      <c r="A407" s="207"/>
      <c r="B407" s="207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210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</row>
    <row r="408" ht="15.75" customHeight="1">
      <c r="A408" s="207"/>
      <c r="B408" s="207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210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</row>
    <row r="409" ht="15.75" customHeight="1">
      <c r="A409" s="207"/>
      <c r="B409" s="207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210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</row>
    <row r="410" ht="15.75" customHeight="1">
      <c r="A410" s="207"/>
      <c r="B410" s="207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210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</row>
    <row r="411" ht="15.75" customHeight="1">
      <c r="A411" s="207"/>
      <c r="B411" s="207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210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</row>
    <row r="412" ht="15.75" customHeight="1">
      <c r="A412" s="207"/>
      <c r="B412" s="207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210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</row>
    <row r="413" ht="15.75" customHeight="1">
      <c r="A413" s="207"/>
      <c r="B413" s="207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210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</row>
    <row r="414" ht="15.75" customHeight="1">
      <c r="A414" s="207"/>
      <c r="B414" s="207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210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</row>
    <row r="415" ht="15.75" customHeight="1">
      <c r="A415" s="207"/>
      <c r="B415" s="207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210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</row>
    <row r="416" ht="15.75" customHeight="1">
      <c r="A416" s="207"/>
      <c r="B416" s="207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210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</row>
    <row r="417" ht="15.75" customHeight="1">
      <c r="A417" s="207"/>
      <c r="B417" s="207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210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</row>
    <row r="418" ht="15.75" customHeight="1">
      <c r="A418" s="207"/>
      <c r="B418" s="207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210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</row>
    <row r="419" ht="15.75" customHeight="1">
      <c r="A419" s="207"/>
      <c r="B419" s="207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210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</row>
    <row r="420" ht="15.75" customHeight="1">
      <c r="A420" s="207"/>
      <c r="B420" s="207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210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</row>
    <row r="421" ht="15.75" customHeight="1">
      <c r="A421" s="207"/>
      <c r="B421" s="207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210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</row>
    <row r="422" ht="15.75" customHeight="1">
      <c r="A422" s="207"/>
      <c r="B422" s="207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210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</row>
    <row r="423" ht="15.75" customHeight="1">
      <c r="A423" s="207"/>
      <c r="B423" s="207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210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</row>
    <row r="424" ht="15.75" customHeight="1">
      <c r="A424" s="207"/>
      <c r="B424" s="207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210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</row>
    <row r="425" ht="15.75" customHeight="1">
      <c r="A425" s="207"/>
      <c r="B425" s="207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210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</row>
    <row r="426" ht="15.75" customHeight="1">
      <c r="A426" s="207"/>
      <c r="B426" s="207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210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</row>
    <row r="427" ht="15.75" customHeight="1">
      <c r="A427" s="207"/>
      <c r="B427" s="207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210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</row>
    <row r="428" ht="15.75" customHeight="1">
      <c r="A428" s="207"/>
      <c r="B428" s="207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210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</row>
    <row r="429" ht="15.75" customHeight="1">
      <c r="A429" s="207"/>
      <c r="B429" s="207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210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</row>
    <row r="430" ht="15.75" customHeight="1">
      <c r="A430" s="207"/>
      <c r="B430" s="207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210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</row>
    <row r="431" ht="15.75" customHeight="1">
      <c r="A431" s="207"/>
      <c r="B431" s="207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210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</row>
    <row r="432" ht="15.75" customHeight="1">
      <c r="A432" s="207"/>
      <c r="B432" s="207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210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</row>
    <row r="433" ht="15.75" customHeight="1">
      <c r="A433" s="207"/>
      <c r="B433" s="207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210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</row>
    <row r="434" ht="15.75" customHeight="1">
      <c r="A434" s="207"/>
      <c r="B434" s="207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210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</row>
    <row r="435" ht="15.75" customHeight="1">
      <c r="A435" s="207"/>
      <c r="B435" s="207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210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</row>
    <row r="436" ht="15.75" customHeight="1">
      <c r="A436" s="207"/>
      <c r="B436" s="207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210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</row>
    <row r="437" ht="15.75" customHeight="1">
      <c r="A437" s="207"/>
      <c r="B437" s="207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210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</row>
    <row r="438" ht="15.75" customHeight="1">
      <c r="A438" s="207"/>
      <c r="B438" s="207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210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</row>
    <row r="439" ht="15.75" customHeight="1">
      <c r="A439" s="207"/>
      <c r="B439" s="207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210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</row>
    <row r="440" ht="15.75" customHeight="1">
      <c r="A440" s="207"/>
      <c r="B440" s="207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210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</row>
    <row r="441" ht="15.75" customHeight="1">
      <c r="A441" s="207"/>
      <c r="B441" s="207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210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</row>
    <row r="442" ht="15.75" customHeight="1">
      <c r="A442" s="207"/>
      <c r="B442" s="207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210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</row>
    <row r="443" ht="15.75" customHeight="1">
      <c r="A443" s="207"/>
      <c r="B443" s="207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210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</row>
    <row r="444" ht="15.75" customHeight="1">
      <c r="A444" s="207"/>
      <c r="B444" s="207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210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</row>
    <row r="445" ht="15.75" customHeight="1">
      <c r="A445" s="207"/>
      <c r="B445" s="207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210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</row>
    <row r="446" ht="15.75" customHeight="1">
      <c r="A446" s="207"/>
      <c r="B446" s="207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210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</row>
    <row r="447" ht="15.75" customHeight="1">
      <c r="A447" s="207"/>
      <c r="B447" s="207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210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</row>
    <row r="448" ht="15.75" customHeight="1">
      <c r="A448" s="207"/>
      <c r="B448" s="207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210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</row>
    <row r="449" ht="15.75" customHeight="1">
      <c r="A449" s="207"/>
      <c r="B449" s="207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210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</row>
    <row r="450" ht="15.75" customHeight="1">
      <c r="A450" s="207"/>
      <c r="B450" s="207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210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</row>
    <row r="451" ht="15.75" customHeight="1">
      <c r="A451" s="207"/>
      <c r="B451" s="207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210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</row>
    <row r="452" ht="15.75" customHeight="1">
      <c r="A452" s="207"/>
      <c r="B452" s="207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210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</row>
    <row r="453" ht="15.75" customHeight="1">
      <c r="A453" s="207"/>
      <c r="B453" s="207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210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</row>
    <row r="454" ht="15.75" customHeight="1">
      <c r="A454" s="207"/>
      <c r="B454" s="207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210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</row>
    <row r="455" ht="15.75" customHeight="1">
      <c r="A455" s="207"/>
      <c r="B455" s="207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210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</row>
    <row r="456" ht="15.75" customHeight="1">
      <c r="A456" s="207"/>
      <c r="B456" s="207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210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</row>
    <row r="457" ht="15.75" customHeight="1">
      <c r="A457" s="207"/>
      <c r="B457" s="207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210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</row>
    <row r="458" ht="15.75" customHeight="1">
      <c r="A458" s="207"/>
      <c r="B458" s="207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210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</row>
    <row r="459" ht="15.75" customHeight="1">
      <c r="A459" s="207"/>
      <c r="B459" s="207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210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</row>
    <row r="460" ht="15.75" customHeight="1">
      <c r="A460" s="207"/>
      <c r="B460" s="207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210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</row>
    <row r="461" ht="15.75" customHeight="1">
      <c r="A461" s="207"/>
      <c r="B461" s="207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210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</row>
    <row r="462" ht="15.75" customHeight="1">
      <c r="A462" s="207"/>
      <c r="B462" s="207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210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</row>
    <row r="463" ht="15.75" customHeight="1">
      <c r="A463" s="207"/>
      <c r="B463" s="207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210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</row>
    <row r="464" ht="15.75" customHeight="1">
      <c r="A464" s="207"/>
      <c r="B464" s="207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210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</row>
    <row r="465" ht="15.75" customHeight="1">
      <c r="A465" s="207"/>
      <c r="B465" s="207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210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</row>
    <row r="466" ht="15.75" customHeight="1">
      <c r="A466" s="207"/>
      <c r="B466" s="207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210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</row>
    <row r="467" ht="15.75" customHeight="1">
      <c r="A467" s="207"/>
      <c r="B467" s="207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210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</row>
    <row r="468" ht="15.75" customHeight="1">
      <c r="A468" s="207"/>
      <c r="B468" s="207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210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</row>
    <row r="469" ht="15.75" customHeight="1">
      <c r="A469" s="207"/>
      <c r="B469" s="207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210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</row>
    <row r="470" ht="15.75" customHeight="1">
      <c r="A470" s="207"/>
      <c r="B470" s="207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210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</row>
    <row r="471" ht="15.75" customHeight="1">
      <c r="A471" s="207"/>
      <c r="B471" s="207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210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</row>
    <row r="472" ht="15.75" customHeight="1">
      <c r="A472" s="207"/>
      <c r="B472" s="207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210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</row>
    <row r="473" ht="15.75" customHeight="1">
      <c r="A473" s="207"/>
      <c r="B473" s="207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210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</row>
    <row r="474" ht="15.75" customHeight="1">
      <c r="A474" s="207"/>
      <c r="B474" s="207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210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</row>
    <row r="475" ht="15.75" customHeight="1">
      <c r="A475" s="207"/>
      <c r="B475" s="207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210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</row>
    <row r="476" ht="15.75" customHeight="1">
      <c r="A476" s="207"/>
      <c r="B476" s="207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210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</row>
    <row r="477" ht="15.75" customHeight="1">
      <c r="A477" s="207"/>
      <c r="B477" s="207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210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</row>
    <row r="478" ht="15.75" customHeight="1">
      <c r="A478" s="207"/>
      <c r="B478" s="207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210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</row>
    <row r="479" ht="15.75" customHeight="1">
      <c r="A479" s="207"/>
      <c r="B479" s="207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210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</row>
    <row r="480" ht="15.75" customHeight="1">
      <c r="A480" s="207"/>
      <c r="B480" s="207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210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</row>
    <row r="481" ht="15.75" customHeight="1">
      <c r="A481" s="207"/>
      <c r="B481" s="207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210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</row>
    <row r="482" ht="15.75" customHeight="1">
      <c r="A482" s="207"/>
      <c r="B482" s="207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210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</row>
    <row r="483" ht="15.75" customHeight="1">
      <c r="A483" s="207"/>
      <c r="B483" s="207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210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</row>
    <row r="484" ht="15.75" customHeight="1">
      <c r="A484" s="207"/>
      <c r="B484" s="207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210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</row>
    <row r="485" ht="15.75" customHeight="1">
      <c r="A485" s="207"/>
      <c r="B485" s="207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210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</row>
    <row r="486" ht="15.75" customHeight="1">
      <c r="A486" s="207"/>
      <c r="B486" s="207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210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</row>
    <row r="487" ht="15.75" customHeight="1">
      <c r="A487" s="207"/>
      <c r="B487" s="207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210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</row>
    <row r="488" ht="15.75" customHeight="1">
      <c r="A488" s="207"/>
      <c r="B488" s="207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210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</row>
    <row r="489" ht="15.75" customHeight="1">
      <c r="A489" s="207"/>
      <c r="B489" s="207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210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</row>
    <row r="490" ht="15.75" customHeight="1">
      <c r="A490" s="207"/>
      <c r="B490" s="207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210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</row>
    <row r="491" ht="15.75" customHeight="1">
      <c r="A491" s="207"/>
      <c r="B491" s="207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210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</row>
    <row r="492" ht="15.75" customHeight="1">
      <c r="A492" s="207"/>
      <c r="B492" s="207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210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</row>
    <row r="493" ht="15.75" customHeight="1">
      <c r="A493" s="207"/>
      <c r="B493" s="207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210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</row>
    <row r="494" ht="15.75" customHeight="1">
      <c r="A494" s="207"/>
      <c r="B494" s="207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210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</row>
    <row r="495" ht="15.75" customHeight="1">
      <c r="A495" s="207"/>
      <c r="B495" s="207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210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</row>
    <row r="496" ht="15.75" customHeight="1">
      <c r="A496" s="207"/>
      <c r="B496" s="207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210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</row>
    <row r="497" ht="15.75" customHeight="1">
      <c r="A497" s="207"/>
      <c r="B497" s="207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210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</row>
    <row r="498" ht="15.75" customHeight="1">
      <c r="A498" s="207"/>
      <c r="B498" s="207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210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</row>
    <row r="499" ht="15.75" customHeight="1">
      <c r="A499" s="207"/>
      <c r="B499" s="207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210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</row>
    <row r="500" ht="15.75" customHeight="1">
      <c r="A500" s="207"/>
      <c r="B500" s="207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210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</row>
    <row r="501" ht="15.75" customHeight="1">
      <c r="A501" s="207"/>
      <c r="B501" s="207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210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</row>
    <row r="502" ht="15.75" customHeight="1">
      <c r="A502" s="207"/>
      <c r="B502" s="207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210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</row>
    <row r="503" ht="15.75" customHeight="1">
      <c r="A503" s="207"/>
      <c r="B503" s="207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210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</row>
    <row r="504" ht="15.75" customHeight="1">
      <c r="A504" s="207"/>
      <c r="B504" s="207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210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</row>
    <row r="505" ht="15.75" customHeight="1">
      <c r="A505" s="207"/>
      <c r="B505" s="207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210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</row>
    <row r="506" ht="15.75" customHeight="1">
      <c r="A506" s="207"/>
      <c r="B506" s="207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210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</row>
    <row r="507" ht="15.75" customHeight="1">
      <c r="A507" s="207"/>
      <c r="B507" s="207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210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</row>
    <row r="508" ht="15.75" customHeight="1">
      <c r="A508" s="207"/>
      <c r="B508" s="207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210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</row>
    <row r="509" ht="15.75" customHeight="1">
      <c r="A509" s="207"/>
      <c r="B509" s="207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210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</row>
    <row r="510" ht="15.75" customHeight="1">
      <c r="A510" s="207"/>
      <c r="B510" s="207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210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</row>
    <row r="511" ht="15.75" customHeight="1">
      <c r="A511" s="207"/>
      <c r="B511" s="207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210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</row>
    <row r="512" ht="15.75" customHeight="1">
      <c r="A512" s="207"/>
      <c r="B512" s="207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210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</row>
    <row r="513" ht="15.75" customHeight="1">
      <c r="A513" s="207"/>
      <c r="B513" s="207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210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</row>
    <row r="514" ht="15.75" customHeight="1">
      <c r="A514" s="207"/>
      <c r="B514" s="207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210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</row>
    <row r="515" ht="15.75" customHeight="1">
      <c r="A515" s="207"/>
      <c r="B515" s="207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210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</row>
    <row r="516" ht="15.75" customHeight="1">
      <c r="A516" s="207"/>
      <c r="B516" s="207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210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</row>
    <row r="517" ht="15.75" customHeight="1">
      <c r="A517" s="207"/>
      <c r="B517" s="207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210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</row>
    <row r="518" ht="15.75" customHeight="1">
      <c r="A518" s="207"/>
      <c r="B518" s="207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210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</row>
    <row r="519" ht="15.75" customHeight="1">
      <c r="A519" s="207"/>
      <c r="B519" s="207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210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</row>
    <row r="520" ht="15.75" customHeight="1">
      <c r="A520" s="207"/>
      <c r="B520" s="207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210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</row>
    <row r="521" ht="15.75" customHeight="1">
      <c r="A521" s="207"/>
      <c r="B521" s="207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210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</row>
    <row r="522" ht="15.75" customHeight="1">
      <c r="A522" s="207"/>
      <c r="B522" s="207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210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</row>
    <row r="523" ht="15.75" customHeight="1">
      <c r="A523" s="207"/>
      <c r="B523" s="207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210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</row>
    <row r="524" ht="15.75" customHeight="1">
      <c r="A524" s="207"/>
      <c r="B524" s="207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210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</row>
    <row r="525" ht="15.75" customHeight="1">
      <c r="A525" s="207"/>
      <c r="B525" s="207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210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</row>
    <row r="526" ht="15.75" customHeight="1">
      <c r="A526" s="207"/>
      <c r="B526" s="207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210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</row>
    <row r="527" ht="15.75" customHeight="1">
      <c r="A527" s="207"/>
      <c r="B527" s="207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210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</row>
    <row r="528" ht="15.75" customHeight="1">
      <c r="A528" s="207"/>
      <c r="B528" s="207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210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</row>
    <row r="529" ht="15.75" customHeight="1">
      <c r="A529" s="207"/>
      <c r="B529" s="207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210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</row>
    <row r="530" ht="15.75" customHeight="1">
      <c r="A530" s="207"/>
      <c r="B530" s="207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210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</row>
    <row r="531" ht="15.75" customHeight="1">
      <c r="A531" s="207"/>
      <c r="B531" s="207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210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</row>
    <row r="532" ht="15.75" customHeight="1">
      <c r="A532" s="207"/>
      <c r="B532" s="207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210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</row>
    <row r="533" ht="15.75" customHeight="1">
      <c r="A533" s="207"/>
      <c r="B533" s="207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210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</row>
    <row r="534" ht="15.75" customHeight="1">
      <c r="A534" s="207"/>
      <c r="B534" s="207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210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</row>
    <row r="535" ht="15.75" customHeight="1">
      <c r="A535" s="207"/>
      <c r="B535" s="207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210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</row>
    <row r="536" ht="15.75" customHeight="1">
      <c r="A536" s="207"/>
      <c r="B536" s="207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210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</row>
    <row r="537" ht="15.75" customHeight="1">
      <c r="A537" s="207"/>
      <c r="B537" s="207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210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</row>
    <row r="538" ht="15.75" customHeight="1">
      <c r="A538" s="207"/>
      <c r="B538" s="207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210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</row>
    <row r="539" ht="15.75" customHeight="1">
      <c r="A539" s="207"/>
      <c r="B539" s="207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210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</row>
    <row r="540" ht="15.75" customHeight="1">
      <c r="A540" s="207"/>
      <c r="B540" s="207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210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</row>
    <row r="541" ht="15.75" customHeight="1">
      <c r="A541" s="207"/>
      <c r="B541" s="207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210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</row>
    <row r="542" ht="15.75" customHeight="1">
      <c r="A542" s="207"/>
      <c r="B542" s="207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210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</row>
    <row r="543" ht="15.75" customHeight="1">
      <c r="A543" s="207"/>
      <c r="B543" s="207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210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</row>
    <row r="544" ht="15.75" customHeight="1">
      <c r="A544" s="207"/>
      <c r="B544" s="207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210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</row>
    <row r="545" ht="15.75" customHeight="1">
      <c r="A545" s="207"/>
      <c r="B545" s="207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210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</row>
    <row r="546" ht="15.75" customHeight="1">
      <c r="A546" s="207"/>
      <c r="B546" s="207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210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</row>
    <row r="547" ht="15.75" customHeight="1">
      <c r="A547" s="207"/>
      <c r="B547" s="207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210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</row>
    <row r="548" ht="15.75" customHeight="1">
      <c r="A548" s="207"/>
      <c r="B548" s="207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210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</row>
    <row r="549" ht="15.75" customHeight="1">
      <c r="A549" s="207"/>
      <c r="B549" s="207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210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</row>
    <row r="550" ht="15.75" customHeight="1">
      <c r="A550" s="207"/>
      <c r="B550" s="207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210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</row>
    <row r="551" ht="15.75" customHeight="1">
      <c r="A551" s="207"/>
      <c r="B551" s="207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210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</row>
    <row r="552" ht="15.75" customHeight="1">
      <c r="A552" s="207"/>
      <c r="B552" s="207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210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</row>
    <row r="553" ht="15.75" customHeight="1">
      <c r="A553" s="207"/>
      <c r="B553" s="207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210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</row>
    <row r="554" ht="15.75" customHeight="1">
      <c r="A554" s="207"/>
      <c r="B554" s="207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210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</row>
    <row r="555" ht="15.75" customHeight="1">
      <c r="A555" s="207"/>
      <c r="B555" s="207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210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</row>
    <row r="556" ht="15.75" customHeight="1">
      <c r="A556" s="207"/>
      <c r="B556" s="207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210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</row>
    <row r="557" ht="15.75" customHeight="1">
      <c r="A557" s="207"/>
      <c r="B557" s="207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210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</row>
    <row r="558" ht="15.75" customHeight="1">
      <c r="A558" s="207"/>
      <c r="B558" s="207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210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</row>
    <row r="559" ht="15.75" customHeight="1">
      <c r="A559" s="207"/>
      <c r="B559" s="207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210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</row>
    <row r="560" ht="15.75" customHeight="1">
      <c r="A560" s="207"/>
      <c r="B560" s="207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210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</row>
    <row r="561" ht="15.75" customHeight="1">
      <c r="A561" s="207"/>
      <c r="B561" s="207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210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</row>
    <row r="562" ht="15.75" customHeight="1">
      <c r="A562" s="207"/>
      <c r="B562" s="207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210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</row>
    <row r="563" ht="15.75" customHeight="1">
      <c r="A563" s="207"/>
      <c r="B563" s="207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210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</row>
    <row r="564" ht="15.75" customHeight="1">
      <c r="A564" s="207"/>
      <c r="B564" s="207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210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</row>
    <row r="565" ht="15.75" customHeight="1">
      <c r="A565" s="207"/>
      <c r="B565" s="207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210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</row>
    <row r="566" ht="15.75" customHeight="1">
      <c r="A566" s="207"/>
      <c r="B566" s="207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210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</row>
    <row r="567" ht="15.75" customHeight="1">
      <c r="A567" s="207"/>
      <c r="B567" s="207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210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</row>
    <row r="568" ht="15.75" customHeight="1">
      <c r="A568" s="207"/>
      <c r="B568" s="207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210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</row>
    <row r="569" ht="15.75" customHeight="1">
      <c r="A569" s="207"/>
      <c r="B569" s="207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210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</row>
    <row r="570" ht="15.75" customHeight="1">
      <c r="A570" s="207"/>
      <c r="B570" s="207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210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</row>
    <row r="571" ht="15.75" customHeight="1">
      <c r="A571" s="207"/>
      <c r="B571" s="207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210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</row>
    <row r="572" ht="15.75" customHeight="1">
      <c r="A572" s="207"/>
      <c r="B572" s="207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210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</row>
    <row r="573" ht="15.75" customHeight="1">
      <c r="A573" s="207"/>
      <c r="B573" s="207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210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</row>
    <row r="574" ht="15.75" customHeight="1">
      <c r="A574" s="207"/>
      <c r="B574" s="207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210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</row>
    <row r="575" ht="15.75" customHeight="1">
      <c r="A575" s="207"/>
      <c r="B575" s="207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210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</row>
    <row r="576" ht="15.75" customHeight="1">
      <c r="A576" s="207"/>
      <c r="B576" s="207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210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</row>
    <row r="577" ht="15.75" customHeight="1">
      <c r="A577" s="207"/>
      <c r="B577" s="207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210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</row>
    <row r="578" ht="15.75" customHeight="1">
      <c r="A578" s="207"/>
      <c r="B578" s="207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210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</row>
    <row r="579" ht="15.75" customHeight="1">
      <c r="A579" s="207"/>
      <c r="B579" s="207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210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</row>
    <row r="580" ht="15.75" customHeight="1">
      <c r="A580" s="207"/>
      <c r="B580" s="207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210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</row>
    <row r="581" ht="15.75" customHeight="1">
      <c r="A581" s="207"/>
      <c r="B581" s="207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210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</row>
    <row r="582" ht="15.75" customHeight="1">
      <c r="A582" s="207"/>
      <c r="B582" s="207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210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</row>
    <row r="583" ht="15.75" customHeight="1">
      <c r="A583" s="207"/>
      <c r="B583" s="207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210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</row>
    <row r="584" ht="15.75" customHeight="1">
      <c r="A584" s="207"/>
      <c r="B584" s="207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210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</row>
    <row r="585" ht="15.75" customHeight="1">
      <c r="A585" s="207"/>
      <c r="B585" s="207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210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</row>
    <row r="586" ht="15.75" customHeight="1">
      <c r="A586" s="207"/>
      <c r="B586" s="207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210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</row>
    <row r="587" ht="15.75" customHeight="1">
      <c r="A587" s="207"/>
      <c r="B587" s="207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210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</row>
    <row r="588" ht="15.75" customHeight="1">
      <c r="A588" s="207"/>
      <c r="B588" s="207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210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</row>
    <row r="589" ht="15.75" customHeight="1">
      <c r="A589" s="207"/>
      <c r="B589" s="207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210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</row>
    <row r="590" ht="15.75" customHeight="1">
      <c r="A590" s="207"/>
      <c r="B590" s="207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210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</row>
    <row r="591" ht="15.75" customHeight="1">
      <c r="A591" s="207"/>
      <c r="B591" s="207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210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</row>
    <row r="592" ht="15.75" customHeight="1">
      <c r="A592" s="207"/>
      <c r="B592" s="207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210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</row>
    <row r="593" ht="15.75" customHeight="1">
      <c r="A593" s="207"/>
      <c r="B593" s="207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210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</row>
    <row r="594" ht="15.75" customHeight="1">
      <c r="A594" s="207"/>
      <c r="B594" s="207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210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</row>
    <row r="595" ht="15.75" customHeight="1">
      <c r="A595" s="207"/>
      <c r="B595" s="207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210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</row>
    <row r="596" ht="15.75" customHeight="1">
      <c r="A596" s="207"/>
      <c r="B596" s="207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210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</row>
    <row r="597" ht="15.75" customHeight="1">
      <c r="A597" s="207"/>
      <c r="B597" s="207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210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</row>
    <row r="598" ht="15.75" customHeight="1">
      <c r="A598" s="207"/>
      <c r="B598" s="207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210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</row>
    <row r="599" ht="15.75" customHeight="1">
      <c r="A599" s="207"/>
      <c r="B599" s="207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210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</row>
    <row r="600" ht="15.75" customHeight="1">
      <c r="A600" s="207"/>
      <c r="B600" s="207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210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</row>
    <row r="601" ht="15.75" customHeight="1">
      <c r="A601" s="207"/>
      <c r="B601" s="207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210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</row>
    <row r="602" ht="15.75" customHeight="1">
      <c r="A602" s="207"/>
      <c r="B602" s="207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210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</row>
    <row r="603" ht="15.75" customHeight="1">
      <c r="A603" s="207"/>
      <c r="B603" s="207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210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</row>
    <row r="604" ht="15.75" customHeight="1">
      <c r="A604" s="207"/>
      <c r="B604" s="207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210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</row>
    <row r="605" ht="15.75" customHeight="1">
      <c r="A605" s="207"/>
      <c r="B605" s="207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210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</row>
    <row r="606" ht="15.75" customHeight="1">
      <c r="A606" s="207"/>
      <c r="B606" s="207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210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</row>
    <row r="607" ht="15.75" customHeight="1">
      <c r="A607" s="207"/>
      <c r="B607" s="207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210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</row>
    <row r="608" ht="15.75" customHeight="1">
      <c r="A608" s="207"/>
      <c r="B608" s="207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210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</row>
    <row r="609" ht="15.75" customHeight="1">
      <c r="A609" s="207"/>
      <c r="B609" s="207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210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</row>
    <row r="610" ht="15.75" customHeight="1">
      <c r="A610" s="207"/>
      <c r="B610" s="207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210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</row>
    <row r="611" ht="15.75" customHeight="1">
      <c r="A611" s="207"/>
      <c r="B611" s="207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210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</row>
    <row r="612" ht="15.75" customHeight="1">
      <c r="A612" s="207"/>
      <c r="B612" s="207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210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</row>
    <row r="613" ht="15.75" customHeight="1">
      <c r="A613" s="207"/>
      <c r="B613" s="207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210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</row>
    <row r="614" ht="15.75" customHeight="1">
      <c r="A614" s="207"/>
      <c r="B614" s="207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210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</row>
    <row r="615" ht="15.75" customHeight="1">
      <c r="A615" s="207"/>
      <c r="B615" s="207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210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</row>
    <row r="616" ht="15.75" customHeight="1">
      <c r="A616" s="207"/>
      <c r="B616" s="207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210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</row>
    <row r="617" ht="15.75" customHeight="1">
      <c r="A617" s="207"/>
      <c r="B617" s="207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210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</row>
    <row r="618" ht="15.75" customHeight="1">
      <c r="A618" s="207"/>
      <c r="B618" s="207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210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</row>
    <row r="619" ht="15.75" customHeight="1">
      <c r="A619" s="207"/>
      <c r="B619" s="207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210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</row>
    <row r="620" ht="15.75" customHeight="1">
      <c r="A620" s="207"/>
      <c r="B620" s="207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210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</row>
    <row r="621" ht="15.75" customHeight="1">
      <c r="A621" s="207"/>
      <c r="B621" s="207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210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</row>
    <row r="622" ht="15.75" customHeight="1">
      <c r="A622" s="207"/>
      <c r="B622" s="207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210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</row>
    <row r="623" ht="15.75" customHeight="1">
      <c r="A623" s="207"/>
      <c r="B623" s="207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210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</row>
    <row r="624" ht="15.75" customHeight="1">
      <c r="A624" s="207"/>
      <c r="B624" s="207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210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</row>
    <row r="625" ht="15.75" customHeight="1">
      <c r="A625" s="207"/>
      <c r="B625" s="207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210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</row>
    <row r="626" ht="15.75" customHeight="1">
      <c r="A626" s="207"/>
      <c r="B626" s="207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210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</row>
    <row r="627" ht="15.75" customHeight="1">
      <c r="A627" s="207"/>
      <c r="B627" s="207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210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</row>
    <row r="628" ht="15.75" customHeight="1">
      <c r="A628" s="207"/>
      <c r="B628" s="207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210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</row>
    <row r="629" ht="15.75" customHeight="1">
      <c r="A629" s="207"/>
      <c r="B629" s="207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210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</row>
    <row r="630" ht="15.75" customHeight="1">
      <c r="A630" s="207"/>
      <c r="B630" s="207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210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</row>
    <row r="631" ht="15.75" customHeight="1">
      <c r="A631" s="207"/>
      <c r="B631" s="207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210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</row>
    <row r="632" ht="15.75" customHeight="1">
      <c r="A632" s="207"/>
      <c r="B632" s="207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210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</row>
    <row r="633" ht="15.75" customHeight="1">
      <c r="A633" s="207"/>
      <c r="B633" s="207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210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</row>
    <row r="634" ht="15.75" customHeight="1">
      <c r="A634" s="207"/>
      <c r="B634" s="207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210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</row>
    <row r="635" ht="15.75" customHeight="1">
      <c r="A635" s="207"/>
      <c r="B635" s="207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210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</row>
    <row r="636" ht="15.75" customHeight="1">
      <c r="A636" s="207"/>
      <c r="B636" s="207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210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</row>
    <row r="637" ht="15.75" customHeight="1">
      <c r="A637" s="207"/>
      <c r="B637" s="207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210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</row>
    <row r="638" ht="15.75" customHeight="1">
      <c r="A638" s="207"/>
      <c r="B638" s="207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210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</row>
    <row r="639" ht="15.75" customHeight="1">
      <c r="A639" s="207"/>
      <c r="B639" s="207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210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</row>
    <row r="640" ht="15.75" customHeight="1">
      <c r="A640" s="207"/>
      <c r="B640" s="207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210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</row>
    <row r="641" ht="15.75" customHeight="1">
      <c r="A641" s="207"/>
      <c r="B641" s="207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210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</row>
    <row r="642" ht="15.75" customHeight="1">
      <c r="A642" s="207"/>
      <c r="B642" s="207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210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</row>
    <row r="643" ht="15.75" customHeight="1">
      <c r="A643" s="207"/>
      <c r="B643" s="207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210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</row>
    <row r="644" ht="15.75" customHeight="1">
      <c r="A644" s="207"/>
      <c r="B644" s="207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210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</row>
    <row r="645" ht="15.75" customHeight="1">
      <c r="A645" s="207"/>
      <c r="B645" s="207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210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</row>
    <row r="646" ht="15.75" customHeight="1">
      <c r="A646" s="207"/>
      <c r="B646" s="207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210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</row>
    <row r="647" ht="15.75" customHeight="1">
      <c r="A647" s="207"/>
      <c r="B647" s="207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210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</row>
    <row r="648" ht="15.75" customHeight="1">
      <c r="A648" s="207"/>
      <c r="B648" s="207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210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</row>
    <row r="649" ht="15.75" customHeight="1">
      <c r="A649" s="207"/>
      <c r="B649" s="207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210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</row>
    <row r="650" ht="15.75" customHeight="1">
      <c r="A650" s="207"/>
      <c r="B650" s="207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210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</row>
    <row r="651" ht="15.75" customHeight="1">
      <c r="A651" s="207"/>
      <c r="B651" s="207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210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</row>
    <row r="652" ht="15.75" customHeight="1">
      <c r="A652" s="207"/>
      <c r="B652" s="207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210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</row>
    <row r="653" ht="15.75" customHeight="1">
      <c r="A653" s="207"/>
      <c r="B653" s="207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210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</row>
    <row r="654" ht="15.75" customHeight="1">
      <c r="A654" s="207"/>
      <c r="B654" s="207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210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</row>
    <row r="655" ht="15.75" customHeight="1">
      <c r="A655" s="207"/>
      <c r="B655" s="207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210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</row>
    <row r="656" ht="15.75" customHeight="1">
      <c r="A656" s="207"/>
      <c r="B656" s="207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210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</row>
    <row r="657" ht="15.75" customHeight="1">
      <c r="A657" s="207"/>
      <c r="B657" s="207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210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</row>
    <row r="658" ht="15.75" customHeight="1">
      <c r="A658" s="207"/>
      <c r="B658" s="207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210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</row>
    <row r="659" ht="15.75" customHeight="1">
      <c r="A659" s="207"/>
      <c r="B659" s="207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210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</row>
    <row r="660" ht="15.75" customHeight="1">
      <c r="A660" s="207"/>
      <c r="B660" s="207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210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</row>
    <row r="661" ht="15.75" customHeight="1">
      <c r="A661" s="207"/>
      <c r="B661" s="207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210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</row>
    <row r="662" ht="15.75" customHeight="1">
      <c r="A662" s="207"/>
      <c r="B662" s="207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210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</row>
    <row r="663" ht="15.75" customHeight="1">
      <c r="A663" s="207"/>
      <c r="B663" s="207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210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</row>
    <row r="664" ht="15.75" customHeight="1">
      <c r="A664" s="207"/>
      <c r="B664" s="207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210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</row>
    <row r="665" ht="15.75" customHeight="1">
      <c r="A665" s="207"/>
      <c r="B665" s="207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210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</row>
    <row r="666" ht="15.75" customHeight="1">
      <c r="A666" s="207"/>
      <c r="B666" s="207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210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</row>
    <row r="667" ht="15.75" customHeight="1">
      <c r="A667" s="207"/>
      <c r="B667" s="207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210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</row>
    <row r="668" ht="15.75" customHeight="1">
      <c r="A668" s="207"/>
      <c r="B668" s="207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210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</row>
    <row r="669" ht="15.75" customHeight="1">
      <c r="A669" s="207"/>
      <c r="B669" s="207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210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</row>
    <row r="670" ht="15.75" customHeight="1">
      <c r="A670" s="207"/>
      <c r="B670" s="207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210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</row>
    <row r="671" ht="15.75" customHeight="1">
      <c r="A671" s="207"/>
      <c r="B671" s="207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210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</row>
    <row r="672" ht="15.75" customHeight="1">
      <c r="A672" s="207"/>
      <c r="B672" s="207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210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</row>
    <row r="673" ht="15.75" customHeight="1">
      <c r="A673" s="207"/>
      <c r="B673" s="207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210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</row>
    <row r="674" ht="15.75" customHeight="1">
      <c r="A674" s="207"/>
      <c r="B674" s="207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210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</row>
    <row r="675" ht="15.75" customHeight="1">
      <c r="A675" s="207"/>
      <c r="B675" s="207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210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</row>
    <row r="676" ht="15.75" customHeight="1">
      <c r="A676" s="207"/>
      <c r="B676" s="207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210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</row>
    <row r="677" ht="15.75" customHeight="1">
      <c r="A677" s="207"/>
      <c r="B677" s="207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210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</row>
    <row r="678" ht="15.75" customHeight="1">
      <c r="A678" s="207"/>
      <c r="B678" s="207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210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</row>
    <row r="679" ht="15.75" customHeight="1">
      <c r="A679" s="207"/>
      <c r="B679" s="207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210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</row>
    <row r="680" ht="15.75" customHeight="1">
      <c r="A680" s="207"/>
      <c r="B680" s="207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210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</row>
    <row r="681" ht="15.75" customHeight="1">
      <c r="A681" s="207"/>
      <c r="B681" s="207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210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</row>
    <row r="682" ht="15.75" customHeight="1">
      <c r="A682" s="207"/>
      <c r="B682" s="207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210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</row>
    <row r="683" ht="15.75" customHeight="1">
      <c r="A683" s="207"/>
      <c r="B683" s="207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210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</row>
    <row r="684" ht="15.75" customHeight="1">
      <c r="A684" s="207"/>
      <c r="B684" s="207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210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</row>
    <row r="685" ht="15.75" customHeight="1">
      <c r="A685" s="207"/>
      <c r="B685" s="207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210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</row>
    <row r="686" ht="15.75" customHeight="1">
      <c r="A686" s="207"/>
      <c r="B686" s="207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210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</row>
    <row r="687" ht="15.75" customHeight="1">
      <c r="A687" s="207"/>
      <c r="B687" s="207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210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</row>
    <row r="688" ht="15.75" customHeight="1">
      <c r="A688" s="207"/>
      <c r="B688" s="207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210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</row>
    <row r="689" ht="15.75" customHeight="1">
      <c r="A689" s="207"/>
      <c r="B689" s="207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210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</row>
    <row r="690" ht="15.75" customHeight="1">
      <c r="A690" s="207"/>
      <c r="B690" s="207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210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</row>
    <row r="691" ht="15.75" customHeight="1">
      <c r="A691" s="207"/>
      <c r="B691" s="207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210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</row>
    <row r="692" ht="15.75" customHeight="1">
      <c r="A692" s="207"/>
      <c r="B692" s="207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210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</row>
    <row r="693" ht="15.75" customHeight="1">
      <c r="A693" s="207"/>
      <c r="B693" s="207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210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</row>
    <row r="694" ht="15.75" customHeight="1">
      <c r="A694" s="207"/>
      <c r="B694" s="207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210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</row>
    <row r="695" ht="15.75" customHeight="1">
      <c r="A695" s="207"/>
      <c r="B695" s="207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210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</row>
    <row r="696" ht="15.75" customHeight="1">
      <c r="A696" s="207"/>
      <c r="B696" s="207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210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</row>
    <row r="697" ht="15.75" customHeight="1">
      <c r="A697" s="207"/>
      <c r="B697" s="207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210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</row>
    <row r="698" ht="15.75" customHeight="1">
      <c r="A698" s="207"/>
      <c r="B698" s="207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210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</row>
    <row r="699" ht="15.75" customHeight="1">
      <c r="A699" s="207"/>
      <c r="B699" s="207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210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</row>
    <row r="700" ht="15.75" customHeight="1">
      <c r="A700" s="207"/>
      <c r="B700" s="207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210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</row>
    <row r="701" ht="15.75" customHeight="1">
      <c r="A701" s="207"/>
      <c r="B701" s="207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210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</row>
    <row r="702" ht="15.75" customHeight="1">
      <c r="A702" s="207"/>
      <c r="B702" s="207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210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</row>
    <row r="703" ht="15.75" customHeight="1">
      <c r="A703" s="207"/>
      <c r="B703" s="207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210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</row>
    <row r="704" ht="15.75" customHeight="1">
      <c r="A704" s="207"/>
      <c r="B704" s="207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210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</row>
    <row r="705" ht="15.75" customHeight="1">
      <c r="A705" s="207"/>
      <c r="B705" s="207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210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</row>
    <row r="706" ht="15.75" customHeight="1">
      <c r="A706" s="207"/>
      <c r="B706" s="207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210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</row>
    <row r="707" ht="15.75" customHeight="1">
      <c r="A707" s="207"/>
      <c r="B707" s="207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210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</row>
    <row r="708" ht="15.75" customHeight="1">
      <c r="A708" s="207"/>
      <c r="B708" s="207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210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</row>
    <row r="709" ht="15.75" customHeight="1">
      <c r="A709" s="207"/>
      <c r="B709" s="207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210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</row>
    <row r="710" ht="15.75" customHeight="1">
      <c r="A710" s="207"/>
      <c r="B710" s="207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210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</row>
    <row r="711" ht="15.75" customHeight="1">
      <c r="A711" s="207"/>
      <c r="B711" s="207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210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</row>
    <row r="712" ht="15.75" customHeight="1">
      <c r="A712" s="207"/>
      <c r="B712" s="207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210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</row>
    <row r="713" ht="15.75" customHeight="1">
      <c r="A713" s="207"/>
      <c r="B713" s="207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210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</row>
    <row r="714" ht="15.75" customHeight="1">
      <c r="A714" s="207"/>
      <c r="B714" s="207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210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</row>
    <row r="715" ht="15.75" customHeight="1">
      <c r="A715" s="207"/>
      <c r="B715" s="207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210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</row>
    <row r="716" ht="15.75" customHeight="1">
      <c r="A716" s="207"/>
      <c r="B716" s="207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210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</row>
    <row r="717" ht="15.75" customHeight="1">
      <c r="A717" s="207"/>
      <c r="B717" s="207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210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</row>
    <row r="718" ht="15.75" customHeight="1">
      <c r="A718" s="207"/>
      <c r="B718" s="207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210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</row>
    <row r="719" ht="15.75" customHeight="1">
      <c r="A719" s="207"/>
      <c r="B719" s="207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210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</row>
    <row r="720" ht="15.75" customHeight="1">
      <c r="A720" s="207"/>
      <c r="B720" s="207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210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</row>
    <row r="721" ht="15.75" customHeight="1">
      <c r="A721" s="207"/>
      <c r="B721" s="207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210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</row>
    <row r="722" ht="15.75" customHeight="1">
      <c r="A722" s="207"/>
      <c r="B722" s="207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210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</row>
    <row r="723" ht="15.75" customHeight="1">
      <c r="A723" s="207"/>
      <c r="B723" s="207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210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</row>
    <row r="724" ht="15.75" customHeight="1">
      <c r="A724" s="207"/>
      <c r="B724" s="207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210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</row>
    <row r="725" ht="15.75" customHeight="1">
      <c r="A725" s="207"/>
      <c r="B725" s="207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210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</row>
    <row r="726" ht="15.75" customHeight="1">
      <c r="A726" s="207"/>
      <c r="B726" s="207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210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</row>
    <row r="727" ht="15.75" customHeight="1">
      <c r="A727" s="207"/>
      <c r="B727" s="207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210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</row>
    <row r="728" ht="15.75" customHeight="1">
      <c r="A728" s="207"/>
      <c r="B728" s="207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210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</row>
    <row r="729" ht="15.75" customHeight="1">
      <c r="A729" s="207"/>
      <c r="B729" s="207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210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</row>
    <row r="730" ht="15.75" customHeight="1">
      <c r="A730" s="207"/>
      <c r="B730" s="207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210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</row>
    <row r="731" ht="15.75" customHeight="1">
      <c r="A731" s="207"/>
      <c r="B731" s="207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210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</row>
    <row r="732" ht="15.75" customHeight="1">
      <c r="A732" s="207"/>
      <c r="B732" s="207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210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</row>
    <row r="733" ht="15.75" customHeight="1">
      <c r="A733" s="207"/>
      <c r="B733" s="207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210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</row>
    <row r="734" ht="15.75" customHeight="1">
      <c r="A734" s="207"/>
      <c r="B734" s="207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210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</row>
    <row r="735" ht="15.75" customHeight="1">
      <c r="A735" s="207"/>
      <c r="B735" s="207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210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</row>
    <row r="736" ht="15.75" customHeight="1">
      <c r="A736" s="207"/>
      <c r="B736" s="207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210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</row>
    <row r="737" ht="15.75" customHeight="1">
      <c r="A737" s="207"/>
      <c r="B737" s="207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210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</row>
    <row r="738" ht="15.75" customHeight="1">
      <c r="A738" s="207"/>
      <c r="B738" s="207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210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</row>
    <row r="739" ht="15.75" customHeight="1">
      <c r="A739" s="207"/>
      <c r="B739" s="207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210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</row>
    <row r="740" ht="15.75" customHeight="1">
      <c r="A740" s="207"/>
      <c r="B740" s="207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210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</row>
    <row r="741" ht="15.75" customHeight="1">
      <c r="A741" s="207"/>
      <c r="B741" s="207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210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</row>
    <row r="742" ht="15.75" customHeight="1">
      <c r="A742" s="207"/>
      <c r="B742" s="207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210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</row>
    <row r="743" ht="15.75" customHeight="1">
      <c r="A743" s="207"/>
      <c r="B743" s="207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210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</row>
    <row r="744" ht="15.75" customHeight="1">
      <c r="A744" s="207"/>
      <c r="B744" s="207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210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</row>
    <row r="745" ht="15.75" customHeight="1">
      <c r="A745" s="207"/>
      <c r="B745" s="207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210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</row>
    <row r="746" ht="15.75" customHeight="1">
      <c r="A746" s="207"/>
      <c r="B746" s="207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210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</row>
    <row r="747" ht="15.75" customHeight="1">
      <c r="A747" s="207"/>
      <c r="B747" s="207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210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</row>
    <row r="748" ht="15.75" customHeight="1">
      <c r="A748" s="207"/>
      <c r="B748" s="207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210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</row>
    <row r="749" ht="15.75" customHeight="1">
      <c r="A749" s="207"/>
      <c r="B749" s="207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210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</row>
    <row r="750" ht="15.75" customHeight="1">
      <c r="A750" s="207"/>
      <c r="B750" s="207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210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</row>
    <row r="751" ht="15.75" customHeight="1">
      <c r="A751" s="207"/>
      <c r="B751" s="207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210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</row>
    <row r="752" ht="15.75" customHeight="1">
      <c r="A752" s="207"/>
      <c r="B752" s="207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210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</row>
    <row r="753" ht="15.75" customHeight="1">
      <c r="A753" s="207"/>
      <c r="B753" s="207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210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</row>
    <row r="754" ht="15.75" customHeight="1">
      <c r="A754" s="207"/>
      <c r="B754" s="207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210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</row>
    <row r="755" ht="15.75" customHeight="1">
      <c r="A755" s="207"/>
      <c r="B755" s="207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210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</row>
    <row r="756" ht="15.75" customHeight="1">
      <c r="A756" s="207"/>
      <c r="B756" s="207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210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</row>
    <row r="757" ht="15.75" customHeight="1">
      <c r="A757" s="207"/>
      <c r="B757" s="207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210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</row>
    <row r="758" ht="15.75" customHeight="1">
      <c r="A758" s="207"/>
      <c r="B758" s="207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210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</row>
    <row r="759" ht="15.75" customHeight="1">
      <c r="A759" s="207"/>
      <c r="B759" s="207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210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</row>
    <row r="760" ht="15.75" customHeight="1">
      <c r="A760" s="207"/>
      <c r="B760" s="207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210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</row>
    <row r="761" ht="15.75" customHeight="1">
      <c r="A761" s="207"/>
      <c r="B761" s="207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210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</row>
    <row r="762" ht="15.75" customHeight="1">
      <c r="A762" s="207"/>
      <c r="B762" s="207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210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</row>
    <row r="763" ht="15.75" customHeight="1">
      <c r="A763" s="207"/>
      <c r="B763" s="207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210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</row>
    <row r="764" ht="15.75" customHeight="1">
      <c r="A764" s="207"/>
      <c r="B764" s="207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210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</row>
    <row r="765" ht="15.75" customHeight="1">
      <c r="A765" s="207"/>
      <c r="B765" s="207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210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</row>
    <row r="766" ht="15.75" customHeight="1">
      <c r="A766" s="207"/>
      <c r="B766" s="207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210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</row>
    <row r="767" ht="15.75" customHeight="1">
      <c r="A767" s="207"/>
      <c r="B767" s="207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210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</row>
    <row r="768" ht="15.75" customHeight="1">
      <c r="A768" s="207"/>
      <c r="B768" s="207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210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</row>
    <row r="769" ht="15.75" customHeight="1">
      <c r="A769" s="207"/>
      <c r="B769" s="207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210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</row>
    <row r="770" ht="15.75" customHeight="1">
      <c r="A770" s="207"/>
      <c r="B770" s="207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210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</row>
    <row r="771" ht="15.75" customHeight="1">
      <c r="A771" s="207"/>
      <c r="B771" s="207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210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</row>
    <row r="772" ht="15.75" customHeight="1">
      <c r="A772" s="207"/>
      <c r="B772" s="207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210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</row>
    <row r="773" ht="15.75" customHeight="1">
      <c r="A773" s="207"/>
      <c r="B773" s="207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210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</row>
    <row r="774" ht="15.75" customHeight="1">
      <c r="A774" s="207"/>
      <c r="B774" s="207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210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</row>
    <row r="775" ht="15.75" customHeight="1">
      <c r="A775" s="207"/>
      <c r="B775" s="207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210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</row>
    <row r="776" ht="15.75" customHeight="1">
      <c r="A776" s="207"/>
      <c r="B776" s="207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210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</row>
    <row r="777" ht="15.75" customHeight="1">
      <c r="A777" s="207"/>
      <c r="B777" s="207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210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</row>
    <row r="778" ht="15.75" customHeight="1">
      <c r="A778" s="207"/>
      <c r="B778" s="207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210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</row>
    <row r="779" ht="15.75" customHeight="1">
      <c r="A779" s="207"/>
      <c r="B779" s="207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210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</row>
    <row r="780" ht="15.75" customHeight="1">
      <c r="A780" s="207"/>
      <c r="B780" s="207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210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</row>
    <row r="781" ht="15.75" customHeight="1">
      <c r="A781" s="207"/>
      <c r="B781" s="207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210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</row>
    <row r="782" ht="15.75" customHeight="1">
      <c r="A782" s="207"/>
      <c r="B782" s="207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210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</row>
    <row r="783" ht="15.75" customHeight="1">
      <c r="A783" s="207"/>
      <c r="B783" s="207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210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</row>
    <row r="784" ht="15.75" customHeight="1">
      <c r="A784" s="207"/>
      <c r="B784" s="207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210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</row>
    <row r="785" ht="15.75" customHeight="1">
      <c r="A785" s="207"/>
      <c r="B785" s="207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210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</row>
    <row r="786" ht="15.75" customHeight="1">
      <c r="A786" s="207"/>
      <c r="B786" s="207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210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</row>
    <row r="787" ht="15.75" customHeight="1">
      <c r="A787" s="207"/>
      <c r="B787" s="207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210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</row>
    <row r="788" ht="15.75" customHeight="1">
      <c r="A788" s="207"/>
      <c r="B788" s="207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210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</row>
    <row r="789" ht="15.75" customHeight="1">
      <c r="A789" s="207"/>
      <c r="B789" s="207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210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</row>
    <row r="790" ht="15.75" customHeight="1">
      <c r="A790" s="207"/>
      <c r="B790" s="207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210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</row>
    <row r="791" ht="15.75" customHeight="1">
      <c r="A791" s="207"/>
      <c r="B791" s="207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210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</row>
    <row r="792" ht="15.75" customHeight="1">
      <c r="A792" s="207"/>
      <c r="B792" s="207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210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</row>
    <row r="793" ht="15.75" customHeight="1">
      <c r="A793" s="207"/>
      <c r="B793" s="207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210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</row>
    <row r="794" ht="15.75" customHeight="1">
      <c r="A794" s="207"/>
      <c r="B794" s="207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210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</row>
    <row r="795" ht="15.75" customHeight="1">
      <c r="A795" s="207"/>
      <c r="B795" s="207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210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</row>
    <row r="796" ht="15.75" customHeight="1">
      <c r="A796" s="207"/>
      <c r="B796" s="207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210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</row>
    <row r="797" ht="15.75" customHeight="1">
      <c r="A797" s="207"/>
      <c r="B797" s="207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210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</row>
    <row r="798" ht="15.75" customHeight="1">
      <c r="A798" s="207"/>
      <c r="B798" s="207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210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</row>
    <row r="799" ht="15.75" customHeight="1">
      <c r="A799" s="207"/>
      <c r="B799" s="207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210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</row>
    <row r="800" ht="15.75" customHeight="1">
      <c r="A800" s="207"/>
      <c r="B800" s="207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210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</row>
    <row r="801" ht="15.75" customHeight="1">
      <c r="A801" s="207"/>
      <c r="B801" s="207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210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</row>
    <row r="802" ht="15.75" customHeight="1">
      <c r="A802" s="207"/>
      <c r="B802" s="207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210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</row>
    <row r="803" ht="15.75" customHeight="1">
      <c r="A803" s="207"/>
      <c r="B803" s="207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210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</row>
    <row r="804" ht="15.75" customHeight="1">
      <c r="A804" s="207"/>
      <c r="B804" s="207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210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</row>
    <row r="805" ht="15.75" customHeight="1">
      <c r="A805" s="207"/>
      <c r="B805" s="207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210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</row>
    <row r="806" ht="15.75" customHeight="1">
      <c r="A806" s="207"/>
      <c r="B806" s="207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210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</row>
    <row r="807" ht="15.75" customHeight="1">
      <c r="A807" s="207"/>
      <c r="B807" s="207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210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</row>
    <row r="808" ht="15.75" customHeight="1">
      <c r="A808" s="207"/>
      <c r="B808" s="207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210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</row>
    <row r="809" ht="15.75" customHeight="1">
      <c r="A809" s="207"/>
      <c r="B809" s="207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210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</row>
    <row r="810" ht="15.75" customHeight="1">
      <c r="A810" s="207"/>
      <c r="B810" s="207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210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</row>
    <row r="811" ht="15.75" customHeight="1">
      <c r="A811" s="207"/>
      <c r="B811" s="207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210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</row>
    <row r="812" ht="15.75" customHeight="1">
      <c r="A812" s="207"/>
      <c r="B812" s="207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210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</row>
    <row r="813" ht="15.75" customHeight="1">
      <c r="A813" s="207"/>
      <c r="B813" s="207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210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</row>
    <row r="814" ht="15.75" customHeight="1">
      <c r="A814" s="207"/>
      <c r="B814" s="207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210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</row>
    <row r="815" ht="15.75" customHeight="1">
      <c r="A815" s="207"/>
      <c r="B815" s="207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210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</row>
    <row r="816" ht="15.75" customHeight="1">
      <c r="A816" s="207"/>
      <c r="B816" s="207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210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</row>
    <row r="817" ht="15.75" customHeight="1">
      <c r="A817" s="207"/>
      <c r="B817" s="207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210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</row>
    <row r="818" ht="15.75" customHeight="1">
      <c r="A818" s="207"/>
      <c r="B818" s="207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210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</row>
    <row r="819" ht="15.75" customHeight="1">
      <c r="A819" s="207"/>
      <c r="B819" s="207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210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</row>
    <row r="820" ht="15.75" customHeight="1">
      <c r="A820" s="207"/>
      <c r="B820" s="207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210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</row>
    <row r="821" ht="15.75" customHeight="1">
      <c r="A821" s="207"/>
      <c r="B821" s="207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210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</row>
    <row r="822" ht="15.75" customHeight="1">
      <c r="A822" s="207"/>
      <c r="B822" s="207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210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</row>
    <row r="823" ht="15.75" customHeight="1">
      <c r="A823" s="207"/>
      <c r="B823" s="207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210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</row>
    <row r="824" ht="15.75" customHeight="1">
      <c r="A824" s="207"/>
      <c r="B824" s="207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210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</row>
    <row r="825" ht="15.75" customHeight="1">
      <c r="A825" s="207"/>
      <c r="B825" s="207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210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</row>
    <row r="826" ht="15.75" customHeight="1">
      <c r="A826" s="207"/>
      <c r="B826" s="207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210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</row>
    <row r="827" ht="15.75" customHeight="1">
      <c r="A827" s="207"/>
      <c r="B827" s="207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210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</row>
    <row r="828" ht="15.75" customHeight="1">
      <c r="A828" s="207"/>
      <c r="B828" s="207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210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</row>
    <row r="829" ht="15.75" customHeight="1">
      <c r="A829" s="207"/>
      <c r="B829" s="207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210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</row>
    <row r="830" ht="15.75" customHeight="1">
      <c r="A830" s="207"/>
      <c r="B830" s="207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210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</row>
    <row r="831" ht="15.75" customHeight="1">
      <c r="A831" s="207"/>
      <c r="B831" s="207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210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</row>
    <row r="832" ht="15.75" customHeight="1">
      <c r="A832" s="207"/>
      <c r="B832" s="207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210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</row>
    <row r="833" ht="15.75" customHeight="1">
      <c r="A833" s="207"/>
      <c r="B833" s="207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210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</row>
    <row r="834" ht="15.75" customHeight="1">
      <c r="A834" s="207"/>
      <c r="B834" s="207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210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</row>
    <row r="835" ht="15.75" customHeight="1">
      <c r="A835" s="207"/>
      <c r="B835" s="207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210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</row>
    <row r="836" ht="15.75" customHeight="1">
      <c r="A836" s="207"/>
      <c r="B836" s="207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210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</row>
    <row r="837" ht="15.75" customHeight="1">
      <c r="A837" s="207"/>
      <c r="B837" s="207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210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</row>
    <row r="838" ht="15.75" customHeight="1">
      <c r="A838" s="207"/>
      <c r="B838" s="207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210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</row>
    <row r="839" ht="15.75" customHeight="1">
      <c r="A839" s="207"/>
      <c r="B839" s="207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210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</row>
    <row r="840" ht="15.75" customHeight="1">
      <c r="A840" s="207"/>
      <c r="B840" s="207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210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</row>
    <row r="841" ht="15.75" customHeight="1">
      <c r="A841" s="207"/>
      <c r="B841" s="207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210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</row>
    <row r="842" ht="15.75" customHeight="1">
      <c r="A842" s="207"/>
      <c r="B842" s="207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210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</row>
    <row r="843" ht="15.75" customHeight="1">
      <c r="A843" s="207"/>
      <c r="B843" s="207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210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</row>
    <row r="844" ht="15.75" customHeight="1">
      <c r="A844" s="207"/>
      <c r="B844" s="207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210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</row>
    <row r="845" ht="15.75" customHeight="1">
      <c r="A845" s="207"/>
      <c r="B845" s="207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210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</row>
    <row r="846" ht="15.75" customHeight="1">
      <c r="A846" s="207"/>
      <c r="B846" s="207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210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</row>
    <row r="847" ht="15.75" customHeight="1">
      <c r="A847" s="207"/>
      <c r="B847" s="207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210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</row>
    <row r="848" ht="15.75" customHeight="1">
      <c r="A848" s="207"/>
      <c r="B848" s="207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210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</row>
    <row r="849" ht="15.75" customHeight="1">
      <c r="A849" s="207"/>
      <c r="B849" s="207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210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</row>
    <row r="850" ht="15.75" customHeight="1">
      <c r="A850" s="207"/>
      <c r="B850" s="207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210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</row>
    <row r="851" ht="15.75" customHeight="1">
      <c r="A851" s="207"/>
      <c r="B851" s="207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210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</row>
    <row r="852" ht="15.75" customHeight="1">
      <c r="A852" s="207"/>
      <c r="B852" s="207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210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</row>
    <row r="853" ht="15.75" customHeight="1">
      <c r="A853" s="207"/>
      <c r="B853" s="207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210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</row>
    <row r="854" ht="15.75" customHeight="1">
      <c r="A854" s="207"/>
      <c r="B854" s="207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210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</row>
    <row r="855" ht="15.75" customHeight="1">
      <c r="A855" s="207"/>
      <c r="B855" s="207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210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</row>
    <row r="856" ht="15.75" customHeight="1">
      <c r="A856" s="207"/>
      <c r="B856" s="207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210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</row>
    <row r="857" ht="15.75" customHeight="1">
      <c r="A857" s="207"/>
      <c r="B857" s="207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210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</row>
    <row r="858" ht="15.75" customHeight="1">
      <c r="A858" s="207"/>
      <c r="B858" s="207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210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</row>
    <row r="859" ht="15.75" customHeight="1">
      <c r="A859" s="207"/>
      <c r="B859" s="207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210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</row>
    <row r="860" ht="15.75" customHeight="1">
      <c r="A860" s="207"/>
      <c r="B860" s="207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210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</row>
    <row r="861" ht="15.75" customHeight="1">
      <c r="A861" s="207"/>
      <c r="B861" s="207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210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</row>
    <row r="862" ht="15.75" customHeight="1">
      <c r="A862" s="207"/>
      <c r="B862" s="207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210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</row>
    <row r="863" ht="15.75" customHeight="1">
      <c r="A863" s="207"/>
      <c r="B863" s="207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210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</row>
    <row r="864" ht="15.75" customHeight="1">
      <c r="A864" s="207"/>
      <c r="B864" s="207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210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</row>
    <row r="865" ht="15.75" customHeight="1">
      <c r="A865" s="207"/>
      <c r="B865" s="207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210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</row>
    <row r="866" ht="15.75" customHeight="1">
      <c r="A866" s="207"/>
      <c r="B866" s="207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210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</row>
    <row r="867" ht="15.75" customHeight="1">
      <c r="A867" s="207"/>
      <c r="B867" s="207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210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</row>
    <row r="868" ht="15.75" customHeight="1">
      <c r="A868" s="207"/>
      <c r="B868" s="207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210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</row>
    <row r="869" ht="15.75" customHeight="1">
      <c r="A869" s="207"/>
      <c r="B869" s="207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210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</row>
    <row r="870" ht="15.75" customHeight="1">
      <c r="A870" s="207"/>
      <c r="B870" s="207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210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</row>
    <row r="871" ht="15.75" customHeight="1">
      <c r="A871" s="207"/>
      <c r="B871" s="207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210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</row>
    <row r="872" ht="15.75" customHeight="1">
      <c r="A872" s="207"/>
      <c r="B872" s="207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210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</row>
    <row r="873" ht="15.75" customHeight="1">
      <c r="A873" s="207"/>
      <c r="B873" s="207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210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</row>
    <row r="874" ht="15.75" customHeight="1">
      <c r="A874" s="207"/>
      <c r="B874" s="207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210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</row>
    <row r="875" ht="15.75" customHeight="1">
      <c r="A875" s="207"/>
      <c r="B875" s="207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210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</row>
    <row r="876" ht="15.75" customHeight="1">
      <c r="A876" s="207"/>
      <c r="B876" s="207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210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</row>
    <row r="877" ht="15.75" customHeight="1">
      <c r="A877" s="207"/>
      <c r="B877" s="207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210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</row>
    <row r="878" ht="15.75" customHeight="1">
      <c r="A878" s="207"/>
      <c r="B878" s="207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210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</row>
    <row r="879" ht="15.75" customHeight="1">
      <c r="A879" s="207"/>
      <c r="B879" s="207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210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</row>
    <row r="880" ht="15.75" customHeight="1">
      <c r="A880" s="207"/>
      <c r="B880" s="207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210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</row>
    <row r="881" ht="15.75" customHeight="1">
      <c r="A881" s="207"/>
      <c r="B881" s="207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210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</row>
    <row r="882" ht="15.75" customHeight="1">
      <c r="A882" s="207"/>
      <c r="B882" s="207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210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</row>
    <row r="883" ht="15.75" customHeight="1">
      <c r="A883" s="207"/>
      <c r="B883" s="207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210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</row>
    <row r="884" ht="15.75" customHeight="1">
      <c r="A884" s="207"/>
      <c r="B884" s="207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210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</row>
    <row r="885" ht="15.75" customHeight="1">
      <c r="A885" s="207"/>
      <c r="B885" s="207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210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</row>
    <row r="886" ht="15.75" customHeight="1">
      <c r="A886" s="207"/>
      <c r="B886" s="207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210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</row>
    <row r="887" ht="15.75" customHeight="1">
      <c r="A887" s="207"/>
      <c r="B887" s="207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210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</row>
    <row r="888" ht="15.75" customHeight="1">
      <c r="A888" s="207"/>
      <c r="B888" s="207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210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</row>
    <row r="889" ht="15.75" customHeight="1">
      <c r="A889" s="207"/>
      <c r="B889" s="207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210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</row>
    <row r="890" ht="15.75" customHeight="1">
      <c r="A890" s="207"/>
      <c r="B890" s="207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210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</row>
    <row r="891" ht="15.75" customHeight="1">
      <c r="A891" s="207"/>
      <c r="B891" s="207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210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</row>
    <row r="892" ht="15.75" customHeight="1">
      <c r="A892" s="207"/>
      <c r="B892" s="207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210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</row>
    <row r="893" ht="15.75" customHeight="1">
      <c r="A893" s="207"/>
      <c r="B893" s="207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210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</row>
    <row r="894" ht="15.75" customHeight="1">
      <c r="A894" s="207"/>
      <c r="B894" s="207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210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</row>
    <row r="895" ht="15.75" customHeight="1">
      <c r="A895" s="207"/>
      <c r="B895" s="207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210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</row>
    <row r="896" ht="15.75" customHeight="1">
      <c r="A896" s="207"/>
      <c r="B896" s="207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210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</row>
    <row r="897" ht="15.75" customHeight="1">
      <c r="A897" s="207"/>
      <c r="B897" s="207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210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</row>
    <row r="898" ht="15.75" customHeight="1">
      <c r="A898" s="207"/>
      <c r="B898" s="207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210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</row>
    <row r="899" ht="15.75" customHeight="1">
      <c r="A899" s="207"/>
      <c r="B899" s="207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210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</row>
    <row r="900" ht="15.75" customHeight="1">
      <c r="A900" s="207"/>
      <c r="B900" s="207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210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</row>
    <row r="901" ht="15.75" customHeight="1">
      <c r="A901" s="207"/>
      <c r="B901" s="207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210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</row>
    <row r="902" ht="15.75" customHeight="1">
      <c r="A902" s="207"/>
      <c r="B902" s="207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210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</row>
    <row r="903" ht="15.75" customHeight="1">
      <c r="A903" s="207"/>
      <c r="B903" s="207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210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</row>
    <row r="904" ht="15.75" customHeight="1">
      <c r="A904" s="207"/>
      <c r="B904" s="207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210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</row>
    <row r="905" ht="15.75" customHeight="1">
      <c r="A905" s="207"/>
      <c r="B905" s="207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210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</row>
    <row r="906" ht="15.75" customHeight="1">
      <c r="A906" s="207"/>
      <c r="B906" s="207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210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</row>
    <row r="907" ht="15.75" customHeight="1">
      <c r="A907" s="207"/>
      <c r="B907" s="207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210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</row>
    <row r="908" ht="15.75" customHeight="1">
      <c r="A908" s="207"/>
      <c r="B908" s="207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210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</row>
    <row r="909" ht="15.75" customHeight="1">
      <c r="A909" s="207"/>
      <c r="B909" s="207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210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</row>
    <row r="910" ht="15.75" customHeight="1">
      <c r="A910" s="207"/>
      <c r="B910" s="207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210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</row>
    <row r="911" ht="15.75" customHeight="1">
      <c r="A911" s="207"/>
      <c r="B911" s="207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210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</row>
    <row r="912" ht="15.75" customHeight="1">
      <c r="A912" s="207"/>
      <c r="B912" s="207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210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</row>
    <row r="913" ht="15.75" customHeight="1">
      <c r="A913" s="207"/>
      <c r="B913" s="207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210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</row>
    <row r="914" ht="15.75" customHeight="1">
      <c r="A914" s="207"/>
      <c r="B914" s="207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210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</row>
    <row r="915" ht="15.75" customHeight="1">
      <c r="A915" s="207"/>
      <c r="B915" s="207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210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</row>
    <row r="916" ht="15.75" customHeight="1">
      <c r="A916" s="207"/>
      <c r="B916" s="207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210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</row>
    <row r="917" ht="15.75" customHeight="1">
      <c r="A917" s="207"/>
      <c r="B917" s="207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210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</row>
    <row r="918" ht="15.75" customHeight="1">
      <c r="A918" s="207"/>
      <c r="B918" s="207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210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</row>
    <row r="919" ht="15.75" customHeight="1">
      <c r="A919" s="207"/>
      <c r="B919" s="207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210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</row>
    <row r="920" ht="15.75" customHeight="1">
      <c r="A920" s="207"/>
      <c r="B920" s="207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210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</row>
    <row r="921" ht="15.75" customHeight="1">
      <c r="A921" s="207"/>
      <c r="B921" s="207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210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</row>
    <row r="922" ht="15.75" customHeight="1">
      <c r="A922" s="207"/>
      <c r="B922" s="207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210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</row>
    <row r="923" ht="15.75" customHeight="1">
      <c r="A923" s="207"/>
      <c r="B923" s="207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210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</row>
    <row r="924" ht="15.75" customHeight="1">
      <c r="A924" s="207"/>
      <c r="B924" s="207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210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</row>
    <row r="925" ht="15.75" customHeight="1">
      <c r="A925" s="207"/>
      <c r="B925" s="207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210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</row>
    <row r="926" ht="15.75" customHeight="1">
      <c r="A926" s="207"/>
      <c r="B926" s="207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210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</row>
    <row r="927" ht="15.75" customHeight="1">
      <c r="A927" s="207"/>
      <c r="B927" s="207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210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</row>
    <row r="928" ht="15.75" customHeight="1">
      <c r="A928" s="207"/>
      <c r="B928" s="207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210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</row>
    <row r="929" ht="15.75" customHeight="1">
      <c r="A929" s="207"/>
      <c r="B929" s="207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210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</row>
    <row r="930" ht="15.75" customHeight="1">
      <c r="A930" s="207"/>
      <c r="B930" s="207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210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</row>
    <row r="931" ht="15.75" customHeight="1">
      <c r="A931" s="207"/>
      <c r="B931" s="207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210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</row>
    <row r="932" ht="15.75" customHeight="1">
      <c r="A932" s="207"/>
      <c r="B932" s="207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210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</row>
    <row r="933" ht="15.75" customHeight="1">
      <c r="A933" s="207"/>
      <c r="B933" s="207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210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</row>
    <row r="934" ht="15.75" customHeight="1">
      <c r="A934" s="207"/>
      <c r="B934" s="207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210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</row>
    <row r="935" ht="15.75" customHeight="1">
      <c r="A935" s="207"/>
      <c r="B935" s="207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210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</row>
    <row r="936" ht="15.75" customHeight="1">
      <c r="A936" s="207"/>
      <c r="B936" s="207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210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</row>
    <row r="937" ht="15.75" customHeight="1">
      <c r="A937" s="207"/>
      <c r="B937" s="207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210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</row>
    <row r="938" ht="15.75" customHeight="1">
      <c r="A938" s="207"/>
      <c r="B938" s="207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210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</row>
    <row r="939" ht="15.75" customHeight="1">
      <c r="A939" s="207"/>
      <c r="B939" s="207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210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</row>
    <row r="940" ht="15.75" customHeight="1">
      <c r="A940" s="207"/>
      <c r="B940" s="207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210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</row>
    <row r="941" ht="15.75" customHeight="1">
      <c r="A941" s="207"/>
      <c r="B941" s="207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210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</row>
    <row r="942" ht="15.75" customHeight="1">
      <c r="A942" s="207"/>
      <c r="B942" s="207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210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</row>
    <row r="943" ht="15.75" customHeight="1">
      <c r="A943" s="207"/>
      <c r="B943" s="207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210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</row>
    <row r="944" ht="15.75" customHeight="1">
      <c r="A944" s="207"/>
      <c r="B944" s="207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210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</row>
    <row r="945" ht="15.75" customHeight="1">
      <c r="A945" s="207"/>
      <c r="B945" s="207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210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</row>
    <row r="946" ht="15.75" customHeight="1">
      <c r="A946" s="207"/>
      <c r="B946" s="207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210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</row>
    <row r="947" ht="15.75" customHeight="1">
      <c r="A947" s="207"/>
      <c r="B947" s="207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210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</row>
    <row r="948" ht="15.75" customHeight="1">
      <c r="A948" s="207"/>
      <c r="B948" s="207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210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</row>
    <row r="949" ht="15.75" customHeight="1">
      <c r="A949" s="207"/>
      <c r="B949" s="207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210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</row>
    <row r="950" ht="15.75" customHeight="1">
      <c r="A950" s="207"/>
      <c r="B950" s="207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210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</row>
    <row r="951" ht="15.75" customHeight="1">
      <c r="A951" s="207"/>
      <c r="B951" s="207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210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</row>
    <row r="952" ht="15.75" customHeight="1">
      <c r="A952" s="207"/>
      <c r="B952" s="207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210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</row>
    <row r="953" ht="15.75" customHeight="1">
      <c r="A953" s="207"/>
      <c r="B953" s="207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210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</row>
    <row r="954" ht="15.75" customHeight="1">
      <c r="A954" s="207"/>
      <c r="B954" s="207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210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</row>
    <row r="955" ht="15.75" customHeight="1">
      <c r="A955" s="207"/>
      <c r="B955" s="207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210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</row>
    <row r="956" ht="15.75" customHeight="1">
      <c r="A956" s="207"/>
      <c r="B956" s="207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210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</row>
    <row r="957" ht="15.75" customHeight="1">
      <c r="A957" s="207"/>
      <c r="B957" s="207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210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</row>
    <row r="958" ht="15.75" customHeight="1">
      <c r="A958" s="207"/>
      <c r="B958" s="207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210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</row>
    <row r="959" ht="15.75" customHeight="1">
      <c r="A959" s="207"/>
      <c r="B959" s="207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210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</row>
    <row r="960" ht="15.75" customHeight="1">
      <c r="A960" s="207"/>
      <c r="B960" s="207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210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</row>
    <row r="961" ht="15.75" customHeight="1">
      <c r="A961" s="207"/>
      <c r="B961" s="207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210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</row>
    <row r="962" ht="15.75" customHeight="1">
      <c r="A962" s="207"/>
      <c r="B962" s="207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210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</row>
    <row r="963" ht="15.75" customHeight="1">
      <c r="A963" s="207"/>
      <c r="B963" s="207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210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</row>
    <row r="964" ht="15.75" customHeight="1">
      <c r="A964" s="207"/>
      <c r="B964" s="207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210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</row>
    <row r="965" ht="15.75" customHeight="1">
      <c r="A965" s="207"/>
      <c r="B965" s="207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210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</row>
    <row r="966" ht="15.75" customHeight="1">
      <c r="A966" s="207"/>
      <c r="B966" s="207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210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</row>
    <row r="967" ht="15.75" customHeight="1">
      <c r="A967" s="207"/>
      <c r="B967" s="207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210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</row>
    <row r="968" ht="15.75" customHeight="1">
      <c r="A968" s="207"/>
      <c r="B968" s="207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210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</row>
    <row r="969" ht="15.75" customHeight="1">
      <c r="A969" s="207"/>
      <c r="B969" s="207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210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</row>
    <row r="970" ht="15.75" customHeight="1">
      <c r="A970" s="207"/>
      <c r="B970" s="207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210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</row>
    <row r="971" ht="15.75" customHeight="1">
      <c r="A971" s="207"/>
      <c r="B971" s="207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210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</row>
    <row r="972" ht="15.75" customHeight="1">
      <c r="A972" s="207"/>
      <c r="B972" s="207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210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</row>
    <row r="973" ht="15.75" customHeight="1">
      <c r="A973" s="207"/>
      <c r="B973" s="207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210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</row>
    <row r="974" ht="15.75" customHeight="1">
      <c r="A974" s="207"/>
      <c r="B974" s="207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210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</row>
    <row r="975" ht="15.75" customHeight="1">
      <c r="A975" s="207"/>
      <c r="B975" s="207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210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</row>
    <row r="976" ht="15.75" customHeight="1">
      <c r="A976" s="207"/>
      <c r="B976" s="207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210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</row>
    <row r="977" ht="15.75" customHeight="1">
      <c r="A977" s="207"/>
      <c r="B977" s="207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210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</row>
    <row r="978" ht="15.75" customHeight="1">
      <c r="A978" s="207"/>
      <c r="B978" s="207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210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</row>
    <row r="979" ht="15.75" customHeight="1">
      <c r="A979" s="207"/>
      <c r="B979" s="207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210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</row>
    <row r="980" ht="15.75" customHeight="1">
      <c r="A980" s="207"/>
      <c r="B980" s="207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210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</row>
    <row r="981" ht="15.75" customHeight="1">
      <c r="A981" s="207"/>
      <c r="B981" s="207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210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</row>
    <row r="982" ht="15.75" customHeight="1">
      <c r="A982" s="207"/>
      <c r="B982" s="207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210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</row>
    <row r="983" ht="15.75" customHeight="1">
      <c r="A983" s="207"/>
      <c r="B983" s="207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210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</row>
    <row r="984" ht="15.75" customHeight="1">
      <c r="A984" s="207"/>
      <c r="B984" s="207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210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</row>
    <row r="985" ht="15.75" customHeight="1">
      <c r="A985" s="207"/>
      <c r="B985" s="207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210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</row>
    <row r="986" ht="15.75" customHeight="1">
      <c r="A986" s="207"/>
      <c r="B986" s="207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210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</row>
    <row r="987" ht="15.75" customHeight="1">
      <c r="A987" s="207"/>
      <c r="B987" s="207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210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</row>
    <row r="988" ht="15.75" customHeight="1">
      <c r="A988" s="207"/>
      <c r="B988" s="207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210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</row>
    <row r="989" ht="15.75" customHeight="1">
      <c r="A989" s="207"/>
      <c r="B989" s="207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210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</row>
    <row r="990" ht="15.75" customHeight="1">
      <c r="A990" s="207"/>
      <c r="B990" s="207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210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</row>
    <row r="991" ht="15.75" customHeight="1">
      <c r="A991" s="207"/>
      <c r="B991" s="207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210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</row>
    <row r="992" ht="15.75" customHeight="1">
      <c r="A992" s="207"/>
      <c r="B992" s="207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210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</row>
    <row r="993" ht="15.75" customHeight="1">
      <c r="A993" s="207"/>
      <c r="B993" s="207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210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</row>
    <row r="994" ht="15.75" customHeight="1">
      <c r="A994" s="207"/>
      <c r="B994" s="207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210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</row>
    <row r="995" ht="15.75" customHeight="1">
      <c r="A995" s="207"/>
      <c r="B995" s="207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210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</row>
    <row r="996" ht="15.75" customHeight="1">
      <c r="A996" s="207"/>
      <c r="B996" s="207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210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</row>
    <row r="997" ht="15.75" customHeight="1">
      <c r="A997" s="207"/>
      <c r="B997" s="207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210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</row>
    <row r="998" ht="15.75" customHeight="1">
      <c r="A998" s="207"/>
      <c r="B998" s="207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210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</row>
    <row r="999" ht="15.75" customHeight="1">
      <c r="A999" s="207"/>
      <c r="B999" s="207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210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</row>
    <row r="1000" ht="15.75" customHeight="1">
      <c r="A1000" s="207"/>
      <c r="B1000" s="207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210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3.86"/>
    <col customWidth="1" min="2" max="2" width="6.29"/>
    <col customWidth="1" min="3" max="3" width="13.0"/>
    <col customWidth="1" min="4" max="5" width="18.57"/>
    <col customWidth="1" min="6" max="6" width="12.29"/>
    <col customWidth="1" min="7" max="10" width="8.71"/>
    <col customWidth="1" min="11" max="12" width="9.29"/>
    <col customWidth="1" min="13" max="13" width="12.29"/>
    <col customWidth="1" min="14" max="14" width="27.0"/>
    <col customWidth="1" min="15" max="15" width="7.14"/>
    <col customWidth="1" min="16" max="16" width="7.29"/>
    <col customWidth="1" min="17" max="17" width="8.86"/>
    <col customWidth="1" min="18" max="28" width="8.71"/>
  </cols>
  <sheetData>
    <row r="1" ht="30.0" customHeight="1">
      <c r="A1" s="152" t="s">
        <v>0</v>
      </c>
      <c r="B1" s="152" t="s">
        <v>1</v>
      </c>
      <c r="C1" s="153" t="s">
        <v>2</v>
      </c>
      <c r="D1" s="153" t="s">
        <v>3</v>
      </c>
      <c r="E1" s="153" t="s">
        <v>4</v>
      </c>
      <c r="F1" s="153" t="s">
        <v>6</v>
      </c>
      <c r="G1" s="153" t="s">
        <v>7</v>
      </c>
      <c r="H1" s="153" t="s">
        <v>8</v>
      </c>
      <c r="I1" s="153" t="s">
        <v>9</v>
      </c>
      <c r="J1" s="153" t="s">
        <v>10</v>
      </c>
      <c r="K1" s="154" t="s">
        <v>11</v>
      </c>
      <c r="L1" s="154" t="s">
        <v>12</v>
      </c>
      <c r="M1" s="153" t="s">
        <v>13</v>
      </c>
      <c r="N1" s="153" t="s">
        <v>14</v>
      </c>
      <c r="O1" s="153" t="s">
        <v>15</v>
      </c>
      <c r="P1" s="153" t="s">
        <v>16</v>
      </c>
      <c r="Q1" s="153" t="s">
        <v>18</v>
      </c>
      <c r="R1" s="155" t="s">
        <v>19</v>
      </c>
      <c r="S1" s="156" t="s">
        <v>20</v>
      </c>
      <c r="T1" s="156" t="s">
        <v>21</v>
      </c>
      <c r="U1" s="156" t="s">
        <v>22</v>
      </c>
      <c r="V1" s="157" t="s">
        <v>23</v>
      </c>
      <c r="W1" s="157" t="s">
        <v>24</v>
      </c>
      <c r="X1" s="159"/>
      <c r="Y1" s="159"/>
      <c r="Z1" s="159"/>
      <c r="AA1" s="159"/>
      <c r="AB1" s="159"/>
    </row>
    <row r="2" ht="14.25" customHeight="1">
      <c r="A2" s="160">
        <v>1.0</v>
      </c>
      <c r="B2" s="160" t="s">
        <v>25</v>
      </c>
      <c r="C2" s="161" t="s">
        <v>26</v>
      </c>
      <c r="D2" s="164"/>
      <c r="E2" s="164"/>
      <c r="F2" s="161"/>
      <c r="G2" s="161"/>
      <c r="H2" s="161"/>
      <c r="I2" s="161">
        <f t="shared" ref="I2:I61" si="1">max(0,K2-G2)</f>
        <v>0</v>
      </c>
      <c r="J2" s="165"/>
      <c r="K2" s="165"/>
      <c r="L2" s="161">
        <f t="shared" ref="L2:L61" si="2">J2+H2</f>
        <v>0</v>
      </c>
      <c r="M2" s="161">
        <f t="shared" ref="M2:M61" si="3">G2+H2+I2+J2</f>
        <v>0</v>
      </c>
      <c r="N2" s="167"/>
      <c r="O2" s="161">
        <v>16.904</v>
      </c>
      <c r="P2" s="161">
        <v>12.699</v>
      </c>
      <c r="Q2" s="161">
        <f t="shared" ref="Q2:Q61" si="4">(D2*O2)+(E2*P2)</f>
        <v>0</v>
      </c>
      <c r="R2" s="168"/>
      <c r="S2" s="168"/>
      <c r="T2" s="222"/>
      <c r="U2" s="222"/>
      <c r="V2" s="170">
        <f t="shared" ref="V2:V61" si="5">S2-R2</f>
        <v>0</v>
      </c>
      <c r="W2" s="170">
        <f t="shared" ref="W2:W61" si="6">U2-T2</f>
        <v>0</v>
      </c>
      <c r="X2" s="42"/>
      <c r="Y2" s="42"/>
      <c r="Z2" s="42"/>
      <c r="AA2" s="42"/>
      <c r="AB2" s="42"/>
    </row>
    <row r="3" ht="14.25" customHeight="1">
      <c r="A3" s="160">
        <v>2.0</v>
      </c>
      <c r="B3" s="160" t="s">
        <v>25</v>
      </c>
      <c r="C3" s="161" t="s">
        <v>27</v>
      </c>
      <c r="D3" s="164"/>
      <c r="E3" s="164"/>
      <c r="F3" s="161"/>
      <c r="G3" s="161"/>
      <c r="H3" s="161"/>
      <c r="I3" s="161">
        <f t="shared" si="1"/>
        <v>0</v>
      </c>
      <c r="J3" s="165"/>
      <c r="K3" s="165"/>
      <c r="L3" s="161">
        <f t="shared" si="2"/>
        <v>0</v>
      </c>
      <c r="M3" s="161">
        <f t="shared" si="3"/>
        <v>0</v>
      </c>
      <c r="N3" s="167"/>
      <c r="O3" s="161">
        <v>16.904</v>
      </c>
      <c r="P3" s="161">
        <v>12.699</v>
      </c>
      <c r="Q3" s="161">
        <f t="shared" si="4"/>
        <v>0</v>
      </c>
      <c r="R3" s="168"/>
      <c r="S3" s="168"/>
      <c r="T3" s="222"/>
      <c r="U3" s="222"/>
      <c r="V3" s="170">
        <f t="shared" si="5"/>
        <v>0</v>
      </c>
      <c r="W3" s="170">
        <f t="shared" si="6"/>
        <v>0</v>
      </c>
      <c r="X3" s="42"/>
      <c r="Y3" s="42"/>
      <c r="Z3" s="42"/>
      <c r="AA3" s="42"/>
      <c r="AB3" s="42"/>
    </row>
    <row r="4" ht="14.25" customHeight="1">
      <c r="A4" s="160">
        <v>3.0</v>
      </c>
      <c r="B4" s="160" t="s">
        <v>25</v>
      </c>
      <c r="C4" s="161" t="s">
        <v>28</v>
      </c>
      <c r="D4" s="164"/>
      <c r="E4" s="164"/>
      <c r="F4" s="161"/>
      <c r="G4" s="161"/>
      <c r="H4" s="161"/>
      <c r="I4" s="161">
        <f t="shared" si="1"/>
        <v>0</v>
      </c>
      <c r="J4" s="165"/>
      <c r="K4" s="165"/>
      <c r="L4" s="161">
        <f t="shared" si="2"/>
        <v>0</v>
      </c>
      <c r="M4" s="161">
        <f t="shared" si="3"/>
        <v>0</v>
      </c>
      <c r="N4" s="167"/>
      <c r="O4" s="161">
        <v>16.904</v>
      </c>
      <c r="P4" s="161">
        <v>12.699</v>
      </c>
      <c r="Q4" s="161">
        <f t="shared" si="4"/>
        <v>0</v>
      </c>
      <c r="R4" s="168"/>
      <c r="S4" s="168"/>
      <c r="T4" s="223"/>
      <c r="U4" s="222"/>
      <c r="V4" s="170">
        <f t="shared" si="5"/>
        <v>0</v>
      </c>
      <c r="W4" s="170">
        <f t="shared" si="6"/>
        <v>0</v>
      </c>
      <c r="X4" s="42"/>
      <c r="Y4" s="42"/>
      <c r="Z4" s="42"/>
      <c r="AA4" s="42"/>
      <c r="AB4" s="42"/>
    </row>
    <row r="5" ht="14.25" customHeight="1">
      <c r="A5" s="160">
        <v>4.0</v>
      </c>
      <c r="B5" s="160" t="s">
        <v>25</v>
      </c>
      <c r="C5" s="161" t="s">
        <v>29</v>
      </c>
      <c r="D5" s="164"/>
      <c r="E5" s="164"/>
      <c r="F5" s="161"/>
      <c r="G5" s="161"/>
      <c r="H5" s="161"/>
      <c r="I5" s="161">
        <f t="shared" si="1"/>
        <v>0</v>
      </c>
      <c r="J5" s="165"/>
      <c r="K5" s="165"/>
      <c r="L5" s="161">
        <f t="shared" si="2"/>
        <v>0</v>
      </c>
      <c r="M5" s="161">
        <f t="shared" si="3"/>
        <v>0</v>
      </c>
      <c r="N5" s="258"/>
      <c r="O5" s="161">
        <v>16.904</v>
      </c>
      <c r="P5" s="161">
        <v>12.699</v>
      </c>
      <c r="Q5" s="161">
        <f t="shared" si="4"/>
        <v>0</v>
      </c>
      <c r="R5" s="223"/>
      <c r="S5" s="223"/>
      <c r="T5" s="223"/>
      <c r="U5" s="222"/>
      <c r="V5" s="170">
        <f t="shared" si="5"/>
        <v>0</v>
      </c>
      <c r="W5" s="170">
        <f t="shared" si="6"/>
        <v>0</v>
      </c>
      <c r="X5" s="42"/>
      <c r="Y5" s="42"/>
      <c r="Z5" s="42"/>
      <c r="AA5" s="42"/>
      <c r="AB5" s="42"/>
    </row>
    <row r="6" ht="14.25" customHeight="1">
      <c r="A6" s="160">
        <v>5.0</v>
      </c>
      <c r="B6" s="160" t="s">
        <v>25</v>
      </c>
      <c r="C6" s="161" t="s">
        <v>30</v>
      </c>
      <c r="D6" s="164"/>
      <c r="E6" s="164"/>
      <c r="F6" s="161"/>
      <c r="G6" s="161"/>
      <c r="H6" s="161"/>
      <c r="I6" s="161">
        <f t="shared" si="1"/>
        <v>0</v>
      </c>
      <c r="J6" s="165"/>
      <c r="K6" s="165"/>
      <c r="L6" s="161">
        <f t="shared" si="2"/>
        <v>0</v>
      </c>
      <c r="M6" s="161">
        <f t="shared" si="3"/>
        <v>0</v>
      </c>
      <c r="N6" s="167"/>
      <c r="O6" s="161">
        <v>16.904</v>
      </c>
      <c r="P6" s="161">
        <v>12.699</v>
      </c>
      <c r="Q6" s="161">
        <f t="shared" si="4"/>
        <v>0</v>
      </c>
      <c r="R6" s="168"/>
      <c r="S6" s="168"/>
      <c r="T6" s="223"/>
      <c r="U6" s="222"/>
      <c r="V6" s="170">
        <f t="shared" si="5"/>
        <v>0</v>
      </c>
      <c r="W6" s="170">
        <f t="shared" si="6"/>
        <v>0</v>
      </c>
      <c r="X6" s="42"/>
      <c r="Y6" s="42"/>
      <c r="Z6" s="42"/>
      <c r="AA6" s="42"/>
      <c r="AB6" s="42"/>
    </row>
    <row r="7" ht="14.25" customHeight="1">
      <c r="A7" s="160">
        <v>6.0</v>
      </c>
      <c r="B7" s="160" t="s">
        <v>25</v>
      </c>
      <c r="C7" s="161" t="s">
        <v>31</v>
      </c>
      <c r="D7" s="164"/>
      <c r="E7" s="164"/>
      <c r="F7" s="161"/>
      <c r="G7" s="161"/>
      <c r="H7" s="161"/>
      <c r="I7" s="161">
        <f t="shared" si="1"/>
        <v>0</v>
      </c>
      <c r="J7" s="165"/>
      <c r="K7" s="165"/>
      <c r="L7" s="161">
        <f t="shared" si="2"/>
        <v>0</v>
      </c>
      <c r="M7" s="161">
        <f t="shared" si="3"/>
        <v>0</v>
      </c>
      <c r="N7" s="167"/>
      <c r="O7" s="161">
        <v>16.904</v>
      </c>
      <c r="P7" s="161">
        <v>12.699</v>
      </c>
      <c r="Q7" s="161">
        <f t="shared" si="4"/>
        <v>0</v>
      </c>
      <c r="R7" s="168"/>
      <c r="S7" s="168"/>
      <c r="T7" s="223"/>
      <c r="U7" s="222"/>
      <c r="V7" s="170">
        <f t="shared" si="5"/>
        <v>0</v>
      </c>
      <c r="W7" s="170">
        <f t="shared" si="6"/>
        <v>0</v>
      </c>
      <c r="X7" s="42"/>
      <c r="Y7" s="42"/>
      <c r="Z7" s="42"/>
      <c r="AA7" s="42"/>
      <c r="AB7" s="42"/>
    </row>
    <row r="8" ht="14.25" customHeight="1">
      <c r="A8" s="160">
        <v>7.0</v>
      </c>
      <c r="B8" s="160" t="s">
        <v>25</v>
      </c>
      <c r="C8" s="161" t="s">
        <v>32</v>
      </c>
      <c r="D8" s="164"/>
      <c r="E8" s="164"/>
      <c r="F8" s="161"/>
      <c r="G8" s="161"/>
      <c r="H8" s="161"/>
      <c r="I8" s="161">
        <f t="shared" si="1"/>
        <v>0</v>
      </c>
      <c r="J8" s="165"/>
      <c r="K8" s="165"/>
      <c r="L8" s="161">
        <f t="shared" si="2"/>
        <v>0</v>
      </c>
      <c r="M8" s="161">
        <f t="shared" si="3"/>
        <v>0</v>
      </c>
      <c r="N8" s="167"/>
      <c r="O8" s="161">
        <v>16.904</v>
      </c>
      <c r="P8" s="161">
        <v>12.699</v>
      </c>
      <c r="Q8" s="161">
        <f t="shared" si="4"/>
        <v>0</v>
      </c>
      <c r="R8" s="168"/>
      <c r="S8" s="168"/>
      <c r="T8" s="223"/>
      <c r="U8" s="222"/>
      <c r="V8" s="170">
        <f t="shared" si="5"/>
        <v>0</v>
      </c>
      <c r="W8" s="170">
        <f t="shared" si="6"/>
        <v>0</v>
      </c>
      <c r="X8" s="42"/>
      <c r="Y8" s="42"/>
      <c r="Z8" s="42"/>
      <c r="AA8" s="42"/>
      <c r="AB8" s="42"/>
    </row>
    <row r="9" ht="14.25" customHeight="1">
      <c r="A9" s="160">
        <v>8.0</v>
      </c>
      <c r="B9" s="160" t="s">
        <v>25</v>
      </c>
      <c r="C9" s="161" t="s">
        <v>33</v>
      </c>
      <c r="D9" s="164"/>
      <c r="E9" s="164"/>
      <c r="F9" s="161"/>
      <c r="G9" s="161"/>
      <c r="H9" s="161"/>
      <c r="I9" s="161">
        <f t="shared" si="1"/>
        <v>0</v>
      </c>
      <c r="J9" s="165"/>
      <c r="K9" s="165"/>
      <c r="L9" s="161">
        <f t="shared" si="2"/>
        <v>0</v>
      </c>
      <c r="M9" s="161">
        <f t="shared" si="3"/>
        <v>0</v>
      </c>
      <c r="N9" s="167"/>
      <c r="O9" s="161">
        <v>16.904</v>
      </c>
      <c r="P9" s="161">
        <v>12.699</v>
      </c>
      <c r="Q9" s="161">
        <f t="shared" si="4"/>
        <v>0</v>
      </c>
      <c r="R9" s="168"/>
      <c r="S9" s="168"/>
      <c r="T9" s="223"/>
      <c r="U9" s="222"/>
      <c r="V9" s="170">
        <f t="shared" si="5"/>
        <v>0</v>
      </c>
      <c r="W9" s="170">
        <f t="shared" si="6"/>
        <v>0</v>
      </c>
      <c r="X9" s="42"/>
      <c r="Y9" s="42"/>
      <c r="Z9" s="42"/>
      <c r="AA9" s="42"/>
      <c r="AB9" s="42"/>
    </row>
    <row r="10" ht="14.25" customHeight="1">
      <c r="A10" s="160">
        <v>9.0</v>
      </c>
      <c r="B10" s="160" t="s">
        <v>25</v>
      </c>
      <c r="C10" s="161" t="s">
        <v>34</v>
      </c>
      <c r="D10" s="164"/>
      <c r="E10" s="164"/>
      <c r="F10" s="161"/>
      <c r="G10" s="161"/>
      <c r="H10" s="161"/>
      <c r="I10" s="161">
        <f t="shared" si="1"/>
        <v>0</v>
      </c>
      <c r="J10" s="165"/>
      <c r="K10" s="165"/>
      <c r="L10" s="161">
        <f t="shared" si="2"/>
        <v>0</v>
      </c>
      <c r="M10" s="161">
        <f t="shared" si="3"/>
        <v>0</v>
      </c>
      <c r="N10" s="167"/>
      <c r="O10" s="161">
        <v>16.904</v>
      </c>
      <c r="P10" s="161">
        <v>12.699</v>
      </c>
      <c r="Q10" s="161">
        <f t="shared" si="4"/>
        <v>0</v>
      </c>
      <c r="R10" s="168"/>
      <c r="S10" s="168"/>
      <c r="T10" s="223"/>
      <c r="U10" s="222"/>
      <c r="V10" s="170">
        <f t="shared" si="5"/>
        <v>0</v>
      </c>
      <c r="W10" s="170">
        <f t="shared" si="6"/>
        <v>0</v>
      </c>
      <c r="X10" s="42"/>
      <c r="Y10" s="42"/>
      <c r="Z10" s="42"/>
      <c r="AA10" s="42"/>
      <c r="AB10" s="42"/>
    </row>
    <row r="11" ht="14.25" customHeight="1">
      <c r="A11" s="160">
        <v>10.0</v>
      </c>
      <c r="B11" s="160" t="s">
        <v>25</v>
      </c>
      <c r="C11" s="161" t="s">
        <v>35</v>
      </c>
      <c r="D11" s="164"/>
      <c r="E11" s="164"/>
      <c r="F11" s="161"/>
      <c r="G11" s="161"/>
      <c r="H11" s="161"/>
      <c r="I11" s="161">
        <f t="shared" si="1"/>
        <v>0</v>
      </c>
      <c r="J11" s="165"/>
      <c r="K11" s="165"/>
      <c r="L11" s="161">
        <f t="shared" si="2"/>
        <v>0</v>
      </c>
      <c r="M11" s="161">
        <f t="shared" si="3"/>
        <v>0</v>
      </c>
      <c r="N11" s="167"/>
      <c r="O11" s="161">
        <v>16.904</v>
      </c>
      <c r="P11" s="161">
        <v>12.699</v>
      </c>
      <c r="Q11" s="161">
        <f t="shared" si="4"/>
        <v>0</v>
      </c>
      <c r="R11" s="168"/>
      <c r="S11" s="168"/>
      <c r="T11" s="223"/>
      <c r="U11" s="222"/>
      <c r="V11" s="170">
        <f t="shared" si="5"/>
        <v>0</v>
      </c>
      <c r="W11" s="170">
        <f t="shared" si="6"/>
        <v>0</v>
      </c>
      <c r="X11" s="42"/>
      <c r="Y11" s="42"/>
      <c r="Z11" s="42"/>
      <c r="AA11" s="42"/>
      <c r="AB11" s="42"/>
    </row>
    <row r="12" ht="14.25" customHeight="1">
      <c r="A12" s="160">
        <v>11.0</v>
      </c>
      <c r="B12" s="160" t="s">
        <v>25</v>
      </c>
      <c r="C12" s="161" t="s">
        <v>36</v>
      </c>
      <c r="D12" s="164"/>
      <c r="E12" s="164"/>
      <c r="F12" s="161"/>
      <c r="G12" s="161"/>
      <c r="H12" s="161"/>
      <c r="I12" s="161">
        <f t="shared" si="1"/>
        <v>0</v>
      </c>
      <c r="J12" s="165"/>
      <c r="K12" s="165"/>
      <c r="L12" s="161">
        <f t="shared" si="2"/>
        <v>0</v>
      </c>
      <c r="M12" s="161">
        <f t="shared" si="3"/>
        <v>0</v>
      </c>
      <c r="N12" s="167"/>
      <c r="O12" s="161">
        <v>16.904</v>
      </c>
      <c r="P12" s="161">
        <v>12.699</v>
      </c>
      <c r="Q12" s="161">
        <f t="shared" si="4"/>
        <v>0</v>
      </c>
      <c r="R12" s="168"/>
      <c r="S12" s="168"/>
      <c r="T12" s="223"/>
      <c r="U12" s="222"/>
      <c r="V12" s="170">
        <f t="shared" si="5"/>
        <v>0</v>
      </c>
      <c r="W12" s="170">
        <f t="shared" si="6"/>
        <v>0</v>
      </c>
      <c r="X12" s="42"/>
      <c r="Y12" s="42"/>
      <c r="Z12" s="42"/>
      <c r="AA12" s="42"/>
      <c r="AB12" s="42"/>
    </row>
    <row r="13" ht="14.25" customHeight="1">
      <c r="A13" s="160">
        <v>12.0</v>
      </c>
      <c r="B13" s="160" t="s">
        <v>25</v>
      </c>
      <c r="C13" s="161" t="s">
        <v>37</v>
      </c>
      <c r="D13" s="164"/>
      <c r="E13" s="164"/>
      <c r="F13" s="161"/>
      <c r="G13" s="161"/>
      <c r="H13" s="161"/>
      <c r="I13" s="161">
        <f t="shared" si="1"/>
        <v>0</v>
      </c>
      <c r="J13" s="165"/>
      <c r="K13" s="165"/>
      <c r="L13" s="161">
        <f t="shared" si="2"/>
        <v>0</v>
      </c>
      <c r="M13" s="161">
        <f t="shared" si="3"/>
        <v>0</v>
      </c>
      <c r="N13" s="167"/>
      <c r="O13" s="161">
        <v>16.904</v>
      </c>
      <c r="P13" s="161">
        <v>12.699</v>
      </c>
      <c r="Q13" s="161">
        <f t="shared" si="4"/>
        <v>0</v>
      </c>
      <c r="R13" s="168"/>
      <c r="S13" s="168"/>
      <c r="T13" s="223"/>
      <c r="U13" s="222"/>
      <c r="V13" s="170">
        <f t="shared" si="5"/>
        <v>0</v>
      </c>
      <c r="W13" s="170">
        <f t="shared" si="6"/>
        <v>0</v>
      </c>
      <c r="X13" s="42"/>
      <c r="Y13" s="42"/>
      <c r="Z13" s="42"/>
      <c r="AA13" s="42"/>
      <c r="AB13" s="42"/>
    </row>
    <row r="14" ht="14.25" customHeight="1">
      <c r="A14" s="160">
        <v>13.0</v>
      </c>
      <c r="B14" s="160" t="s">
        <v>25</v>
      </c>
      <c r="C14" s="161" t="s">
        <v>38</v>
      </c>
      <c r="D14" s="164"/>
      <c r="E14" s="164"/>
      <c r="F14" s="161"/>
      <c r="G14" s="161"/>
      <c r="H14" s="161"/>
      <c r="I14" s="161">
        <f t="shared" si="1"/>
        <v>0</v>
      </c>
      <c r="J14" s="165"/>
      <c r="K14" s="165"/>
      <c r="L14" s="161">
        <f t="shared" si="2"/>
        <v>0</v>
      </c>
      <c r="M14" s="161">
        <f t="shared" si="3"/>
        <v>0</v>
      </c>
      <c r="N14" s="167"/>
      <c r="O14" s="161">
        <v>16.904</v>
      </c>
      <c r="P14" s="161">
        <v>12.699</v>
      </c>
      <c r="Q14" s="161">
        <f t="shared" si="4"/>
        <v>0</v>
      </c>
      <c r="R14" s="168"/>
      <c r="S14" s="168"/>
      <c r="T14" s="223"/>
      <c r="U14" s="222"/>
      <c r="V14" s="170">
        <f t="shared" si="5"/>
        <v>0</v>
      </c>
      <c r="W14" s="170">
        <f t="shared" si="6"/>
        <v>0</v>
      </c>
      <c r="X14" s="42"/>
      <c r="Y14" s="42"/>
      <c r="Z14" s="42"/>
      <c r="AA14" s="42"/>
      <c r="AB14" s="42"/>
    </row>
    <row r="15" ht="14.25" customHeight="1">
      <c r="A15" s="160">
        <v>14.0</v>
      </c>
      <c r="B15" s="160" t="s">
        <v>25</v>
      </c>
      <c r="C15" s="161" t="s">
        <v>39</v>
      </c>
      <c r="D15" s="164"/>
      <c r="E15" s="164"/>
      <c r="F15" s="161"/>
      <c r="G15" s="161"/>
      <c r="H15" s="161"/>
      <c r="I15" s="161">
        <f t="shared" si="1"/>
        <v>0</v>
      </c>
      <c r="J15" s="165"/>
      <c r="K15" s="165"/>
      <c r="L15" s="161">
        <f t="shared" si="2"/>
        <v>0</v>
      </c>
      <c r="M15" s="161">
        <f t="shared" si="3"/>
        <v>0</v>
      </c>
      <c r="N15" s="167"/>
      <c r="O15" s="161">
        <v>16.904</v>
      </c>
      <c r="P15" s="161">
        <v>12.699</v>
      </c>
      <c r="Q15" s="161">
        <f t="shared" si="4"/>
        <v>0</v>
      </c>
      <c r="R15" s="168"/>
      <c r="S15" s="168"/>
      <c r="T15" s="223"/>
      <c r="U15" s="222"/>
      <c r="V15" s="170">
        <f t="shared" si="5"/>
        <v>0</v>
      </c>
      <c r="W15" s="170">
        <f t="shared" si="6"/>
        <v>0</v>
      </c>
      <c r="X15" s="42"/>
      <c r="Y15" s="42"/>
      <c r="Z15" s="42"/>
      <c r="AA15" s="42"/>
      <c r="AB15" s="42"/>
    </row>
    <row r="16" ht="14.25" customHeight="1">
      <c r="A16" s="160">
        <v>15.0</v>
      </c>
      <c r="B16" s="160" t="s">
        <v>25</v>
      </c>
      <c r="C16" s="161" t="s">
        <v>40</v>
      </c>
      <c r="D16" s="164"/>
      <c r="E16" s="164"/>
      <c r="F16" s="161"/>
      <c r="G16" s="161"/>
      <c r="H16" s="161"/>
      <c r="I16" s="161">
        <f t="shared" si="1"/>
        <v>0</v>
      </c>
      <c r="J16" s="165"/>
      <c r="K16" s="165"/>
      <c r="L16" s="161">
        <f t="shared" si="2"/>
        <v>0</v>
      </c>
      <c r="M16" s="161">
        <f t="shared" si="3"/>
        <v>0</v>
      </c>
      <c r="N16" s="167"/>
      <c r="O16" s="161">
        <v>16.904</v>
      </c>
      <c r="P16" s="161">
        <v>12.699</v>
      </c>
      <c r="Q16" s="161">
        <f t="shared" si="4"/>
        <v>0</v>
      </c>
      <c r="R16" s="168"/>
      <c r="S16" s="168"/>
      <c r="T16" s="223"/>
      <c r="U16" s="222"/>
      <c r="V16" s="170">
        <f t="shared" si="5"/>
        <v>0</v>
      </c>
      <c r="W16" s="170">
        <f t="shared" si="6"/>
        <v>0</v>
      </c>
      <c r="X16" s="42"/>
      <c r="Y16" s="42"/>
      <c r="Z16" s="42"/>
      <c r="AA16" s="42"/>
      <c r="AB16" s="42"/>
    </row>
    <row r="17" ht="14.25" customHeight="1">
      <c r="A17" s="160">
        <v>16.0</v>
      </c>
      <c r="B17" s="160" t="s">
        <v>25</v>
      </c>
      <c r="C17" s="161" t="s">
        <v>41</v>
      </c>
      <c r="D17" s="164"/>
      <c r="E17" s="164"/>
      <c r="F17" s="161"/>
      <c r="G17" s="161"/>
      <c r="H17" s="161"/>
      <c r="I17" s="161">
        <f t="shared" si="1"/>
        <v>0</v>
      </c>
      <c r="J17" s="165"/>
      <c r="K17" s="165"/>
      <c r="L17" s="161">
        <f t="shared" si="2"/>
        <v>0</v>
      </c>
      <c r="M17" s="161">
        <f t="shared" si="3"/>
        <v>0</v>
      </c>
      <c r="N17" s="167"/>
      <c r="O17" s="161">
        <v>16.904</v>
      </c>
      <c r="P17" s="161">
        <v>12.699</v>
      </c>
      <c r="Q17" s="161">
        <f t="shared" si="4"/>
        <v>0</v>
      </c>
      <c r="R17" s="168"/>
      <c r="S17" s="168"/>
      <c r="T17" s="223"/>
      <c r="U17" s="222"/>
      <c r="V17" s="170">
        <f t="shared" si="5"/>
        <v>0</v>
      </c>
      <c r="W17" s="170">
        <f t="shared" si="6"/>
        <v>0</v>
      </c>
      <c r="X17" s="42"/>
      <c r="Y17" s="42"/>
      <c r="Z17" s="42"/>
      <c r="AA17" s="42"/>
      <c r="AB17" s="42"/>
    </row>
    <row r="18" ht="14.25" customHeight="1">
      <c r="A18" s="160">
        <v>17.0</v>
      </c>
      <c r="B18" s="160" t="s">
        <v>25</v>
      </c>
      <c r="C18" s="161" t="s">
        <v>42</v>
      </c>
      <c r="D18" s="164"/>
      <c r="E18" s="164"/>
      <c r="F18" s="161"/>
      <c r="G18" s="161"/>
      <c r="H18" s="161"/>
      <c r="I18" s="161">
        <f t="shared" si="1"/>
        <v>0</v>
      </c>
      <c r="J18" s="165"/>
      <c r="K18" s="165"/>
      <c r="L18" s="161">
        <f t="shared" si="2"/>
        <v>0</v>
      </c>
      <c r="M18" s="161">
        <f t="shared" si="3"/>
        <v>0</v>
      </c>
      <c r="N18" s="167"/>
      <c r="O18" s="161">
        <v>16.904</v>
      </c>
      <c r="P18" s="161">
        <v>12.699</v>
      </c>
      <c r="Q18" s="161">
        <f t="shared" si="4"/>
        <v>0</v>
      </c>
      <c r="R18" s="168"/>
      <c r="S18" s="168"/>
      <c r="T18" s="223"/>
      <c r="U18" s="222"/>
      <c r="V18" s="170">
        <f t="shared" si="5"/>
        <v>0</v>
      </c>
      <c r="W18" s="170">
        <f t="shared" si="6"/>
        <v>0</v>
      </c>
      <c r="X18" s="42"/>
      <c r="Y18" s="42"/>
      <c r="Z18" s="42"/>
      <c r="AA18" s="42"/>
      <c r="AB18" s="42"/>
    </row>
    <row r="19" ht="14.25" customHeight="1">
      <c r="A19" s="160">
        <v>18.0</v>
      </c>
      <c r="B19" s="160" t="s">
        <v>25</v>
      </c>
      <c r="C19" s="161" t="s">
        <v>43</v>
      </c>
      <c r="D19" s="164"/>
      <c r="E19" s="164"/>
      <c r="F19" s="161"/>
      <c r="G19" s="161"/>
      <c r="H19" s="161"/>
      <c r="I19" s="161">
        <f t="shared" si="1"/>
        <v>0</v>
      </c>
      <c r="J19" s="165"/>
      <c r="K19" s="165"/>
      <c r="L19" s="161">
        <f t="shared" si="2"/>
        <v>0</v>
      </c>
      <c r="M19" s="161">
        <f t="shared" si="3"/>
        <v>0</v>
      </c>
      <c r="N19" s="167"/>
      <c r="O19" s="161">
        <v>16.904</v>
      </c>
      <c r="P19" s="161">
        <v>12.699</v>
      </c>
      <c r="Q19" s="161">
        <f t="shared" si="4"/>
        <v>0</v>
      </c>
      <c r="R19" s="168"/>
      <c r="S19" s="168"/>
      <c r="T19" s="223"/>
      <c r="U19" s="222"/>
      <c r="V19" s="170">
        <f t="shared" si="5"/>
        <v>0</v>
      </c>
      <c r="W19" s="170">
        <f t="shared" si="6"/>
        <v>0</v>
      </c>
      <c r="X19" s="42"/>
      <c r="Y19" s="42"/>
      <c r="Z19" s="42"/>
      <c r="AA19" s="42"/>
      <c r="AB19" s="42"/>
    </row>
    <row r="20" ht="14.25" customHeight="1">
      <c r="A20" s="160">
        <v>19.0</v>
      </c>
      <c r="B20" s="160" t="s">
        <v>25</v>
      </c>
      <c r="C20" s="161" t="s">
        <v>44</v>
      </c>
      <c r="D20" s="164"/>
      <c r="E20" s="164"/>
      <c r="F20" s="161"/>
      <c r="G20" s="161"/>
      <c r="H20" s="161"/>
      <c r="I20" s="161">
        <f t="shared" si="1"/>
        <v>0</v>
      </c>
      <c r="J20" s="165"/>
      <c r="K20" s="165"/>
      <c r="L20" s="161">
        <f t="shared" si="2"/>
        <v>0</v>
      </c>
      <c r="M20" s="161">
        <f t="shared" si="3"/>
        <v>0</v>
      </c>
      <c r="N20" s="167"/>
      <c r="O20" s="161">
        <v>16.904</v>
      </c>
      <c r="P20" s="161">
        <v>12.699</v>
      </c>
      <c r="Q20" s="161">
        <f t="shared" si="4"/>
        <v>0</v>
      </c>
      <c r="R20" s="168"/>
      <c r="S20" s="168"/>
      <c r="T20" s="223"/>
      <c r="U20" s="222"/>
      <c r="V20" s="170">
        <f t="shared" si="5"/>
        <v>0</v>
      </c>
      <c r="W20" s="170">
        <f t="shared" si="6"/>
        <v>0</v>
      </c>
      <c r="X20" s="42"/>
      <c r="Y20" s="42"/>
      <c r="Z20" s="42"/>
      <c r="AA20" s="42"/>
      <c r="AB20" s="42"/>
    </row>
    <row r="21" ht="14.25" customHeight="1">
      <c r="A21" s="160">
        <v>20.0</v>
      </c>
      <c r="B21" s="160" t="s">
        <v>25</v>
      </c>
      <c r="C21" s="161" t="s">
        <v>45</v>
      </c>
      <c r="D21" s="164"/>
      <c r="E21" s="164"/>
      <c r="F21" s="161"/>
      <c r="G21" s="161"/>
      <c r="H21" s="161"/>
      <c r="I21" s="161">
        <f t="shared" si="1"/>
        <v>0</v>
      </c>
      <c r="J21" s="165"/>
      <c r="K21" s="165"/>
      <c r="L21" s="161">
        <f t="shared" si="2"/>
        <v>0</v>
      </c>
      <c r="M21" s="161">
        <f t="shared" si="3"/>
        <v>0</v>
      </c>
      <c r="N21" s="167"/>
      <c r="O21" s="161">
        <v>16.904</v>
      </c>
      <c r="P21" s="161">
        <v>12.699</v>
      </c>
      <c r="Q21" s="161">
        <f t="shared" si="4"/>
        <v>0</v>
      </c>
      <c r="R21" s="168"/>
      <c r="S21" s="168"/>
      <c r="T21" s="223"/>
      <c r="U21" s="222"/>
      <c r="V21" s="170">
        <f t="shared" si="5"/>
        <v>0</v>
      </c>
      <c r="W21" s="170">
        <f t="shared" si="6"/>
        <v>0</v>
      </c>
      <c r="X21" s="42"/>
      <c r="Y21" s="42"/>
      <c r="Z21" s="42"/>
      <c r="AA21" s="42"/>
      <c r="AB21" s="42"/>
    </row>
    <row r="22" ht="14.25" customHeight="1">
      <c r="A22" s="160">
        <v>21.0</v>
      </c>
      <c r="B22" s="160" t="s">
        <v>25</v>
      </c>
      <c r="C22" s="161" t="s">
        <v>46</v>
      </c>
      <c r="D22" s="164"/>
      <c r="E22" s="164"/>
      <c r="F22" s="161"/>
      <c r="G22" s="161"/>
      <c r="H22" s="161"/>
      <c r="I22" s="161">
        <f t="shared" si="1"/>
        <v>0</v>
      </c>
      <c r="J22" s="165"/>
      <c r="K22" s="165"/>
      <c r="L22" s="161">
        <f t="shared" si="2"/>
        <v>0</v>
      </c>
      <c r="M22" s="161">
        <f t="shared" si="3"/>
        <v>0</v>
      </c>
      <c r="N22" s="167"/>
      <c r="O22" s="161">
        <v>16.904</v>
      </c>
      <c r="P22" s="161">
        <v>12.699</v>
      </c>
      <c r="Q22" s="161">
        <f t="shared" si="4"/>
        <v>0</v>
      </c>
      <c r="R22" s="168"/>
      <c r="S22" s="168"/>
      <c r="T22" s="223"/>
      <c r="U22" s="222"/>
      <c r="V22" s="170">
        <f t="shared" si="5"/>
        <v>0</v>
      </c>
      <c r="W22" s="170">
        <f t="shared" si="6"/>
        <v>0</v>
      </c>
      <c r="X22" s="42"/>
      <c r="Y22" s="42"/>
      <c r="Z22" s="42"/>
      <c r="AA22" s="42"/>
      <c r="AB22" s="42"/>
    </row>
    <row r="23" ht="14.25" customHeight="1">
      <c r="A23" s="160">
        <v>22.0</v>
      </c>
      <c r="B23" s="160" t="s">
        <v>25</v>
      </c>
      <c r="C23" s="161" t="s">
        <v>47</v>
      </c>
      <c r="D23" s="164"/>
      <c r="E23" s="164"/>
      <c r="F23" s="161"/>
      <c r="G23" s="161"/>
      <c r="H23" s="161"/>
      <c r="I23" s="161">
        <f t="shared" si="1"/>
        <v>0</v>
      </c>
      <c r="J23" s="165"/>
      <c r="K23" s="165"/>
      <c r="L23" s="161">
        <f t="shared" si="2"/>
        <v>0</v>
      </c>
      <c r="M23" s="161">
        <f t="shared" si="3"/>
        <v>0</v>
      </c>
      <c r="N23" s="167"/>
      <c r="O23" s="161">
        <v>16.904</v>
      </c>
      <c r="P23" s="161">
        <v>12.699</v>
      </c>
      <c r="Q23" s="161">
        <f t="shared" si="4"/>
        <v>0</v>
      </c>
      <c r="R23" s="168"/>
      <c r="S23" s="168"/>
      <c r="T23" s="223"/>
      <c r="U23" s="222"/>
      <c r="V23" s="170">
        <f t="shared" si="5"/>
        <v>0</v>
      </c>
      <c r="W23" s="170">
        <f t="shared" si="6"/>
        <v>0</v>
      </c>
      <c r="X23" s="42"/>
      <c r="Y23" s="42"/>
      <c r="Z23" s="42"/>
      <c r="AA23" s="42"/>
      <c r="AB23" s="42"/>
    </row>
    <row r="24" ht="14.25" customHeight="1">
      <c r="A24" s="160">
        <v>23.0</v>
      </c>
      <c r="B24" s="160" t="s">
        <v>25</v>
      </c>
      <c r="C24" s="161" t="s">
        <v>48</v>
      </c>
      <c r="D24" s="164"/>
      <c r="E24" s="164"/>
      <c r="F24" s="161"/>
      <c r="G24" s="161"/>
      <c r="H24" s="161"/>
      <c r="I24" s="161">
        <f t="shared" si="1"/>
        <v>0</v>
      </c>
      <c r="J24" s="165"/>
      <c r="K24" s="165"/>
      <c r="L24" s="161">
        <f t="shared" si="2"/>
        <v>0</v>
      </c>
      <c r="M24" s="161">
        <f t="shared" si="3"/>
        <v>0</v>
      </c>
      <c r="N24" s="167"/>
      <c r="O24" s="161">
        <v>16.904</v>
      </c>
      <c r="P24" s="161">
        <v>12.699</v>
      </c>
      <c r="Q24" s="161">
        <f t="shared" si="4"/>
        <v>0</v>
      </c>
      <c r="R24" s="168"/>
      <c r="S24" s="168"/>
      <c r="T24" s="223"/>
      <c r="U24" s="222"/>
      <c r="V24" s="170">
        <f t="shared" si="5"/>
        <v>0</v>
      </c>
      <c r="W24" s="170">
        <f t="shared" si="6"/>
        <v>0</v>
      </c>
      <c r="X24" s="42"/>
      <c r="Y24" s="42"/>
      <c r="Z24" s="42"/>
      <c r="AA24" s="42"/>
      <c r="AB24" s="42"/>
    </row>
    <row r="25" ht="14.25" customHeight="1">
      <c r="A25" s="160">
        <v>24.0</v>
      </c>
      <c r="B25" s="160" t="s">
        <v>25</v>
      </c>
      <c r="C25" s="161" t="s">
        <v>49</v>
      </c>
      <c r="D25" s="164"/>
      <c r="E25" s="164"/>
      <c r="F25" s="161"/>
      <c r="G25" s="161"/>
      <c r="H25" s="161"/>
      <c r="I25" s="161">
        <f t="shared" si="1"/>
        <v>0</v>
      </c>
      <c r="J25" s="165"/>
      <c r="K25" s="165"/>
      <c r="L25" s="161">
        <f t="shared" si="2"/>
        <v>0</v>
      </c>
      <c r="M25" s="161">
        <f t="shared" si="3"/>
        <v>0</v>
      </c>
      <c r="N25" s="167"/>
      <c r="O25" s="161">
        <v>16.904</v>
      </c>
      <c r="P25" s="161">
        <v>12.699</v>
      </c>
      <c r="Q25" s="161">
        <f t="shared" si="4"/>
        <v>0</v>
      </c>
      <c r="R25" s="168"/>
      <c r="S25" s="168"/>
      <c r="T25" s="223"/>
      <c r="U25" s="222"/>
      <c r="V25" s="170">
        <f t="shared" si="5"/>
        <v>0</v>
      </c>
      <c r="W25" s="170">
        <f t="shared" si="6"/>
        <v>0</v>
      </c>
      <c r="X25" s="42"/>
      <c r="Y25" s="42"/>
      <c r="Z25" s="42"/>
      <c r="AA25" s="42"/>
      <c r="AB25" s="42"/>
    </row>
    <row r="26" ht="14.25" customHeight="1">
      <c r="A26" s="160">
        <v>25.0</v>
      </c>
      <c r="B26" s="160" t="s">
        <v>25</v>
      </c>
      <c r="C26" s="161" t="s">
        <v>50</v>
      </c>
      <c r="D26" s="164"/>
      <c r="E26" s="164"/>
      <c r="F26" s="161"/>
      <c r="G26" s="161"/>
      <c r="H26" s="161"/>
      <c r="I26" s="161">
        <f t="shared" si="1"/>
        <v>0</v>
      </c>
      <c r="J26" s="165"/>
      <c r="K26" s="165"/>
      <c r="L26" s="161">
        <f t="shared" si="2"/>
        <v>0</v>
      </c>
      <c r="M26" s="161">
        <f t="shared" si="3"/>
        <v>0</v>
      </c>
      <c r="N26" s="167"/>
      <c r="O26" s="161">
        <v>16.904</v>
      </c>
      <c r="P26" s="161">
        <v>12.699</v>
      </c>
      <c r="Q26" s="161">
        <f t="shared" si="4"/>
        <v>0</v>
      </c>
      <c r="R26" s="168"/>
      <c r="S26" s="168"/>
      <c r="T26" s="223"/>
      <c r="U26" s="222"/>
      <c r="V26" s="170">
        <f t="shared" si="5"/>
        <v>0</v>
      </c>
      <c r="W26" s="170">
        <f t="shared" si="6"/>
        <v>0</v>
      </c>
      <c r="X26" s="42"/>
      <c r="Y26" s="42"/>
      <c r="Z26" s="42"/>
      <c r="AA26" s="42"/>
      <c r="AB26" s="42"/>
    </row>
    <row r="27" ht="14.25" customHeight="1">
      <c r="A27" s="160">
        <v>26.0</v>
      </c>
      <c r="B27" s="160" t="s">
        <v>25</v>
      </c>
      <c r="C27" s="161" t="s">
        <v>51</v>
      </c>
      <c r="D27" s="164"/>
      <c r="E27" s="164"/>
      <c r="F27" s="161"/>
      <c r="G27" s="161"/>
      <c r="H27" s="161"/>
      <c r="I27" s="161">
        <f t="shared" si="1"/>
        <v>0</v>
      </c>
      <c r="J27" s="165"/>
      <c r="K27" s="165"/>
      <c r="L27" s="161">
        <f t="shared" si="2"/>
        <v>0</v>
      </c>
      <c r="M27" s="161">
        <f t="shared" si="3"/>
        <v>0</v>
      </c>
      <c r="N27" s="167"/>
      <c r="O27" s="161">
        <v>16.904</v>
      </c>
      <c r="P27" s="161">
        <v>12.699</v>
      </c>
      <c r="Q27" s="161">
        <f t="shared" si="4"/>
        <v>0</v>
      </c>
      <c r="R27" s="168"/>
      <c r="S27" s="168"/>
      <c r="T27" s="223"/>
      <c r="U27" s="222"/>
      <c r="V27" s="170">
        <f t="shared" si="5"/>
        <v>0</v>
      </c>
      <c r="W27" s="170">
        <f t="shared" si="6"/>
        <v>0</v>
      </c>
      <c r="X27" s="42"/>
      <c r="Y27" s="42"/>
      <c r="Z27" s="42"/>
      <c r="AA27" s="42"/>
      <c r="AB27" s="42"/>
    </row>
    <row r="28" ht="14.25" customHeight="1">
      <c r="A28" s="160">
        <v>27.0</v>
      </c>
      <c r="B28" s="160" t="s">
        <v>25</v>
      </c>
      <c r="C28" s="161" t="s">
        <v>52</v>
      </c>
      <c r="D28" s="164"/>
      <c r="E28" s="164"/>
      <c r="F28" s="161"/>
      <c r="G28" s="161"/>
      <c r="H28" s="161"/>
      <c r="I28" s="161">
        <f t="shared" si="1"/>
        <v>0</v>
      </c>
      <c r="J28" s="165"/>
      <c r="K28" s="165"/>
      <c r="L28" s="161">
        <f t="shared" si="2"/>
        <v>0</v>
      </c>
      <c r="M28" s="161">
        <f t="shared" si="3"/>
        <v>0</v>
      </c>
      <c r="N28" s="167"/>
      <c r="O28" s="161">
        <v>16.904</v>
      </c>
      <c r="P28" s="161">
        <v>12.699</v>
      </c>
      <c r="Q28" s="161">
        <f t="shared" si="4"/>
        <v>0</v>
      </c>
      <c r="R28" s="168"/>
      <c r="S28" s="168"/>
      <c r="T28" s="223"/>
      <c r="U28" s="222"/>
      <c r="V28" s="170">
        <f t="shared" si="5"/>
        <v>0</v>
      </c>
      <c r="W28" s="170">
        <f t="shared" si="6"/>
        <v>0</v>
      </c>
      <c r="X28" s="42"/>
      <c r="Y28" s="42"/>
      <c r="Z28" s="42"/>
      <c r="AA28" s="42"/>
      <c r="AB28" s="42"/>
    </row>
    <row r="29" ht="14.25" customHeight="1">
      <c r="A29" s="160">
        <v>28.0</v>
      </c>
      <c r="B29" s="160" t="s">
        <v>25</v>
      </c>
      <c r="C29" s="161" t="s">
        <v>53</v>
      </c>
      <c r="D29" s="164"/>
      <c r="E29" s="164"/>
      <c r="F29" s="161"/>
      <c r="G29" s="161"/>
      <c r="H29" s="161"/>
      <c r="I29" s="161">
        <f t="shared" si="1"/>
        <v>0</v>
      </c>
      <c r="J29" s="165"/>
      <c r="K29" s="165"/>
      <c r="L29" s="161">
        <f t="shared" si="2"/>
        <v>0</v>
      </c>
      <c r="M29" s="161">
        <f t="shared" si="3"/>
        <v>0</v>
      </c>
      <c r="N29" s="167"/>
      <c r="O29" s="161">
        <v>16.904</v>
      </c>
      <c r="P29" s="161">
        <v>12.699</v>
      </c>
      <c r="Q29" s="161">
        <f t="shared" si="4"/>
        <v>0</v>
      </c>
      <c r="R29" s="168"/>
      <c r="S29" s="168"/>
      <c r="T29" s="223"/>
      <c r="U29" s="222"/>
      <c r="V29" s="170">
        <f t="shared" si="5"/>
        <v>0</v>
      </c>
      <c r="W29" s="170">
        <f t="shared" si="6"/>
        <v>0</v>
      </c>
      <c r="X29" s="42"/>
      <c r="Y29" s="42"/>
      <c r="Z29" s="42"/>
      <c r="AA29" s="42"/>
      <c r="AB29" s="42"/>
    </row>
    <row r="30" ht="14.25" customHeight="1">
      <c r="A30" s="160">
        <v>29.0</v>
      </c>
      <c r="B30" s="160" t="s">
        <v>25</v>
      </c>
      <c r="C30" s="161" t="s">
        <v>54</v>
      </c>
      <c r="D30" s="164"/>
      <c r="E30" s="164"/>
      <c r="F30" s="161"/>
      <c r="G30" s="161"/>
      <c r="H30" s="161"/>
      <c r="I30" s="161">
        <f t="shared" si="1"/>
        <v>0</v>
      </c>
      <c r="J30" s="165"/>
      <c r="K30" s="165"/>
      <c r="L30" s="161">
        <f t="shared" si="2"/>
        <v>0</v>
      </c>
      <c r="M30" s="161">
        <f t="shared" si="3"/>
        <v>0</v>
      </c>
      <c r="N30" s="167"/>
      <c r="O30" s="161">
        <v>16.904</v>
      </c>
      <c r="P30" s="161">
        <v>12.699</v>
      </c>
      <c r="Q30" s="161">
        <f t="shared" si="4"/>
        <v>0</v>
      </c>
      <c r="R30" s="168"/>
      <c r="S30" s="168"/>
      <c r="T30" s="223"/>
      <c r="U30" s="222"/>
      <c r="V30" s="170">
        <f t="shared" si="5"/>
        <v>0</v>
      </c>
      <c r="W30" s="170">
        <f t="shared" si="6"/>
        <v>0</v>
      </c>
      <c r="X30" s="42"/>
      <c r="Y30" s="42"/>
      <c r="Z30" s="42"/>
      <c r="AA30" s="42"/>
      <c r="AB30" s="42"/>
    </row>
    <row r="31" ht="14.25" customHeight="1">
      <c r="A31" s="160">
        <v>30.0</v>
      </c>
      <c r="B31" s="160" t="s">
        <v>25</v>
      </c>
      <c r="C31" s="161" t="s">
        <v>55</v>
      </c>
      <c r="D31" s="164"/>
      <c r="E31" s="164"/>
      <c r="F31" s="161"/>
      <c r="G31" s="161"/>
      <c r="H31" s="161"/>
      <c r="I31" s="161">
        <f t="shared" si="1"/>
        <v>0</v>
      </c>
      <c r="J31" s="165"/>
      <c r="K31" s="165"/>
      <c r="L31" s="161">
        <f t="shared" si="2"/>
        <v>0</v>
      </c>
      <c r="M31" s="161">
        <f t="shared" si="3"/>
        <v>0</v>
      </c>
      <c r="N31" s="167"/>
      <c r="O31" s="161">
        <v>16.904</v>
      </c>
      <c r="P31" s="161">
        <v>12.699</v>
      </c>
      <c r="Q31" s="161">
        <f t="shared" si="4"/>
        <v>0</v>
      </c>
      <c r="R31" s="168"/>
      <c r="S31" s="168"/>
      <c r="T31" s="223"/>
      <c r="U31" s="222"/>
      <c r="V31" s="170">
        <f t="shared" si="5"/>
        <v>0</v>
      </c>
      <c r="W31" s="170">
        <f t="shared" si="6"/>
        <v>0</v>
      </c>
      <c r="X31" s="42"/>
      <c r="Y31" s="42"/>
      <c r="Z31" s="42"/>
      <c r="AA31" s="42"/>
      <c r="AB31" s="42"/>
    </row>
    <row r="32" ht="14.25" customHeight="1">
      <c r="A32" s="160">
        <v>31.0</v>
      </c>
      <c r="B32" s="160" t="s">
        <v>25</v>
      </c>
      <c r="C32" s="161" t="s">
        <v>56</v>
      </c>
      <c r="D32" s="164"/>
      <c r="E32" s="164"/>
      <c r="F32" s="161"/>
      <c r="G32" s="161"/>
      <c r="H32" s="161"/>
      <c r="I32" s="161">
        <f t="shared" si="1"/>
        <v>0</v>
      </c>
      <c r="J32" s="165"/>
      <c r="K32" s="165"/>
      <c r="L32" s="161">
        <f t="shared" si="2"/>
        <v>0</v>
      </c>
      <c r="M32" s="161">
        <f t="shared" si="3"/>
        <v>0</v>
      </c>
      <c r="N32" s="167"/>
      <c r="O32" s="161">
        <v>16.904</v>
      </c>
      <c r="P32" s="161">
        <v>12.699</v>
      </c>
      <c r="Q32" s="161">
        <f t="shared" si="4"/>
        <v>0</v>
      </c>
      <c r="R32" s="168"/>
      <c r="S32" s="168"/>
      <c r="T32" s="223"/>
      <c r="U32" s="222"/>
      <c r="V32" s="170">
        <f t="shared" si="5"/>
        <v>0</v>
      </c>
      <c r="W32" s="170">
        <f t="shared" si="6"/>
        <v>0</v>
      </c>
      <c r="X32" s="42"/>
      <c r="Y32" s="42"/>
      <c r="Z32" s="42"/>
      <c r="AA32" s="42"/>
      <c r="AB32" s="42"/>
    </row>
    <row r="33" ht="14.25" customHeight="1">
      <c r="A33" s="160">
        <v>32.0</v>
      </c>
      <c r="B33" s="160" t="s">
        <v>25</v>
      </c>
      <c r="C33" s="161" t="s">
        <v>57</v>
      </c>
      <c r="D33" s="164"/>
      <c r="E33" s="164"/>
      <c r="F33" s="161"/>
      <c r="G33" s="161"/>
      <c r="H33" s="161"/>
      <c r="I33" s="161">
        <f t="shared" si="1"/>
        <v>0</v>
      </c>
      <c r="J33" s="165"/>
      <c r="K33" s="165"/>
      <c r="L33" s="161">
        <f t="shared" si="2"/>
        <v>0</v>
      </c>
      <c r="M33" s="161">
        <f t="shared" si="3"/>
        <v>0</v>
      </c>
      <c r="N33" s="167"/>
      <c r="O33" s="161">
        <v>16.904</v>
      </c>
      <c r="P33" s="161">
        <v>12.699</v>
      </c>
      <c r="Q33" s="161">
        <f t="shared" si="4"/>
        <v>0</v>
      </c>
      <c r="R33" s="168"/>
      <c r="S33" s="168"/>
      <c r="T33" s="223"/>
      <c r="U33" s="222"/>
      <c r="V33" s="170">
        <f t="shared" si="5"/>
        <v>0</v>
      </c>
      <c r="W33" s="170">
        <f t="shared" si="6"/>
        <v>0</v>
      </c>
      <c r="X33" s="42"/>
      <c r="Y33" s="42"/>
      <c r="Z33" s="42"/>
      <c r="AA33" s="42"/>
      <c r="AB33" s="42"/>
    </row>
    <row r="34" ht="14.25" customHeight="1">
      <c r="A34" s="160">
        <v>33.0</v>
      </c>
      <c r="B34" s="160" t="s">
        <v>25</v>
      </c>
      <c r="C34" s="161" t="s">
        <v>58</v>
      </c>
      <c r="D34" s="164"/>
      <c r="E34" s="164"/>
      <c r="F34" s="161"/>
      <c r="G34" s="161"/>
      <c r="H34" s="161"/>
      <c r="I34" s="161">
        <f t="shared" si="1"/>
        <v>0</v>
      </c>
      <c r="J34" s="165"/>
      <c r="K34" s="165"/>
      <c r="L34" s="161">
        <f t="shared" si="2"/>
        <v>0</v>
      </c>
      <c r="M34" s="161">
        <f t="shared" si="3"/>
        <v>0</v>
      </c>
      <c r="N34" s="167"/>
      <c r="O34" s="161">
        <v>16.904</v>
      </c>
      <c r="P34" s="161">
        <v>12.699</v>
      </c>
      <c r="Q34" s="161">
        <f t="shared" si="4"/>
        <v>0</v>
      </c>
      <c r="R34" s="168"/>
      <c r="S34" s="168"/>
      <c r="T34" s="223"/>
      <c r="U34" s="222"/>
      <c r="V34" s="170">
        <f t="shared" si="5"/>
        <v>0</v>
      </c>
      <c r="W34" s="170">
        <f t="shared" si="6"/>
        <v>0</v>
      </c>
      <c r="X34" s="42"/>
      <c r="Y34" s="42"/>
      <c r="Z34" s="42"/>
      <c r="AA34" s="42"/>
      <c r="AB34" s="42"/>
    </row>
    <row r="35" ht="14.25" customHeight="1">
      <c r="A35" s="160">
        <v>34.0</v>
      </c>
      <c r="B35" s="160" t="s">
        <v>25</v>
      </c>
      <c r="C35" s="161" t="s">
        <v>59</v>
      </c>
      <c r="D35" s="164"/>
      <c r="E35" s="164"/>
      <c r="F35" s="161"/>
      <c r="G35" s="161"/>
      <c r="H35" s="161"/>
      <c r="I35" s="161">
        <f t="shared" si="1"/>
        <v>0</v>
      </c>
      <c r="J35" s="165"/>
      <c r="K35" s="165"/>
      <c r="L35" s="161">
        <f t="shared" si="2"/>
        <v>0</v>
      </c>
      <c r="M35" s="161">
        <f t="shared" si="3"/>
        <v>0</v>
      </c>
      <c r="N35" s="167"/>
      <c r="O35" s="161">
        <v>16.904</v>
      </c>
      <c r="P35" s="161">
        <v>12.699</v>
      </c>
      <c r="Q35" s="161">
        <f t="shared" si="4"/>
        <v>0</v>
      </c>
      <c r="R35" s="168"/>
      <c r="S35" s="168"/>
      <c r="T35" s="223"/>
      <c r="U35" s="222"/>
      <c r="V35" s="170">
        <f t="shared" si="5"/>
        <v>0</v>
      </c>
      <c r="W35" s="170">
        <f t="shared" si="6"/>
        <v>0</v>
      </c>
      <c r="X35" s="42"/>
      <c r="Y35" s="42"/>
      <c r="Z35" s="42"/>
      <c r="AA35" s="42"/>
      <c r="AB35" s="42"/>
    </row>
    <row r="36" ht="14.25" customHeight="1">
      <c r="A36" s="160">
        <v>35.0</v>
      </c>
      <c r="B36" s="160" t="s">
        <v>25</v>
      </c>
      <c r="C36" s="161" t="s">
        <v>60</v>
      </c>
      <c r="D36" s="164"/>
      <c r="E36" s="164"/>
      <c r="F36" s="161"/>
      <c r="G36" s="161"/>
      <c r="H36" s="161"/>
      <c r="I36" s="161">
        <f t="shared" si="1"/>
        <v>0</v>
      </c>
      <c r="J36" s="165"/>
      <c r="K36" s="165"/>
      <c r="L36" s="161">
        <f t="shared" si="2"/>
        <v>0</v>
      </c>
      <c r="M36" s="161">
        <f t="shared" si="3"/>
        <v>0</v>
      </c>
      <c r="N36" s="167"/>
      <c r="O36" s="161">
        <v>16.904</v>
      </c>
      <c r="P36" s="161">
        <v>12.699</v>
      </c>
      <c r="Q36" s="161">
        <f t="shared" si="4"/>
        <v>0</v>
      </c>
      <c r="R36" s="168"/>
      <c r="S36" s="168"/>
      <c r="T36" s="223"/>
      <c r="U36" s="222"/>
      <c r="V36" s="170">
        <f t="shared" si="5"/>
        <v>0</v>
      </c>
      <c r="W36" s="170">
        <f t="shared" si="6"/>
        <v>0</v>
      </c>
      <c r="X36" s="42"/>
      <c r="Y36" s="42"/>
      <c r="Z36" s="42"/>
      <c r="AA36" s="42"/>
      <c r="AB36" s="42"/>
    </row>
    <row r="37" ht="14.25" customHeight="1">
      <c r="A37" s="160">
        <v>36.0</v>
      </c>
      <c r="B37" s="160" t="s">
        <v>25</v>
      </c>
      <c r="C37" s="161" t="s">
        <v>61</v>
      </c>
      <c r="D37" s="164"/>
      <c r="E37" s="164"/>
      <c r="F37" s="161"/>
      <c r="G37" s="161"/>
      <c r="H37" s="161"/>
      <c r="I37" s="161">
        <f t="shared" si="1"/>
        <v>0</v>
      </c>
      <c r="J37" s="165"/>
      <c r="K37" s="165"/>
      <c r="L37" s="161">
        <f t="shared" si="2"/>
        <v>0</v>
      </c>
      <c r="M37" s="161">
        <f t="shared" si="3"/>
        <v>0</v>
      </c>
      <c r="N37" s="167"/>
      <c r="O37" s="161">
        <v>16.904</v>
      </c>
      <c r="P37" s="161">
        <v>12.699</v>
      </c>
      <c r="Q37" s="161">
        <f t="shared" si="4"/>
        <v>0</v>
      </c>
      <c r="R37" s="168"/>
      <c r="S37" s="168"/>
      <c r="T37" s="223"/>
      <c r="U37" s="222"/>
      <c r="V37" s="170">
        <f t="shared" si="5"/>
        <v>0</v>
      </c>
      <c r="W37" s="170">
        <f t="shared" si="6"/>
        <v>0</v>
      </c>
      <c r="X37" s="42"/>
      <c r="Y37" s="42"/>
      <c r="Z37" s="42"/>
      <c r="AA37" s="42"/>
      <c r="AB37" s="42"/>
    </row>
    <row r="38" ht="14.25" customHeight="1">
      <c r="A38" s="160">
        <v>37.0</v>
      </c>
      <c r="B38" s="160" t="s">
        <v>25</v>
      </c>
      <c r="C38" s="161" t="s">
        <v>62</v>
      </c>
      <c r="D38" s="164"/>
      <c r="E38" s="164"/>
      <c r="F38" s="161"/>
      <c r="G38" s="161"/>
      <c r="H38" s="161"/>
      <c r="I38" s="161">
        <f t="shared" si="1"/>
        <v>0</v>
      </c>
      <c r="J38" s="165"/>
      <c r="K38" s="165"/>
      <c r="L38" s="161">
        <f t="shared" si="2"/>
        <v>0</v>
      </c>
      <c r="M38" s="161">
        <f t="shared" si="3"/>
        <v>0</v>
      </c>
      <c r="N38" s="167"/>
      <c r="O38" s="161">
        <v>16.904</v>
      </c>
      <c r="P38" s="161">
        <v>12.699</v>
      </c>
      <c r="Q38" s="161">
        <f t="shared" si="4"/>
        <v>0</v>
      </c>
      <c r="R38" s="168"/>
      <c r="S38" s="168"/>
      <c r="T38" s="223"/>
      <c r="U38" s="222"/>
      <c r="V38" s="170">
        <f t="shared" si="5"/>
        <v>0</v>
      </c>
      <c r="W38" s="170">
        <f t="shared" si="6"/>
        <v>0</v>
      </c>
      <c r="X38" s="42"/>
      <c r="Y38" s="42"/>
      <c r="Z38" s="42"/>
      <c r="AA38" s="42"/>
      <c r="AB38" s="42"/>
    </row>
    <row r="39" ht="14.25" customHeight="1">
      <c r="A39" s="160">
        <v>38.0</v>
      </c>
      <c r="B39" s="160" t="s">
        <v>25</v>
      </c>
      <c r="C39" s="161" t="s">
        <v>63</v>
      </c>
      <c r="D39" s="164"/>
      <c r="E39" s="164"/>
      <c r="F39" s="161"/>
      <c r="G39" s="161"/>
      <c r="H39" s="161"/>
      <c r="I39" s="161">
        <f t="shared" si="1"/>
        <v>0</v>
      </c>
      <c r="J39" s="165"/>
      <c r="K39" s="165"/>
      <c r="L39" s="161">
        <f t="shared" si="2"/>
        <v>0</v>
      </c>
      <c r="M39" s="161">
        <f t="shared" si="3"/>
        <v>0</v>
      </c>
      <c r="N39" s="167"/>
      <c r="O39" s="161">
        <v>16.904</v>
      </c>
      <c r="P39" s="161">
        <v>12.699</v>
      </c>
      <c r="Q39" s="161">
        <f t="shared" si="4"/>
        <v>0</v>
      </c>
      <c r="R39" s="168"/>
      <c r="S39" s="168"/>
      <c r="T39" s="223"/>
      <c r="U39" s="222"/>
      <c r="V39" s="170">
        <f t="shared" si="5"/>
        <v>0</v>
      </c>
      <c r="W39" s="170">
        <f t="shared" si="6"/>
        <v>0</v>
      </c>
      <c r="X39" s="42"/>
      <c r="Y39" s="42"/>
      <c r="Z39" s="42"/>
      <c r="AA39" s="42"/>
      <c r="AB39" s="42"/>
    </row>
    <row r="40" ht="14.25" customHeight="1">
      <c r="A40" s="160">
        <v>39.0</v>
      </c>
      <c r="B40" s="160" t="s">
        <v>25</v>
      </c>
      <c r="C40" s="161" t="s">
        <v>64</v>
      </c>
      <c r="D40" s="164"/>
      <c r="E40" s="164"/>
      <c r="F40" s="161"/>
      <c r="G40" s="161"/>
      <c r="H40" s="161"/>
      <c r="I40" s="161">
        <f t="shared" si="1"/>
        <v>0</v>
      </c>
      <c r="J40" s="165"/>
      <c r="K40" s="165"/>
      <c r="L40" s="161">
        <f t="shared" si="2"/>
        <v>0</v>
      </c>
      <c r="M40" s="161">
        <f t="shared" si="3"/>
        <v>0</v>
      </c>
      <c r="N40" s="167"/>
      <c r="O40" s="161">
        <v>16.904</v>
      </c>
      <c r="P40" s="161">
        <v>12.699</v>
      </c>
      <c r="Q40" s="161">
        <f t="shared" si="4"/>
        <v>0</v>
      </c>
      <c r="R40" s="168"/>
      <c r="S40" s="168"/>
      <c r="T40" s="223"/>
      <c r="U40" s="222"/>
      <c r="V40" s="170">
        <f t="shared" si="5"/>
        <v>0</v>
      </c>
      <c r="W40" s="170">
        <f t="shared" si="6"/>
        <v>0</v>
      </c>
      <c r="X40" s="42"/>
      <c r="Y40" s="42"/>
      <c r="Z40" s="42"/>
      <c r="AA40" s="42"/>
      <c r="AB40" s="42"/>
    </row>
    <row r="41" ht="14.25" customHeight="1">
      <c r="A41" s="160">
        <v>40.0</v>
      </c>
      <c r="B41" s="160" t="s">
        <v>25</v>
      </c>
      <c r="C41" s="161" t="s">
        <v>65</v>
      </c>
      <c r="D41" s="164"/>
      <c r="E41" s="164"/>
      <c r="F41" s="161"/>
      <c r="G41" s="161"/>
      <c r="H41" s="161"/>
      <c r="I41" s="161">
        <f t="shared" si="1"/>
        <v>0</v>
      </c>
      <c r="J41" s="165"/>
      <c r="K41" s="165"/>
      <c r="L41" s="161">
        <f t="shared" si="2"/>
        <v>0</v>
      </c>
      <c r="M41" s="161">
        <f t="shared" si="3"/>
        <v>0</v>
      </c>
      <c r="N41" s="167"/>
      <c r="O41" s="161">
        <v>16.904</v>
      </c>
      <c r="P41" s="161">
        <v>12.699</v>
      </c>
      <c r="Q41" s="161">
        <f t="shared" si="4"/>
        <v>0</v>
      </c>
      <c r="R41" s="168"/>
      <c r="S41" s="168"/>
      <c r="T41" s="223"/>
      <c r="U41" s="222"/>
      <c r="V41" s="170">
        <f t="shared" si="5"/>
        <v>0</v>
      </c>
      <c r="W41" s="170">
        <f t="shared" si="6"/>
        <v>0</v>
      </c>
      <c r="X41" s="42"/>
      <c r="Y41" s="42"/>
      <c r="Z41" s="42"/>
      <c r="AA41" s="42"/>
      <c r="AB41" s="42"/>
    </row>
    <row r="42" ht="14.25" customHeight="1">
      <c r="A42" s="160">
        <v>41.0</v>
      </c>
      <c r="B42" s="160" t="s">
        <v>25</v>
      </c>
      <c r="C42" s="161" t="s">
        <v>66</v>
      </c>
      <c r="D42" s="164"/>
      <c r="E42" s="164"/>
      <c r="F42" s="161"/>
      <c r="G42" s="161"/>
      <c r="H42" s="161"/>
      <c r="I42" s="161">
        <f t="shared" si="1"/>
        <v>0</v>
      </c>
      <c r="J42" s="165"/>
      <c r="K42" s="165"/>
      <c r="L42" s="161">
        <f t="shared" si="2"/>
        <v>0</v>
      </c>
      <c r="M42" s="161">
        <f t="shared" si="3"/>
        <v>0</v>
      </c>
      <c r="N42" s="167"/>
      <c r="O42" s="161">
        <v>16.904</v>
      </c>
      <c r="P42" s="161">
        <v>12.699</v>
      </c>
      <c r="Q42" s="161">
        <f t="shared" si="4"/>
        <v>0</v>
      </c>
      <c r="R42" s="168"/>
      <c r="S42" s="168"/>
      <c r="T42" s="223"/>
      <c r="U42" s="222"/>
      <c r="V42" s="170">
        <f t="shared" si="5"/>
        <v>0</v>
      </c>
      <c r="W42" s="170">
        <f t="shared" si="6"/>
        <v>0</v>
      </c>
      <c r="X42" s="42"/>
      <c r="Y42" s="42"/>
      <c r="Z42" s="42"/>
      <c r="AA42" s="42"/>
      <c r="AB42" s="42"/>
    </row>
    <row r="43" ht="14.25" customHeight="1">
      <c r="A43" s="160">
        <v>42.0</v>
      </c>
      <c r="B43" s="160" t="s">
        <v>25</v>
      </c>
      <c r="C43" s="161" t="s">
        <v>67</v>
      </c>
      <c r="D43" s="164"/>
      <c r="E43" s="164"/>
      <c r="F43" s="161"/>
      <c r="G43" s="161"/>
      <c r="H43" s="161"/>
      <c r="I43" s="161">
        <f t="shared" si="1"/>
        <v>0</v>
      </c>
      <c r="J43" s="165"/>
      <c r="K43" s="165"/>
      <c r="L43" s="161">
        <f t="shared" si="2"/>
        <v>0</v>
      </c>
      <c r="M43" s="161">
        <f t="shared" si="3"/>
        <v>0</v>
      </c>
      <c r="N43" s="167"/>
      <c r="O43" s="161">
        <v>16.904</v>
      </c>
      <c r="P43" s="161">
        <v>12.699</v>
      </c>
      <c r="Q43" s="161">
        <f t="shared" si="4"/>
        <v>0</v>
      </c>
      <c r="R43" s="168"/>
      <c r="S43" s="168"/>
      <c r="T43" s="223"/>
      <c r="U43" s="222"/>
      <c r="V43" s="170">
        <f t="shared" si="5"/>
        <v>0</v>
      </c>
      <c r="W43" s="170">
        <f t="shared" si="6"/>
        <v>0</v>
      </c>
      <c r="X43" s="42"/>
      <c r="Y43" s="42"/>
      <c r="Z43" s="42"/>
      <c r="AA43" s="42"/>
      <c r="AB43" s="42"/>
    </row>
    <row r="44" ht="14.25" customHeight="1">
      <c r="A44" s="160">
        <v>43.0</v>
      </c>
      <c r="B44" s="160" t="s">
        <v>25</v>
      </c>
      <c r="C44" s="161" t="s">
        <v>68</v>
      </c>
      <c r="D44" s="164"/>
      <c r="E44" s="164"/>
      <c r="F44" s="161"/>
      <c r="G44" s="161"/>
      <c r="H44" s="161"/>
      <c r="I44" s="161">
        <f t="shared" si="1"/>
        <v>0</v>
      </c>
      <c r="J44" s="165"/>
      <c r="K44" s="165"/>
      <c r="L44" s="161">
        <f t="shared" si="2"/>
        <v>0</v>
      </c>
      <c r="M44" s="161">
        <f t="shared" si="3"/>
        <v>0</v>
      </c>
      <c r="N44" s="167"/>
      <c r="O44" s="161">
        <v>16.904</v>
      </c>
      <c r="P44" s="161">
        <v>12.699</v>
      </c>
      <c r="Q44" s="161">
        <f t="shared" si="4"/>
        <v>0</v>
      </c>
      <c r="R44" s="168"/>
      <c r="S44" s="168"/>
      <c r="T44" s="223"/>
      <c r="U44" s="222"/>
      <c r="V44" s="170">
        <f t="shared" si="5"/>
        <v>0</v>
      </c>
      <c r="W44" s="170">
        <f t="shared" si="6"/>
        <v>0</v>
      </c>
      <c r="X44" s="42"/>
      <c r="Y44" s="42"/>
      <c r="Z44" s="42"/>
      <c r="AA44" s="42"/>
      <c r="AB44" s="42"/>
    </row>
    <row r="45" ht="14.25" customHeight="1">
      <c r="A45" s="160">
        <v>44.0</v>
      </c>
      <c r="B45" s="160" t="s">
        <v>25</v>
      </c>
      <c r="C45" s="161" t="s">
        <v>69</v>
      </c>
      <c r="D45" s="164"/>
      <c r="E45" s="164"/>
      <c r="F45" s="161"/>
      <c r="G45" s="161"/>
      <c r="H45" s="161"/>
      <c r="I45" s="161">
        <f t="shared" si="1"/>
        <v>0</v>
      </c>
      <c r="J45" s="165"/>
      <c r="K45" s="165"/>
      <c r="L45" s="161">
        <f t="shared" si="2"/>
        <v>0</v>
      </c>
      <c r="M45" s="161">
        <f t="shared" si="3"/>
        <v>0</v>
      </c>
      <c r="N45" s="167"/>
      <c r="O45" s="161">
        <v>16.904</v>
      </c>
      <c r="P45" s="161">
        <v>12.699</v>
      </c>
      <c r="Q45" s="161">
        <f t="shared" si="4"/>
        <v>0</v>
      </c>
      <c r="R45" s="168"/>
      <c r="S45" s="168"/>
      <c r="T45" s="223"/>
      <c r="U45" s="222"/>
      <c r="V45" s="170">
        <f t="shared" si="5"/>
        <v>0</v>
      </c>
      <c r="W45" s="170">
        <f t="shared" si="6"/>
        <v>0</v>
      </c>
      <c r="X45" s="42"/>
      <c r="Y45" s="42"/>
      <c r="Z45" s="42"/>
      <c r="AA45" s="42"/>
      <c r="AB45" s="42"/>
    </row>
    <row r="46" ht="14.25" customHeight="1">
      <c r="A46" s="160">
        <v>45.0</v>
      </c>
      <c r="B46" s="160" t="s">
        <v>25</v>
      </c>
      <c r="C46" s="161" t="s">
        <v>70</v>
      </c>
      <c r="D46" s="164"/>
      <c r="E46" s="164"/>
      <c r="F46" s="161"/>
      <c r="G46" s="161"/>
      <c r="H46" s="161"/>
      <c r="I46" s="161">
        <f t="shared" si="1"/>
        <v>0</v>
      </c>
      <c r="J46" s="165"/>
      <c r="K46" s="165"/>
      <c r="L46" s="161">
        <f t="shared" si="2"/>
        <v>0</v>
      </c>
      <c r="M46" s="161">
        <f t="shared" si="3"/>
        <v>0</v>
      </c>
      <c r="N46" s="167"/>
      <c r="O46" s="161">
        <v>16.904</v>
      </c>
      <c r="P46" s="161">
        <v>12.699</v>
      </c>
      <c r="Q46" s="161">
        <f t="shared" si="4"/>
        <v>0</v>
      </c>
      <c r="R46" s="168"/>
      <c r="S46" s="168"/>
      <c r="T46" s="223"/>
      <c r="U46" s="222"/>
      <c r="V46" s="170">
        <f t="shared" si="5"/>
        <v>0</v>
      </c>
      <c r="W46" s="170">
        <f t="shared" si="6"/>
        <v>0</v>
      </c>
      <c r="X46" s="42"/>
      <c r="Y46" s="42"/>
      <c r="Z46" s="42"/>
      <c r="AA46" s="42"/>
      <c r="AB46" s="42"/>
    </row>
    <row r="47" ht="14.25" customHeight="1">
      <c r="A47" s="160">
        <v>46.0</v>
      </c>
      <c r="B47" s="160" t="s">
        <v>25</v>
      </c>
      <c r="C47" s="161" t="s">
        <v>71</v>
      </c>
      <c r="D47" s="164"/>
      <c r="E47" s="164"/>
      <c r="F47" s="161"/>
      <c r="G47" s="161"/>
      <c r="H47" s="161"/>
      <c r="I47" s="161">
        <f t="shared" si="1"/>
        <v>0</v>
      </c>
      <c r="J47" s="165"/>
      <c r="K47" s="165"/>
      <c r="L47" s="161">
        <f t="shared" si="2"/>
        <v>0</v>
      </c>
      <c r="M47" s="161">
        <f t="shared" si="3"/>
        <v>0</v>
      </c>
      <c r="N47" s="167"/>
      <c r="O47" s="161">
        <v>16.904</v>
      </c>
      <c r="P47" s="161">
        <v>12.699</v>
      </c>
      <c r="Q47" s="161">
        <f t="shared" si="4"/>
        <v>0</v>
      </c>
      <c r="R47" s="168"/>
      <c r="S47" s="168"/>
      <c r="T47" s="223"/>
      <c r="U47" s="222"/>
      <c r="V47" s="170">
        <f t="shared" si="5"/>
        <v>0</v>
      </c>
      <c r="W47" s="170">
        <f t="shared" si="6"/>
        <v>0</v>
      </c>
      <c r="X47" s="42"/>
      <c r="Y47" s="42"/>
      <c r="Z47" s="42"/>
      <c r="AA47" s="42"/>
      <c r="AB47" s="42"/>
    </row>
    <row r="48" ht="14.25" customHeight="1">
      <c r="A48" s="160">
        <v>47.0</v>
      </c>
      <c r="B48" s="160" t="s">
        <v>25</v>
      </c>
      <c r="C48" s="161" t="s">
        <v>72</v>
      </c>
      <c r="D48" s="164"/>
      <c r="E48" s="164"/>
      <c r="F48" s="161"/>
      <c r="G48" s="161"/>
      <c r="H48" s="161"/>
      <c r="I48" s="161">
        <f t="shared" si="1"/>
        <v>0</v>
      </c>
      <c r="J48" s="165"/>
      <c r="K48" s="165"/>
      <c r="L48" s="161">
        <f t="shared" si="2"/>
        <v>0</v>
      </c>
      <c r="M48" s="161">
        <f t="shared" si="3"/>
        <v>0</v>
      </c>
      <c r="N48" s="167"/>
      <c r="O48" s="161">
        <v>16.904</v>
      </c>
      <c r="P48" s="161">
        <v>12.699</v>
      </c>
      <c r="Q48" s="161">
        <f t="shared" si="4"/>
        <v>0</v>
      </c>
      <c r="R48" s="168"/>
      <c r="S48" s="168"/>
      <c r="T48" s="223"/>
      <c r="U48" s="222"/>
      <c r="V48" s="170">
        <f t="shared" si="5"/>
        <v>0</v>
      </c>
      <c r="W48" s="170">
        <f t="shared" si="6"/>
        <v>0</v>
      </c>
      <c r="X48" s="42"/>
      <c r="Y48" s="42"/>
      <c r="Z48" s="42"/>
      <c r="AA48" s="42"/>
      <c r="AB48" s="42"/>
    </row>
    <row r="49" ht="14.25" customHeight="1">
      <c r="A49" s="160">
        <v>48.0</v>
      </c>
      <c r="B49" s="160" t="s">
        <v>25</v>
      </c>
      <c r="C49" s="161" t="s">
        <v>73</v>
      </c>
      <c r="D49" s="164"/>
      <c r="E49" s="164"/>
      <c r="F49" s="161"/>
      <c r="G49" s="161"/>
      <c r="H49" s="161"/>
      <c r="I49" s="161">
        <f t="shared" si="1"/>
        <v>0</v>
      </c>
      <c r="J49" s="165"/>
      <c r="K49" s="165"/>
      <c r="L49" s="161">
        <f t="shared" si="2"/>
        <v>0</v>
      </c>
      <c r="M49" s="161">
        <f t="shared" si="3"/>
        <v>0</v>
      </c>
      <c r="N49" s="167"/>
      <c r="O49" s="161">
        <v>16.904</v>
      </c>
      <c r="P49" s="161">
        <v>12.699</v>
      </c>
      <c r="Q49" s="161">
        <f t="shared" si="4"/>
        <v>0</v>
      </c>
      <c r="R49" s="168"/>
      <c r="S49" s="168"/>
      <c r="T49" s="223"/>
      <c r="U49" s="222"/>
      <c r="V49" s="170">
        <f t="shared" si="5"/>
        <v>0</v>
      </c>
      <c r="W49" s="170">
        <f t="shared" si="6"/>
        <v>0</v>
      </c>
      <c r="X49" s="42"/>
      <c r="Y49" s="42"/>
      <c r="Z49" s="42"/>
      <c r="AA49" s="42"/>
      <c r="AB49" s="42"/>
    </row>
    <row r="50" ht="14.25" customHeight="1">
      <c r="A50" s="160">
        <v>49.0</v>
      </c>
      <c r="B50" s="160" t="s">
        <v>25</v>
      </c>
      <c r="C50" s="161" t="s">
        <v>74</v>
      </c>
      <c r="D50" s="164"/>
      <c r="E50" s="164"/>
      <c r="F50" s="161"/>
      <c r="G50" s="161"/>
      <c r="H50" s="161"/>
      <c r="I50" s="161">
        <f t="shared" si="1"/>
        <v>0</v>
      </c>
      <c r="J50" s="165"/>
      <c r="K50" s="165"/>
      <c r="L50" s="161">
        <f t="shared" si="2"/>
        <v>0</v>
      </c>
      <c r="M50" s="161">
        <f t="shared" si="3"/>
        <v>0</v>
      </c>
      <c r="N50" s="167"/>
      <c r="O50" s="161">
        <v>16.904</v>
      </c>
      <c r="P50" s="161">
        <v>12.699</v>
      </c>
      <c r="Q50" s="161">
        <f t="shared" si="4"/>
        <v>0</v>
      </c>
      <c r="R50" s="168"/>
      <c r="S50" s="168"/>
      <c r="T50" s="223"/>
      <c r="U50" s="222"/>
      <c r="V50" s="170">
        <f t="shared" si="5"/>
        <v>0</v>
      </c>
      <c r="W50" s="170">
        <f t="shared" si="6"/>
        <v>0</v>
      </c>
      <c r="X50" s="42"/>
      <c r="Y50" s="42"/>
      <c r="Z50" s="42"/>
      <c r="AA50" s="42"/>
      <c r="AB50" s="42"/>
    </row>
    <row r="51" ht="14.25" customHeight="1">
      <c r="A51" s="160">
        <v>50.0</v>
      </c>
      <c r="B51" s="160" t="s">
        <v>25</v>
      </c>
      <c r="C51" s="161" t="s">
        <v>75</v>
      </c>
      <c r="D51" s="164"/>
      <c r="E51" s="164"/>
      <c r="F51" s="161"/>
      <c r="G51" s="161"/>
      <c r="H51" s="161"/>
      <c r="I51" s="161">
        <f t="shared" si="1"/>
        <v>0</v>
      </c>
      <c r="J51" s="165"/>
      <c r="K51" s="165"/>
      <c r="L51" s="161">
        <f t="shared" si="2"/>
        <v>0</v>
      </c>
      <c r="M51" s="161">
        <f t="shared" si="3"/>
        <v>0</v>
      </c>
      <c r="N51" s="167"/>
      <c r="O51" s="161">
        <v>16.904</v>
      </c>
      <c r="P51" s="161">
        <v>12.699</v>
      </c>
      <c r="Q51" s="161">
        <f t="shared" si="4"/>
        <v>0</v>
      </c>
      <c r="R51" s="168"/>
      <c r="S51" s="168"/>
      <c r="T51" s="223"/>
      <c r="U51" s="222"/>
      <c r="V51" s="170">
        <f t="shared" si="5"/>
        <v>0</v>
      </c>
      <c r="W51" s="170">
        <f t="shared" si="6"/>
        <v>0</v>
      </c>
      <c r="X51" s="42"/>
      <c r="Y51" s="42"/>
      <c r="Z51" s="42"/>
      <c r="AA51" s="42"/>
      <c r="AB51" s="42"/>
    </row>
    <row r="52" ht="14.25" customHeight="1">
      <c r="A52" s="160">
        <v>51.0</v>
      </c>
      <c r="B52" s="160" t="s">
        <v>25</v>
      </c>
      <c r="C52" s="161" t="s">
        <v>76</v>
      </c>
      <c r="D52" s="164"/>
      <c r="E52" s="164"/>
      <c r="F52" s="161"/>
      <c r="G52" s="161"/>
      <c r="H52" s="161"/>
      <c r="I52" s="161">
        <f t="shared" si="1"/>
        <v>0</v>
      </c>
      <c r="J52" s="165"/>
      <c r="K52" s="165"/>
      <c r="L52" s="161">
        <f t="shared" si="2"/>
        <v>0</v>
      </c>
      <c r="M52" s="161">
        <f t="shared" si="3"/>
        <v>0</v>
      </c>
      <c r="N52" s="167"/>
      <c r="O52" s="161">
        <v>16.904</v>
      </c>
      <c r="P52" s="161">
        <v>12.699</v>
      </c>
      <c r="Q52" s="161">
        <f t="shared" si="4"/>
        <v>0</v>
      </c>
      <c r="R52" s="168"/>
      <c r="S52" s="168"/>
      <c r="T52" s="223"/>
      <c r="U52" s="222"/>
      <c r="V52" s="170">
        <f t="shared" si="5"/>
        <v>0</v>
      </c>
      <c r="W52" s="170">
        <f t="shared" si="6"/>
        <v>0</v>
      </c>
      <c r="X52" s="42"/>
      <c r="Y52" s="42"/>
      <c r="Z52" s="42"/>
      <c r="AA52" s="42"/>
      <c r="AB52" s="42"/>
    </row>
    <row r="53" ht="14.25" customHeight="1">
      <c r="A53" s="160">
        <v>52.0</v>
      </c>
      <c r="B53" s="160" t="s">
        <v>25</v>
      </c>
      <c r="C53" s="161" t="s">
        <v>77</v>
      </c>
      <c r="D53" s="164"/>
      <c r="E53" s="164"/>
      <c r="F53" s="161"/>
      <c r="G53" s="161"/>
      <c r="H53" s="161"/>
      <c r="I53" s="161">
        <f t="shared" si="1"/>
        <v>0</v>
      </c>
      <c r="J53" s="165"/>
      <c r="K53" s="165"/>
      <c r="L53" s="161">
        <f t="shared" si="2"/>
        <v>0</v>
      </c>
      <c r="M53" s="161">
        <f t="shared" si="3"/>
        <v>0</v>
      </c>
      <c r="N53" s="167"/>
      <c r="O53" s="161">
        <v>16.904</v>
      </c>
      <c r="P53" s="161">
        <v>12.699</v>
      </c>
      <c r="Q53" s="161">
        <f t="shared" si="4"/>
        <v>0</v>
      </c>
      <c r="R53" s="168"/>
      <c r="S53" s="168"/>
      <c r="T53" s="223"/>
      <c r="U53" s="222"/>
      <c r="V53" s="170">
        <f t="shared" si="5"/>
        <v>0</v>
      </c>
      <c r="W53" s="170">
        <f t="shared" si="6"/>
        <v>0</v>
      </c>
      <c r="X53" s="42"/>
      <c r="Y53" s="42"/>
      <c r="Z53" s="42"/>
      <c r="AA53" s="42"/>
      <c r="AB53" s="42"/>
    </row>
    <row r="54" ht="14.25" customHeight="1">
      <c r="A54" s="160">
        <v>53.0</v>
      </c>
      <c r="B54" s="160" t="s">
        <v>25</v>
      </c>
      <c r="C54" s="161" t="s">
        <v>78</v>
      </c>
      <c r="D54" s="164"/>
      <c r="E54" s="164"/>
      <c r="F54" s="161"/>
      <c r="G54" s="161"/>
      <c r="H54" s="161"/>
      <c r="I54" s="161">
        <f t="shared" si="1"/>
        <v>0</v>
      </c>
      <c r="J54" s="165"/>
      <c r="K54" s="165"/>
      <c r="L54" s="161">
        <f t="shared" si="2"/>
        <v>0</v>
      </c>
      <c r="M54" s="161">
        <f t="shared" si="3"/>
        <v>0</v>
      </c>
      <c r="N54" s="167"/>
      <c r="O54" s="161">
        <v>16.904</v>
      </c>
      <c r="P54" s="161">
        <v>12.699</v>
      </c>
      <c r="Q54" s="161">
        <f t="shared" si="4"/>
        <v>0</v>
      </c>
      <c r="R54" s="168"/>
      <c r="S54" s="168"/>
      <c r="T54" s="223"/>
      <c r="U54" s="222"/>
      <c r="V54" s="170">
        <f t="shared" si="5"/>
        <v>0</v>
      </c>
      <c r="W54" s="170">
        <f t="shared" si="6"/>
        <v>0</v>
      </c>
      <c r="X54" s="42"/>
      <c r="Y54" s="42"/>
      <c r="Z54" s="42"/>
      <c r="AA54" s="42"/>
      <c r="AB54" s="42"/>
    </row>
    <row r="55" ht="14.25" customHeight="1">
      <c r="A55" s="160">
        <v>54.0</v>
      </c>
      <c r="B55" s="160" t="s">
        <v>25</v>
      </c>
      <c r="C55" s="161" t="s">
        <v>79</v>
      </c>
      <c r="D55" s="164"/>
      <c r="E55" s="164"/>
      <c r="F55" s="161"/>
      <c r="G55" s="161"/>
      <c r="H55" s="161"/>
      <c r="I55" s="161">
        <f t="shared" si="1"/>
        <v>0</v>
      </c>
      <c r="J55" s="165"/>
      <c r="K55" s="165"/>
      <c r="L55" s="161">
        <f t="shared" si="2"/>
        <v>0</v>
      </c>
      <c r="M55" s="161">
        <f t="shared" si="3"/>
        <v>0</v>
      </c>
      <c r="N55" s="167"/>
      <c r="O55" s="161">
        <v>16.904</v>
      </c>
      <c r="P55" s="161">
        <v>12.699</v>
      </c>
      <c r="Q55" s="161">
        <f t="shared" si="4"/>
        <v>0</v>
      </c>
      <c r="R55" s="168"/>
      <c r="S55" s="168"/>
      <c r="T55" s="223"/>
      <c r="U55" s="222"/>
      <c r="V55" s="170">
        <f t="shared" si="5"/>
        <v>0</v>
      </c>
      <c r="W55" s="170">
        <f t="shared" si="6"/>
        <v>0</v>
      </c>
      <c r="X55" s="42"/>
      <c r="Y55" s="42"/>
      <c r="Z55" s="42"/>
      <c r="AA55" s="42"/>
      <c r="AB55" s="42"/>
    </row>
    <row r="56" ht="14.25" customHeight="1">
      <c r="A56" s="160">
        <v>55.0</v>
      </c>
      <c r="B56" s="160" t="s">
        <v>25</v>
      </c>
      <c r="C56" s="161" t="s">
        <v>80</v>
      </c>
      <c r="D56" s="164"/>
      <c r="E56" s="164"/>
      <c r="F56" s="161"/>
      <c r="G56" s="161"/>
      <c r="H56" s="161"/>
      <c r="I56" s="161">
        <f t="shared" si="1"/>
        <v>0</v>
      </c>
      <c r="J56" s="165"/>
      <c r="K56" s="165"/>
      <c r="L56" s="161">
        <f t="shared" si="2"/>
        <v>0</v>
      </c>
      <c r="M56" s="161">
        <f t="shared" si="3"/>
        <v>0</v>
      </c>
      <c r="N56" s="167"/>
      <c r="O56" s="161">
        <v>16.904</v>
      </c>
      <c r="P56" s="161">
        <v>12.699</v>
      </c>
      <c r="Q56" s="161">
        <f t="shared" si="4"/>
        <v>0</v>
      </c>
      <c r="R56" s="168"/>
      <c r="S56" s="168"/>
      <c r="T56" s="223"/>
      <c r="U56" s="222"/>
      <c r="V56" s="170">
        <f t="shared" si="5"/>
        <v>0</v>
      </c>
      <c r="W56" s="170">
        <f t="shared" si="6"/>
        <v>0</v>
      </c>
      <c r="X56" s="42"/>
      <c r="Y56" s="42"/>
      <c r="Z56" s="42"/>
      <c r="AA56" s="42"/>
      <c r="AB56" s="42"/>
    </row>
    <row r="57" ht="14.25" customHeight="1">
      <c r="A57" s="160">
        <v>56.0</v>
      </c>
      <c r="B57" s="160" t="s">
        <v>25</v>
      </c>
      <c r="C57" s="161" t="s">
        <v>81</v>
      </c>
      <c r="D57" s="164"/>
      <c r="E57" s="164"/>
      <c r="F57" s="161"/>
      <c r="G57" s="161"/>
      <c r="H57" s="161"/>
      <c r="I57" s="161">
        <f t="shared" si="1"/>
        <v>0</v>
      </c>
      <c r="J57" s="165"/>
      <c r="K57" s="165"/>
      <c r="L57" s="161">
        <f t="shared" si="2"/>
        <v>0</v>
      </c>
      <c r="M57" s="161">
        <f t="shared" si="3"/>
        <v>0</v>
      </c>
      <c r="N57" s="167"/>
      <c r="O57" s="161">
        <v>16.904</v>
      </c>
      <c r="P57" s="161">
        <v>12.699</v>
      </c>
      <c r="Q57" s="161">
        <f t="shared" si="4"/>
        <v>0</v>
      </c>
      <c r="R57" s="168"/>
      <c r="S57" s="168"/>
      <c r="T57" s="223"/>
      <c r="U57" s="222"/>
      <c r="V57" s="170">
        <f t="shared" si="5"/>
        <v>0</v>
      </c>
      <c r="W57" s="170">
        <f t="shared" si="6"/>
        <v>0</v>
      </c>
      <c r="X57" s="42"/>
      <c r="Y57" s="42"/>
      <c r="Z57" s="42"/>
      <c r="AA57" s="42"/>
      <c r="AB57" s="42"/>
    </row>
    <row r="58" ht="14.25" customHeight="1">
      <c r="A58" s="160">
        <v>57.0</v>
      </c>
      <c r="B58" s="160" t="s">
        <v>25</v>
      </c>
      <c r="C58" s="161" t="s">
        <v>82</v>
      </c>
      <c r="D58" s="164"/>
      <c r="E58" s="164"/>
      <c r="F58" s="161"/>
      <c r="G58" s="161"/>
      <c r="H58" s="161"/>
      <c r="I58" s="161">
        <f t="shared" si="1"/>
        <v>0</v>
      </c>
      <c r="J58" s="165"/>
      <c r="K58" s="165"/>
      <c r="L58" s="161">
        <f t="shared" si="2"/>
        <v>0</v>
      </c>
      <c r="M58" s="161">
        <f t="shared" si="3"/>
        <v>0</v>
      </c>
      <c r="N58" s="167"/>
      <c r="O58" s="161">
        <v>16.904</v>
      </c>
      <c r="P58" s="161">
        <v>12.699</v>
      </c>
      <c r="Q58" s="161">
        <f t="shared" si="4"/>
        <v>0</v>
      </c>
      <c r="R58" s="168"/>
      <c r="S58" s="168"/>
      <c r="T58" s="223"/>
      <c r="U58" s="222"/>
      <c r="V58" s="170">
        <f t="shared" si="5"/>
        <v>0</v>
      </c>
      <c r="W58" s="170">
        <f t="shared" si="6"/>
        <v>0</v>
      </c>
      <c r="X58" s="42"/>
      <c r="Y58" s="42"/>
      <c r="Z58" s="42"/>
      <c r="AA58" s="42"/>
      <c r="AB58" s="42"/>
    </row>
    <row r="59" ht="14.25" customHeight="1">
      <c r="A59" s="160">
        <v>58.0</v>
      </c>
      <c r="B59" s="160" t="s">
        <v>25</v>
      </c>
      <c r="C59" s="161" t="s">
        <v>83</v>
      </c>
      <c r="D59" s="164"/>
      <c r="E59" s="164"/>
      <c r="F59" s="161"/>
      <c r="G59" s="161"/>
      <c r="H59" s="161"/>
      <c r="I59" s="161">
        <f t="shared" si="1"/>
        <v>0</v>
      </c>
      <c r="J59" s="165"/>
      <c r="K59" s="165"/>
      <c r="L59" s="161">
        <f t="shared" si="2"/>
        <v>0</v>
      </c>
      <c r="M59" s="161">
        <f t="shared" si="3"/>
        <v>0</v>
      </c>
      <c r="N59" s="167"/>
      <c r="O59" s="161">
        <v>16.904</v>
      </c>
      <c r="P59" s="161">
        <v>12.699</v>
      </c>
      <c r="Q59" s="161">
        <f t="shared" si="4"/>
        <v>0</v>
      </c>
      <c r="R59" s="168"/>
      <c r="S59" s="168"/>
      <c r="T59" s="223"/>
      <c r="U59" s="222"/>
      <c r="V59" s="170">
        <f t="shared" si="5"/>
        <v>0</v>
      </c>
      <c r="W59" s="170">
        <f t="shared" si="6"/>
        <v>0</v>
      </c>
      <c r="X59" s="42"/>
      <c r="Y59" s="42"/>
      <c r="Z59" s="42"/>
      <c r="AA59" s="42"/>
      <c r="AB59" s="42"/>
    </row>
    <row r="60" ht="14.25" customHeight="1">
      <c r="A60" s="160">
        <v>59.0</v>
      </c>
      <c r="B60" s="160" t="s">
        <v>25</v>
      </c>
      <c r="C60" s="161" t="s">
        <v>84</v>
      </c>
      <c r="D60" s="164"/>
      <c r="E60" s="164"/>
      <c r="F60" s="161"/>
      <c r="G60" s="161"/>
      <c r="H60" s="161"/>
      <c r="I60" s="161">
        <f t="shared" si="1"/>
        <v>0</v>
      </c>
      <c r="J60" s="165"/>
      <c r="K60" s="165"/>
      <c r="L60" s="161">
        <f t="shared" si="2"/>
        <v>0</v>
      </c>
      <c r="M60" s="161">
        <f t="shared" si="3"/>
        <v>0</v>
      </c>
      <c r="N60" s="167"/>
      <c r="O60" s="161">
        <v>16.904</v>
      </c>
      <c r="P60" s="161">
        <v>12.699</v>
      </c>
      <c r="Q60" s="161">
        <f t="shared" si="4"/>
        <v>0</v>
      </c>
      <c r="R60" s="202"/>
      <c r="S60" s="202"/>
      <c r="T60" s="231"/>
      <c r="U60" s="255"/>
      <c r="V60" s="204">
        <f t="shared" si="5"/>
        <v>0</v>
      </c>
      <c r="W60" s="204">
        <f t="shared" si="6"/>
        <v>0</v>
      </c>
      <c r="X60" s="42"/>
      <c r="Y60" s="42"/>
      <c r="Z60" s="42"/>
      <c r="AA60" s="42"/>
      <c r="AB60" s="42"/>
    </row>
    <row r="61" ht="14.25" customHeight="1">
      <c r="A61" s="160">
        <v>60.0</v>
      </c>
      <c r="B61" s="160" t="s">
        <v>25</v>
      </c>
      <c r="C61" s="161" t="s">
        <v>85</v>
      </c>
      <c r="D61" s="164"/>
      <c r="E61" s="164"/>
      <c r="F61" s="161"/>
      <c r="G61" s="161"/>
      <c r="H61" s="161"/>
      <c r="I61" s="161">
        <f t="shared" si="1"/>
        <v>0</v>
      </c>
      <c r="J61" s="165"/>
      <c r="K61" s="165"/>
      <c r="L61" s="161">
        <f t="shared" si="2"/>
        <v>0</v>
      </c>
      <c r="M61" s="161">
        <f t="shared" si="3"/>
        <v>0</v>
      </c>
      <c r="N61" s="167"/>
      <c r="O61" s="161">
        <v>16.904</v>
      </c>
      <c r="P61" s="161">
        <v>12.699</v>
      </c>
      <c r="Q61" s="161">
        <f t="shared" si="4"/>
        <v>0</v>
      </c>
      <c r="R61" s="40"/>
      <c r="S61" s="40"/>
      <c r="T61" s="232"/>
      <c r="U61" s="232"/>
      <c r="V61" s="205">
        <f t="shared" si="5"/>
        <v>0</v>
      </c>
      <c r="W61" s="205">
        <f t="shared" si="6"/>
        <v>0</v>
      </c>
      <c r="X61" s="42"/>
      <c r="Y61" s="42"/>
      <c r="Z61" s="42"/>
      <c r="AA61" s="42"/>
      <c r="AB61" s="42"/>
    </row>
    <row r="62" ht="14.25" customHeight="1">
      <c r="A62" s="206"/>
      <c r="B62" s="207"/>
      <c r="C62" s="42"/>
      <c r="D62" s="208" t="s">
        <v>86</v>
      </c>
      <c r="E62" s="209">
        <f>SUM(M:M)</f>
        <v>0</v>
      </c>
      <c r="F62" s="42"/>
      <c r="G62" s="42"/>
      <c r="H62" s="42"/>
      <c r="I62" s="42"/>
      <c r="J62" s="42"/>
      <c r="K62" s="42"/>
      <c r="L62" s="42"/>
      <c r="M62" s="42"/>
      <c r="N62" s="210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</row>
    <row r="63" ht="14.25" customHeight="1">
      <c r="A63" s="206"/>
      <c r="B63" s="207"/>
      <c r="C63" s="42"/>
      <c r="D63" s="208" t="s">
        <v>87</v>
      </c>
      <c r="E63" s="209">
        <f>SUM(Q:Q)</f>
        <v>0</v>
      </c>
      <c r="F63" s="42"/>
      <c r="G63" s="42"/>
      <c r="H63" s="42"/>
      <c r="I63" s="42"/>
      <c r="J63" s="42"/>
      <c r="K63" s="42"/>
      <c r="L63" s="42"/>
      <c r="M63" s="42"/>
      <c r="N63" s="210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</row>
    <row r="64" ht="14.25" customHeight="1">
      <c r="A64" s="206"/>
      <c r="B64" s="207"/>
      <c r="C64" s="42"/>
      <c r="D64" s="208" t="s">
        <v>88</v>
      </c>
      <c r="E64" s="209" t="str">
        <f>E62/E63</f>
        <v>#DIV/0!</v>
      </c>
      <c r="F64" s="42"/>
      <c r="G64" s="42"/>
      <c r="H64" s="42"/>
      <c r="I64" s="42"/>
      <c r="J64" s="42"/>
      <c r="K64" s="42"/>
      <c r="L64" s="42"/>
      <c r="M64" s="42"/>
      <c r="N64" s="210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</row>
    <row r="65" ht="14.25" customHeight="1">
      <c r="A65" s="206"/>
      <c r="B65" s="207"/>
      <c r="C65" s="42"/>
      <c r="D65" s="211"/>
      <c r="E65" s="212"/>
      <c r="F65" s="42"/>
      <c r="G65" s="42"/>
      <c r="H65" s="42"/>
      <c r="I65" s="42"/>
      <c r="J65" s="42"/>
      <c r="K65" s="42"/>
      <c r="L65" s="42"/>
      <c r="M65" s="42"/>
      <c r="N65" s="210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</row>
    <row r="66" ht="14.25" customHeight="1">
      <c r="A66" s="206"/>
      <c r="B66" s="207"/>
      <c r="C66" s="42"/>
      <c r="D66" s="213" t="s">
        <v>89</v>
      </c>
      <c r="E66" s="214" t="str">
        <f>AVERAGEIF(Q:Q,"&gt;0",Q:Q)</f>
        <v>#DIV/0!</v>
      </c>
      <c r="F66" s="42"/>
      <c r="G66" s="42"/>
      <c r="H66" s="42"/>
      <c r="I66" s="42"/>
      <c r="J66" s="42"/>
      <c r="K66" s="42"/>
      <c r="L66" s="42"/>
      <c r="M66" s="42"/>
      <c r="N66" s="210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</row>
    <row r="67" ht="14.25" customHeight="1">
      <c r="A67" s="206"/>
      <c r="B67" s="207"/>
      <c r="C67" s="42"/>
      <c r="D67" s="158"/>
      <c r="E67" s="212"/>
      <c r="F67" s="42"/>
      <c r="G67" s="42"/>
      <c r="H67" s="42"/>
      <c r="I67" s="42"/>
      <c r="J67" s="42"/>
      <c r="K67" s="42"/>
      <c r="L67" s="42"/>
      <c r="M67" s="42"/>
      <c r="N67" s="210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</row>
    <row r="68" ht="14.25" customHeight="1">
      <c r="A68" s="206"/>
      <c r="B68" s="207"/>
      <c r="C68" s="42"/>
      <c r="D68" s="215" t="s">
        <v>90</v>
      </c>
      <c r="E68" s="216">
        <f>SUM(G:G)</f>
        <v>0</v>
      </c>
      <c r="F68" s="42"/>
      <c r="G68" s="42"/>
      <c r="H68" s="42"/>
      <c r="I68" s="42"/>
      <c r="J68" s="42"/>
      <c r="K68" s="42"/>
      <c r="L68" s="42"/>
      <c r="M68" s="42"/>
      <c r="N68" s="210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</row>
    <row r="69" ht="14.25" customHeight="1">
      <c r="A69" s="206"/>
      <c r="B69" s="207"/>
      <c r="C69" s="42"/>
      <c r="D69" s="215" t="s">
        <v>91</v>
      </c>
      <c r="E69" s="216">
        <f>SUM(H:H)</f>
        <v>0</v>
      </c>
      <c r="F69" s="42"/>
      <c r="G69" s="42"/>
      <c r="H69" s="42"/>
      <c r="I69" s="42"/>
      <c r="J69" s="42"/>
      <c r="K69" s="42"/>
      <c r="L69" s="42"/>
      <c r="M69" s="42"/>
      <c r="N69" s="210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</row>
    <row r="70" ht="14.25" customHeight="1">
      <c r="A70" s="206"/>
      <c r="B70" s="207"/>
      <c r="C70" s="42"/>
      <c r="D70" s="215" t="s">
        <v>92</v>
      </c>
      <c r="E70" s="216">
        <f>E69+E68</f>
        <v>0</v>
      </c>
      <c r="F70" s="42"/>
      <c r="G70" s="42"/>
      <c r="H70" s="42"/>
      <c r="I70" s="42"/>
      <c r="J70" s="42"/>
      <c r="K70" s="42"/>
      <c r="L70" s="42"/>
      <c r="M70" s="42"/>
      <c r="N70" s="210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</row>
    <row r="71" ht="14.25" customHeight="1">
      <c r="A71" s="206"/>
      <c r="B71" s="207"/>
      <c r="C71" s="42"/>
      <c r="D71" s="158"/>
      <c r="E71" s="212"/>
      <c r="F71" s="42"/>
      <c r="G71" s="42"/>
      <c r="H71" s="42"/>
      <c r="I71" s="42"/>
      <c r="J71" s="42"/>
      <c r="K71" s="42"/>
      <c r="L71" s="42"/>
      <c r="M71" s="42"/>
      <c r="N71" s="210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</row>
    <row r="72" ht="14.25" customHeight="1">
      <c r="A72" s="206"/>
      <c r="B72" s="207"/>
      <c r="C72" s="42"/>
      <c r="D72" s="217" t="s">
        <v>93</v>
      </c>
      <c r="E72" s="218">
        <f>SUM(I:I)</f>
        <v>0</v>
      </c>
      <c r="F72" s="42"/>
      <c r="G72" s="42"/>
      <c r="H72" s="42"/>
      <c r="I72" s="42"/>
      <c r="J72" s="42"/>
      <c r="K72" s="42"/>
      <c r="L72" s="42"/>
      <c r="M72" s="42"/>
      <c r="N72" s="210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</row>
    <row r="73" ht="14.25" customHeight="1">
      <c r="A73" s="206"/>
      <c r="B73" s="207"/>
      <c r="C73" s="42"/>
      <c r="D73" s="217" t="s">
        <v>94</v>
      </c>
      <c r="E73" s="218">
        <f>SUM(J:J)</f>
        <v>0</v>
      </c>
      <c r="F73" s="42"/>
      <c r="G73" s="42"/>
      <c r="H73" s="42"/>
      <c r="I73" s="42"/>
      <c r="J73" s="42"/>
      <c r="K73" s="42"/>
      <c r="L73" s="42"/>
      <c r="M73" s="42"/>
      <c r="N73" s="210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</row>
    <row r="74" ht="14.25" customHeight="1">
      <c r="A74" s="206"/>
      <c r="B74" s="207"/>
      <c r="C74" s="42"/>
      <c r="D74" s="217" t="s">
        <v>95</v>
      </c>
      <c r="E74" s="218">
        <f>E73+E72</f>
        <v>0</v>
      </c>
      <c r="F74" s="42"/>
      <c r="G74" s="42"/>
      <c r="H74" s="42"/>
      <c r="I74" s="42"/>
      <c r="J74" s="42"/>
      <c r="K74" s="42"/>
      <c r="L74" s="42"/>
      <c r="M74" s="42"/>
      <c r="N74" s="210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</row>
    <row r="75" ht="14.25" customHeight="1">
      <c r="A75" s="206"/>
      <c r="B75" s="207"/>
      <c r="C75" s="42"/>
      <c r="D75" s="158"/>
      <c r="E75" s="212"/>
      <c r="F75" s="42"/>
      <c r="G75" s="42"/>
      <c r="H75" s="42"/>
      <c r="I75" s="42"/>
      <c r="J75" s="42"/>
      <c r="K75" s="42"/>
      <c r="L75" s="42"/>
      <c r="M75" s="42"/>
      <c r="N75" s="210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</row>
    <row r="76" ht="14.25" customHeight="1">
      <c r="A76" s="206"/>
      <c r="B76" s="207"/>
      <c r="C76" s="42"/>
      <c r="D76" s="219" t="s">
        <v>11</v>
      </c>
      <c r="E76" s="220">
        <f t="shared" ref="E76:E77" si="7">E72+E68</f>
        <v>0</v>
      </c>
      <c r="F76" s="42"/>
      <c r="G76" s="42"/>
      <c r="H76" s="42"/>
      <c r="I76" s="42"/>
      <c r="J76" s="42"/>
      <c r="K76" s="42"/>
      <c r="L76" s="42"/>
      <c r="M76" s="42"/>
      <c r="N76" s="210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</row>
    <row r="77" ht="14.25" customHeight="1">
      <c r="A77" s="206"/>
      <c r="B77" s="207"/>
      <c r="C77" s="42"/>
      <c r="D77" s="219" t="s">
        <v>12</v>
      </c>
      <c r="E77" s="220">
        <f t="shared" si="7"/>
        <v>0</v>
      </c>
      <c r="F77" s="42"/>
      <c r="G77" s="42"/>
      <c r="H77" s="42"/>
      <c r="I77" s="42"/>
      <c r="J77" s="42"/>
      <c r="K77" s="42"/>
      <c r="L77" s="42"/>
      <c r="M77" s="42"/>
      <c r="N77" s="210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</row>
    <row r="78" ht="14.25" customHeight="1">
      <c r="A78" s="206"/>
      <c r="B78" s="207"/>
      <c r="C78" s="42"/>
      <c r="D78" s="221"/>
      <c r="E78" s="221"/>
      <c r="F78" s="42"/>
      <c r="G78" s="42"/>
      <c r="H78" s="42"/>
      <c r="I78" s="42"/>
      <c r="J78" s="42"/>
      <c r="K78" s="42"/>
      <c r="L78" s="42"/>
      <c r="M78" s="42"/>
      <c r="N78" s="210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</row>
    <row r="79" ht="14.25" customHeight="1">
      <c r="A79" s="206"/>
      <c r="B79" s="207"/>
      <c r="C79" s="42"/>
      <c r="D79" s="221"/>
      <c r="E79" s="221"/>
      <c r="F79" s="42"/>
      <c r="G79" s="42"/>
      <c r="H79" s="42"/>
      <c r="I79" s="42"/>
      <c r="J79" s="42"/>
      <c r="K79" s="42"/>
      <c r="L79" s="42"/>
      <c r="M79" s="42"/>
      <c r="N79" s="210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</row>
    <row r="80" ht="14.25" customHeight="1">
      <c r="A80" s="206"/>
      <c r="B80" s="207"/>
      <c r="C80" s="42"/>
      <c r="D80" s="221"/>
      <c r="E80" s="221"/>
      <c r="F80" s="42"/>
      <c r="G80" s="42"/>
      <c r="H80" s="42"/>
      <c r="I80" s="42"/>
      <c r="J80" s="42"/>
      <c r="K80" s="42"/>
      <c r="L80" s="42"/>
      <c r="M80" s="42"/>
      <c r="N80" s="210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</row>
    <row r="81" ht="14.25" customHeight="1">
      <c r="A81" s="206"/>
      <c r="B81" s="207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210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</row>
    <row r="82" ht="14.25" customHeight="1">
      <c r="A82" s="206"/>
      <c r="B82" s="207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210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</row>
    <row r="83" ht="14.25" customHeight="1">
      <c r="A83" s="206"/>
      <c r="B83" s="207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210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</row>
    <row r="84" ht="14.25" customHeight="1">
      <c r="A84" s="206"/>
      <c r="B84" s="207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210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</row>
    <row r="85" ht="14.25" customHeight="1">
      <c r="A85" s="206"/>
      <c r="B85" s="207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210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</row>
    <row r="86" ht="14.25" customHeight="1">
      <c r="A86" s="206"/>
      <c r="B86" s="207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210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</row>
    <row r="87" ht="14.25" customHeight="1">
      <c r="A87" s="206"/>
      <c r="B87" s="207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210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</row>
    <row r="88" ht="14.25" customHeight="1">
      <c r="A88" s="206"/>
      <c r="B88" s="207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210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</row>
    <row r="89" ht="14.25" customHeight="1">
      <c r="A89" s="206"/>
      <c r="B89" s="207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210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</row>
    <row r="90" ht="14.25" customHeight="1">
      <c r="A90" s="206"/>
      <c r="B90" s="207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210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</row>
    <row r="91" ht="14.25" customHeight="1">
      <c r="A91" s="206"/>
      <c r="B91" s="207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210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</row>
    <row r="92" ht="14.25" customHeight="1">
      <c r="A92" s="206"/>
      <c r="B92" s="207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210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</row>
    <row r="93" ht="14.25" customHeight="1">
      <c r="A93" s="206"/>
      <c r="B93" s="207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210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 ht="14.25" customHeight="1">
      <c r="A94" s="206"/>
      <c r="B94" s="207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210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</row>
    <row r="95" ht="14.25" customHeight="1">
      <c r="A95" s="206"/>
      <c r="B95" s="207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210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</row>
    <row r="96" ht="14.25" customHeight="1">
      <c r="A96" s="206"/>
      <c r="B96" s="207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210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</row>
    <row r="97" ht="14.25" customHeight="1">
      <c r="A97" s="206"/>
      <c r="B97" s="207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210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</row>
    <row r="98" ht="14.25" customHeight="1">
      <c r="A98" s="206"/>
      <c r="B98" s="207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210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</row>
    <row r="99" ht="14.25" customHeight="1">
      <c r="A99" s="206"/>
      <c r="B99" s="207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210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</row>
    <row r="100" ht="14.25" customHeight="1">
      <c r="A100" s="206"/>
      <c r="B100" s="207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210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</row>
    <row r="101" ht="14.25" customHeight="1">
      <c r="A101" s="206"/>
      <c r="B101" s="207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210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</row>
    <row r="102" ht="14.25" customHeight="1">
      <c r="A102" s="206"/>
      <c r="B102" s="207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210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</row>
    <row r="103" ht="14.25" customHeight="1">
      <c r="A103" s="206"/>
      <c r="B103" s="207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210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</row>
    <row r="104" ht="14.25" customHeight="1">
      <c r="A104" s="206"/>
      <c r="B104" s="207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210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</row>
    <row r="105" ht="14.25" customHeight="1">
      <c r="A105" s="206"/>
      <c r="B105" s="207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210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</row>
    <row r="106" ht="14.25" customHeight="1">
      <c r="A106" s="206"/>
      <c r="B106" s="207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210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 ht="14.25" customHeight="1">
      <c r="A107" s="206"/>
      <c r="B107" s="207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210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</row>
    <row r="108" ht="14.25" customHeight="1">
      <c r="A108" s="206"/>
      <c r="B108" s="207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210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</row>
    <row r="109" ht="14.25" customHeight="1">
      <c r="A109" s="206"/>
      <c r="B109" s="207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210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</row>
    <row r="110" ht="14.25" customHeight="1">
      <c r="A110" s="206"/>
      <c r="B110" s="207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210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</row>
    <row r="111" ht="14.25" customHeight="1">
      <c r="A111" s="206"/>
      <c r="B111" s="207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210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</row>
    <row r="112" ht="14.25" customHeight="1">
      <c r="A112" s="206"/>
      <c r="B112" s="207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210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 ht="14.25" customHeight="1">
      <c r="A113" s="206"/>
      <c r="B113" s="207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210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 ht="14.25" customHeight="1">
      <c r="A114" s="206"/>
      <c r="B114" s="207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210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 ht="14.25" customHeight="1">
      <c r="A115" s="206"/>
      <c r="B115" s="207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210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</row>
    <row r="116" ht="14.25" customHeight="1">
      <c r="A116" s="206"/>
      <c r="B116" s="207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210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</row>
    <row r="117" ht="14.25" customHeight="1">
      <c r="A117" s="206"/>
      <c r="B117" s="207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210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</row>
    <row r="118" ht="14.25" customHeight="1">
      <c r="A118" s="206"/>
      <c r="B118" s="207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210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</row>
    <row r="119" ht="14.25" customHeight="1">
      <c r="A119" s="206"/>
      <c r="B119" s="207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210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</row>
    <row r="120" ht="14.25" customHeight="1">
      <c r="A120" s="206"/>
      <c r="B120" s="207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210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</row>
    <row r="121" ht="14.25" customHeight="1">
      <c r="A121" s="206"/>
      <c r="B121" s="207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210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 ht="14.25" customHeight="1">
      <c r="A122" s="206"/>
      <c r="B122" s="207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210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</row>
    <row r="123" ht="14.25" customHeight="1">
      <c r="A123" s="206"/>
      <c r="B123" s="207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210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 ht="14.25" customHeight="1">
      <c r="A124" s="206"/>
      <c r="B124" s="207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210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 ht="14.25" customHeight="1">
      <c r="A125" s="206"/>
      <c r="B125" s="207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210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</row>
    <row r="126" ht="14.25" customHeight="1">
      <c r="A126" s="206"/>
      <c r="B126" s="207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210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</row>
    <row r="127" ht="14.25" customHeight="1">
      <c r="A127" s="206"/>
      <c r="B127" s="207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210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</row>
    <row r="128" ht="14.25" customHeight="1">
      <c r="A128" s="206"/>
      <c r="B128" s="207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210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</row>
    <row r="129" ht="14.25" customHeight="1">
      <c r="A129" s="206"/>
      <c r="B129" s="207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210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</row>
    <row r="130" ht="14.25" customHeight="1">
      <c r="A130" s="206"/>
      <c r="B130" s="207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210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</row>
    <row r="131" ht="14.25" customHeight="1">
      <c r="A131" s="206"/>
      <c r="B131" s="207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210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</row>
    <row r="132" ht="14.25" customHeight="1">
      <c r="A132" s="206"/>
      <c r="B132" s="207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210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</row>
    <row r="133" ht="14.25" customHeight="1">
      <c r="A133" s="206"/>
      <c r="B133" s="207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210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</row>
    <row r="134" ht="14.25" customHeight="1">
      <c r="A134" s="206"/>
      <c r="B134" s="207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210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</row>
    <row r="135" ht="14.25" customHeight="1">
      <c r="A135" s="206"/>
      <c r="B135" s="207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210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</row>
    <row r="136" ht="14.25" customHeight="1">
      <c r="A136" s="206"/>
      <c r="B136" s="207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210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</row>
    <row r="137" ht="14.25" customHeight="1">
      <c r="A137" s="206"/>
      <c r="B137" s="207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210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</row>
    <row r="138" ht="14.25" customHeight="1">
      <c r="A138" s="206"/>
      <c r="B138" s="207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210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</row>
    <row r="139" ht="14.25" customHeight="1">
      <c r="A139" s="206"/>
      <c r="B139" s="207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210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</row>
    <row r="140" ht="14.25" customHeight="1">
      <c r="A140" s="206"/>
      <c r="B140" s="207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210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</row>
    <row r="141" ht="14.25" customHeight="1">
      <c r="A141" s="206"/>
      <c r="B141" s="207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210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</row>
    <row r="142" ht="14.25" customHeight="1">
      <c r="A142" s="206"/>
      <c r="B142" s="207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210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</row>
    <row r="143" ht="14.25" customHeight="1">
      <c r="A143" s="206"/>
      <c r="B143" s="207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210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</row>
    <row r="144" ht="14.25" customHeight="1">
      <c r="A144" s="206"/>
      <c r="B144" s="207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210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</row>
    <row r="145" ht="14.25" customHeight="1">
      <c r="A145" s="206"/>
      <c r="B145" s="207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210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</row>
    <row r="146" ht="14.25" customHeight="1">
      <c r="A146" s="206"/>
      <c r="B146" s="207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210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</row>
    <row r="147" ht="14.25" customHeight="1">
      <c r="A147" s="206"/>
      <c r="B147" s="207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210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</row>
    <row r="148" ht="14.25" customHeight="1">
      <c r="A148" s="206"/>
      <c r="B148" s="207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210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</row>
    <row r="149" ht="14.25" customHeight="1">
      <c r="A149" s="206"/>
      <c r="B149" s="207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210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</row>
    <row r="150" ht="14.25" customHeight="1">
      <c r="A150" s="206"/>
      <c r="B150" s="207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210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</row>
    <row r="151" ht="14.25" customHeight="1">
      <c r="A151" s="206"/>
      <c r="B151" s="207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210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</row>
    <row r="152" ht="14.25" customHeight="1">
      <c r="A152" s="206"/>
      <c r="B152" s="207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210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</row>
    <row r="153" ht="14.25" customHeight="1">
      <c r="A153" s="206"/>
      <c r="B153" s="207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210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</row>
    <row r="154" ht="14.25" customHeight="1">
      <c r="A154" s="206"/>
      <c r="B154" s="207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210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</row>
    <row r="155" ht="14.25" customHeight="1">
      <c r="A155" s="206"/>
      <c r="B155" s="207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210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</row>
    <row r="156" ht="14.25" customHeight="1">
      <c r="A156" s="206"/>
      <c r="B156" s="207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210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</row>
    <row r="157" ht="14.25" customHeight="1">
      <c r="A157" s="206"/>
      <c r="B157" s="207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210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 ht="14.25" customHeight="1">
      <c r="A158" s="206"/>
      <c r="B158" s="207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210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</row>
    <row r="159" ht="14.25" customHeight="1">
      <c r="A159" s="206"/>
      <c r="B159" s="207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210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</row>
    <row r="160" ht="14.25" customHeight="1">
      <c r="A160" s="206"/>
      <c r="B160" s="207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210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</row>
    <row r="161" ht="14.25" customHeight="1">
      <c r="A161" s="206"/>
      <c r="B161" s="207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210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</row>
    <row r="162" ht="14.25" customHeight="1">
      <c r="A162" s="206"/>
      <c r="B162" s="207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210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</row>
    <row r="163" ht="14.25" customHeight="1">
      <c r="A163" s="206"/>
      <c r="B163" s="207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210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</row>
    <row r="164" ht="14.25" customHeight="1">
      <c r="A164" s="206"/>
      <c r="B164" s="207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210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</row>
    <row r="165" ht="14.25" customHeight="1">
      <c r="A165" s="206"/>
      <c r="B165" s="207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210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</row>
    <row r="166" ht="14.25" customHeight="1">
      <c r="A166" s="206"/>
      <c r="B166" s="207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210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</row>
    <row r="167" ht="14.25" customHeight="1">
      <c r="A167" s="206"/>
      <c r="B167" s="207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210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</row>
    <row r="168" ht="14.25" customHeight="1">
      <c r="A168" s="206"/>
      <c r="B168" s="207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210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</row>
    <row r="169" ht="14.25" customHeight="1">
      <c r="A169" s="206"/>
      <c r="B169" s="207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210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</row>
    <row r="170" ht="14.25" customHeight="1">
      <c r="A170" s="206"/>
      <c r="B170" s="207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210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</row>
    <row r="171" ht="14.25" customHeight="1">
      <c r="A171" s="206"/>
      <c r="B171" s="207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210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</row>
    <row r="172" ht="14.25" customHeight="1">
      <c r="A172" s="206"/>
      <c r="B172" s="207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210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</row>
    <row r="173" ht="14.25" customHeight="1">
      <c r="A173" s="206"/>
      <c r="B173" s="207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210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</row>
    <row r="174" ht="14.25" customHeight="1">
      <c r="A174" s="206"/>
      <c r="B174" s="207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210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</row>
    <row r="175" ht="14.25" customHeight="1">
      <c r="A175" s="206"/>
      <c r="B175" s="207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210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</row>
    <row r="176" ht="14.25" customHeight="1">
      <c r="A176" s="206"/>
      <c r="B176" s="207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210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</row>
    <row r="177" ht="14.25" customHeight="1">
      <c r="A177" s="206"/>
      <c r="B177" s="207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210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</row>
    <row r="178" ht="14.25" customHeight="1">
      <c r="A178" s="206"/>
      <c r="B178" s="207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210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</row>
    <row r="179" ht="14.25" customHeight="1">
      <c r="A179" s="206"/>
      <c r="B179" s="207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210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</row>
    <row r="180" ht="14.25" customHeight="1">
      <c r="A180" s="206"/>
      <c r="B180" s="207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210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</row>
    <row r="181" ht="14.25" customHeight="1">
      <c r="A181" s="206"/>
      <c r="B181" s="207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210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</row>
    <row r="182" ht="14.25" customHeight="1">
      <c r="A182" s="206"/>
      <c r="B182" s="207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210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</row>
    <row r="183" ht="14.25" customHeight="1">
      <c r="A183" s="206"/>
      <c r="B183" s="207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210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</row>
    <row r="184" ht="14.25" customHeight="1">
      <c r="A184" s="206"/>
      <c r="B184" s="207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210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</row>
    <row r="185" ht="14.25" customHeight="1">
      <c r="A185" s="206"/>
      <c r="B185" s="207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210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</row>
    <row r="186" ht="14.25" customHeight="1">
      <c r="A186" s="206"/>
      <c r="B186" s="207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210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</row>
    <row r="187" ht="14.25" customHeight="1">
      <c r="A187" s="206"/>
      <c r="B187" s="207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210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</row>
    <row r="188" ht="14.25" customHeight="1">
      <c r="A188" s="206"/>
      <c r="B188" s="207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210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</row>
    <row r="189" ht="14.25" customHeight="1">
      <c r="A189" s="206"/>
      <c r="B189" s="207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210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</row>
    <row r="190" ht="14.25" customHeight="1">
      <c r="A190" s="206"/>
      <c r="B190" s="207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210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</row>
    <row r="191" ht="14.25" customHeight="1">
      <c r="A191" s="206"/>
      <c r="B191" s="207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210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</row>
    <row r="192" ht="14.25" customHeight="1">
      <c r="A192" s="206"/>
      <c r="B192" s="207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210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</row>
    <row r="193" ht="14.25" customHeight="1">
      <c r="A193" s="206"/>
      <c r="B193" s="207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210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</row>
    <row r="194" ht="14.25" customHeight="1">
      <c r="A194" s="206"/>
      <c r="B194" s="207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210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</row>
    <row r="195" ht="14.25" customHeight="1">
      <c r="A195" s="206"/>
      <c r="B195" s="207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210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</row>
    <row r="196" ht="14.25" customHeight="1">
      <c r="A196" s="206"/>
      <c r="B196" s="207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210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</row>
    <row r="197" ht="14.25" customHeight="1">
      <c r="A197" s="206"/>
      <c r="B197" s="207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210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</row>
    <row r="198" ht="14.25" customHeight="1">
      <c r="A198" s="206"/>
      <c r="B198" s="207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210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</row>
    <row r="199" ht="14.25" customHeight="1">
      <c r="A199" s="206"/>
      <c r="B199" s="207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210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</row>
    <row r="200" ht="14.25" customHeight="1">
      <c r="A200" s="206"/>
      <c r="B200" s="207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210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</row>
    <row r="201" ht="14.25" customHeight="1">
      <c r="A201" s="206"/>
      <c r="B201" s="207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210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</row>
    <row r="202" ht="14.25" customHeight="1">
      <c r="A202" s="206"/>
      <c r="B202" s="207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210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 ht="14.25" customHeight="1">
      <c r="A203" s="206"/>
      <c r="B203" s="207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210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</row>
    <row r="204" ht="14.25" customHeight="1">
      <c r="A204" s="206"/>
      <c r="B204" s="207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210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</row>
    <row r="205" ht="14.25" customHeight="1">
      <c r="A205" s="206"/>
      <c r="B205" s="207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210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</row>
    <row r="206" ht="14.25" customHeight="1">
      <c r="A206" s="206"/>
      <c r="B206" s="207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210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</row>
    <row r="207" ht="14.25" customHeight="1">
      <c r="A207" s="206"/>
      <c r="B207" s="207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210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</row>
    <row r="208" ht="14.25" customHeight="1">
      <c r="A208" s="206"/>
      <c r="B208" s="207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210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</row>
    <row r="209" ht="14.25" customHeight="1">
      <c r="A209" s="206"/>
      <c r="B209" s="207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210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</row>
    <row r="210" ht="14.25" customHeight="1">
      <c r="A210" s="206"/>
      <c r="B210" s="207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210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</row>
    <row r="211" ht="14.25" customHeight="1">
      <c r="A211" s="206"/>
      <c r="B211" s="207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210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</row>
    <row r="212" ht="14.25" customHeight="1">
      <c r="A212" s="206"/>
      <c r="B212" s="207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210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</row>
    <row r="213" ht="14.25" customHeight="1">
      <c r="A213" s="206"/>
      <c r="B213" s="207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210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</row>
    <row r="214" ht="14.25" customHeight="1">
      <c r="A214" s="206"/>
      <c r="B214" s="207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210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</row>
    <row r="215" ht="14.25" customHeight="1">
      <c r="A215" s="206"/>
      <c r="B215" s="207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210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</row>
    <row r="216" ht="14.25" customHeight="1">
      <c r="A216" s="206"/>
      <c r="B216" s="207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210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</row>
    <row r="217" ht="14.25" customHeight="1">
      <c r="A217" s="206"/>
      <c r="B217" s="207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210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</row>
    <row r="218" ht="14.25" customHeight="1">
      <c r="A218" s="206"/>
      <c r="B218" s="207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210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</row>
    <row r="219" ht="14.25" customHeight="1">
      <c r="A219" s="206"/>
      <c r="B219" s="207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210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</row>
    <row r="220" ht="14.25" customHeight="1">
      <c r="A220" s="206"/>
      <c r="B220" s="207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210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</row>
    <row r="221" ht="14.25" customHeight="1">
      <c r="A221" s="206"/>
      <c r="B221" s="207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210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</row>
    <row r="222" ht="14.25" customHeight="1">
      <c r="A222" s="206"/>
      <c r="B222" s="207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210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</row>
    <row r="223" ht="14.25" customHeight="1">
      <c r="A223" s="206"/>
      <c r="B223" s="207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210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</row>
    <row r="224" ht="14.25" customHeight="1">
      <c r="A224" s="206"/>
      <c r="B224" s="207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210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</row>
    <row r="225" ht="14.25" customHeight="1">
      <c r="A225" s="206"/>
      <c r="B225" s="207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210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</row>
    <row r="226" ht="14.25" customHeight="1">
      <c r="A226" s="206"/>
      <c r="B226" s="207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210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</row>
    <row r="227" ht="14.25" customHeight="1">
      <c r="A227" s="206"/>
      <c r="B227" s="207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210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</row>
    <row r="228" ht="14.25" customHeight="1">
      <c r="A228" s="206"/>
      <c r="B228" s="207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210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</row>
    <row r="229" ht="14.25" customHeight="1">
      <c r="A229" s="206"/>
      <c r="B229" s="207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210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</row>
    <row r="230" ht="14.25" customHeight="1">
      <c r="A230" s="206"/>
      <c r="B230" s="207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210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</row>
    <row r="231" ht="14.25" customHeight="1">
      <c r="A231" s="206"/>
      <c r="B231" s="207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210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</row>
    <row r="232" ht="14.25" customHeight="1">
      <c r="A232" s="206"/>
      <c r="B232" s="207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210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</row>
    <row r="233" ht="14.25" customHeight="1">
      <c r="A233" s="206"/>
      <c r="B233" s="207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210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</row>
    <row r="234" ht="14.25" customHeight="1">
      <c r="A234" s="206"/>
      <c r="B234" s="207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210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</row>
    <row r="235" ht="14.25" customHeight="1">
      <c r="A235" s="206"/>
      <c r="B235" s="207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210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</row>
    <row r="236" ht="14.25" customHeight="1">
      <c r="A236" s="206"/>
      <c r="B236" s="207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210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</row>
    <row r="237" ht="14.25" customHeight="1">
      <c r="A237" s="206"/>
      <c r="B237" s="207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210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</row>
    <row r="238" ht="14.25" customHeight="1">
      <c r="A238" s="206"/>
      <c r="B238" s="207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210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</row>
    <row r="239" ht="14.25" customHeight="1">
      <c r="A239" s="206"/>
      <c r="B239" s="207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210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</row>
    <row r="240" ht="14.25" customHeight="1">
      <c r="A240" s="206"/>
      <c r="B240" s="207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210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</row>
    <row r="241" ht="14.25" customHeight="1">
      <c r="A241" s="206"/>
      <c r="B241" s="207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210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</row>
    <row r="242" ht="14.25" customHeight="1">
      <c r="A242" s="206"/>
      <c r="B242" s="207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210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</row>
    <row r="243" ht="14.25" customHeight="1">
      <c r="A243" s="206"/>
      <c r="B243" s="207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210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</row>
    <row r="244" ht="14.25" customHeight="1">
      <c r="A244" s="206"/>
      <c r="B244" s="207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210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</row>
    <row r="245" ht="14.25" customHeight="1">
      <c r="A245" s="206"/>
      <c r="B245" s="207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210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</row>
    <row r="246" ht="14.25" customHeight="1">
      <c r="A246" s="206"/>
      <c r="B246" s="207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210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</row>
    <row r="247" ht="14.25" customHeight="1">
      <c r="A247" s="206"/>
      <c r="B247" s="207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210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</row>
    <row r="248" ht="14.25" customHeight="1">
      <c r="A248" s="206"/>
      <c r="B248" s="207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210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</row>
    <row r="249" ht="14.25" customHeight="1">
      <c r="A249" s="206"/>
      <c r="B249" s="207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210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</row>
    <row r="250" ht="14.25" customHeight="1">
      <c r="A250" s="206"/>
      <c r="B250" s="207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210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</row>
    <row r="251" ht="14.25" customHeight="1">
      <c r="A251" s="206"/>
      <c r="B251" s="207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210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</row>
    <row r="252" ht="14.25" customHeight="1">
      <c r="A252" s="206"/>
      <c r="B252" s="207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210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</row>
    <row r="253" ht="14.25" customHeight="1">
      <c r="A253" s="206"/>
      <c r="B253" s="207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210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</row>
    <row r="254" ht="14.25" customHeight="1">
      <c r="A254" s="206"/>
      <c r="B254" s="207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210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</row>
    <row r="255" ht="14.25" customHeight="1">
      <c r="A255" s="206"/>
      <c r="B255" s="207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210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</row>
    <row r="256" ht="14.25" customHeight="1">
      <c r="A256" s="206"/>
      <c r="B256" s="207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210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</row>
    <row r="257" ht="14.25" customHeight="1">
      <c r="A257" s="206"/>
      <c r="B257" s="207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210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</row>
    <row r="258" ht="14.25" customHeight="1">
      <c r="A258" s="206"/>
      <c r="B258" s="207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210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</row>
    <row r="259" ht="14.25" customHeight="1">
      <c r="A259" s="206"/>
      <c r="B259" s="207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210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</row>
    <row r="260" ht="14.25" customHeight="1">
      <c r="A260" s="206"/>
      <c r="B260" s="207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210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</row>
    <row r="261" ht="14.25" customHeight="1">
      <c r="A261" s="206"/>
      <c r="B261" s="207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210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</row>
    <row r="262" ht="14.25" customHeight="1">
      <c r="A262" s="206"/>
      <c r="B262" s="207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210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</row>
    <row r="263" ht="14.25" customHeight="1">
      <c r="A263" s="206"/>
      <c r="B263" s="207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210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</row>
    <row r="264" ht="14.25" customHeight="1">
      <c r="A264" s="206"/>
      <c r="B264" s="207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210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</row>
    <row r="265" ht="14.25" customHeight="1">
      <c r="A265" s="206"/>
      <c r="B265" s="207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210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</row>
    <row r="266" ht="14.25" customHeight="1">
      <c r="A266" s="206"/>
      <c r="B266" s="207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210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</row>
    <row r="267" ht="14.25" customHeight="1">
      <c r="A267" s="206"/>
      <c r="B267" s="207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210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</row>
    <row r="268" ht="14.25" customHeight="1">
      <c r="A268" s="206"/>
      <c r="B268" s="207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210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</row>
    <row r="269" ht="14.25" customHeight="1">
      <c r="A269" s="206"/>
      <c r="B269" s="207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210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</row>
    <row r="270" ht="14.25" customHeight="1">
      <c r="A270" s="206"/>
      <c r="B270" s="207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210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</row>
    <row r="271" ht="14.25" customHeight="1">
      <c r="A271" s="206"/>
      <c r="B271" s="207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210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</row>
    <row r="272" ht="14.25" customHeight="1">
      <c r="A272" s="206"/>
      <c r="B272" s="207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210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</row>
    <row r="273" ht="14.25" customHeight="1">
      <c r="A273" s="206"/>
      <c r="B273" s="207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210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</row>
    <row r="274" ht="14.25" customHeight="1">
      <c r="A274" s="206"/>
      <c r="B274" s="207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210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</row>
    <row r="275" ht="14.25" customHeight="1">
      <c r="A275" s="206"/>
      <c r="B275" s="207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210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</row>
    <row r="276" ht="14.25" customHeight="1">
      <c r="A276" s="206"/>
      <c r="B276" s="207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210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</row>
    <row r="277" ht="14.25" customHeight="1">
      <c r="A277" s="206"/>
      <c r="B277" s="207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210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</row>
    <row r="278" ht="15.75" customHeight="1">
      <c r="A278" s="207"/>
      <c r="B278" s="207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210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</row>
    <row r="279" ht="15.75" customHeight="1">
      <c r="A279" s="207"/>
      <c r="B279" s="207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210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</row>
    <row r="280" ht="15.75" customHeight="1">
      <c r="A280" s="207"/>
      <c r="B280" s="207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210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</row>
    <row r="281" ht="15.75" customHeight="1">
      <c r="A281" s="207"/>
      <c r="B281" s="207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210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</row>
    <row r="282" ht="15.75" customHeight="1">
      <c r="A282" s="207"/>
      <c r="B282" s="207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210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</row>
    <row r="283" ht="15.75" customHeight="1">
      <c r="A283" s="207"/>
      <c r="B283" s="207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210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</row>
    <row r="284" ht="15.75" customHeight="1">
      <c r="A284" s="207"/>
      <c r="B284" s="207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210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</row>
    <row r="285" ht="15.75" customHeight="1">
      <c r="A285" s="207"/>
      <c r="B285" s="207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210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</row>
    <row r="286" ht="15.75" customHeight="1">
      <c r="A286" s="207"/>
      <c r="B286" s="207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210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</row>
    <row r="287" ht="15.75" customHeight="1">
      <c r="A287" s="207"/>
      <c r="B287" s="207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210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</row>
    <row r="288" ht="15.75" customHeight="1">
      <c r="A288" s="207"/>
      <c r="B288" s="207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210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</row>
    <row r="289" ht="15.75" customHeight="1">
      <c r="A289" s="207"/>
      <c r="B289" s="207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210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</row>
    <row r="290" ht="15.75" customHeight="1">
      <c r="A290" s="207"/>
      <c r="B290" s="207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210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</row>
    <row r="291" ht="15.75" customHeight="1">
      <c r="A291" s="207"/>
      <c r="B291" s="207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210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</row>
    <row r="292" ht="15.75" customHeight="1">
      <c r="A292" s="207"/>
      <c r="B292" s="207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210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</row>
    <row r="293" ht="15.75" customHeight="1">
      <c r="A293" s="207"/>
      <c r="B293" s="207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210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</row>
    <row r="294" ht="15.75" customHeight="1">
      <c r="A294" s="207"/>
      <c r="B294" s="207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210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</row>
    <row r="295" ht="15.75" customHeight="1">
      <c r="A295" s="207"/>
      <c r="B295" s="207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210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</row>
    <row r="296" ht="15.75" customHeight="1">
      <c r="A296" s="207"/>
      <c r="B296" s="207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210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</row>
    <row r="297" ht="15.75" customHeight="1">
      <c r="A297" s="207"/>
      <c r="B297" s="207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210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</row>
    <row r="298" ht="15.75" customHeight="1">
      <c r="A298" s="207"/>
      <c r="B298" s="207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210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</row>
    <row r="299" ht="15.75" customHeight="1">
      <c r="A299" s="207"/>
      <c r="B299" s="207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210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</row>
    <row r="300" ht="15.75" customHeight="1">
      <c r="A300" s="207"/>
      <c r="B300" s="207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210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</row>
    <row r="301" ht="15.75" customHeight="1">
      <c r="A301" s="207"/>
      <c r="B301" s="207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210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</row>
    <row r="302" ht="15.75" customHeight="1">
      <c r="A302" s="207"/>
      <c r="B302" s="207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210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</row>
    <row r="303" ht="15.75" customHeight="1">
      <c r="A303" s="207"/>
      <c r="B303" s="207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210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</row>
    <row r="304" ht="15.75" customHeight="1">
      <c r="A304" s="207"/>
      <c r="B304" s="207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210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</row>
    <row r="305" ht="15.75" customHeight="1">
      <c r="A305" s="207"/>
      <c r="B305" s="207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210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</row>
    <row r="306" ht="15.75" customHeight="1">
      <c r="A306" s="207"/>
      <c r="B306" s="207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210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</row>
    <row r="307" ht="15.75" customHeight="1">
      <c r="A307" s="207"/>
      <c r="B307" s="207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210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</row>
    <row r="308" ht="15.75" customHeight="1">
      <c r="A308" s="207"/>
      <c r="B308" s="207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210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</row>
    <row r="309" ht="15.75" customHeight="1">
      <c r="A309" s="207"/>
      <c r="B309" s="207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210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</row>
    <row r="310" ht="15.75" customHeight="1">
      <c r="A310" s="207"/>
      <c r="B310" s="207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210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</row>
    <row r="311" ht="15.75" customHeight="1">
      <c r="A311" s="207"/>
      <c r="B311" s="207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210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</row>
    <row r="312" ht="15.75" customHeight="1">
      <c r="A312" s="207"/>
      <c r="B312" s="207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210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</row>
    <row r="313" ht="15.75" customHeight="1">
      <c r="A313" s="207"/>
      <c r="B313" s="207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210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</row>
    <row r="314" ht="15.75" customHeight="1">
      <c r="A314" s="207"/>
      <c r="B314" s="207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210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</row>
    <row r="315" ht="15.75" customHeight="1">
      <c r="A315" s="207"/>
      <c r="B315" s="207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210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</row>
    <row r="316" ht="15.75" customHeight="1">
      <c r="A316" s="207"/>
      <c r="B316" s="207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210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</row>
    <row r="317" ht="15.75" customHeight="1">
      <c r="A317" s="207"/>
      <c r="B317" s="207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210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</row>
    <row r="318" ht="15.75" customHeight="1">
      <c r="A318" s="207"/>
      <c r="B318" s="207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210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</row>
    <row r="319" ht="15.75" customHeight="1">
      <c r="A319" s="207"/>
      <c r="B319" s="207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210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</row>
    <row r="320" ht="15.75" customHeight="1">
      <c r="A320" s="207"/>
      <c r="B320" s="207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210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</row>
    <row r="321" ht="15.75" customHeight="1">
      <c r="A321" s="207"/>
      <c r="B321" s="207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210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</row>
    <row r="322" ht="15.75" customHeight="1">
      <c r="A322" s="207"/>
      <c r="B322" s="207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210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</row>
    <row r="323" ht="15.75" customHeight="1">
      <c r="A323" s="207"/>
      <c r="B323" s="207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210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</row>
    <row r="324" ht="15.75" customHeight="1">
      <c r="A324" s="207"/>
      <c r="B324" s="207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210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</row>
    <row r="325" ht="15.75" customHeight="1">
      <c r="A325" s="207"/>
      <c r="B325" s="207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210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</row>
    <row r="326" ht="15.75" customHeight="1">
      <c r="A326" s="207"/>
      <c r="B326" s="207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210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</row>
    <row r="327" ht="15.75" customHeight="1">
      <c r="A327" s="207"/>
      <c r="B327" s="207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210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</row>
    <row r="328" ht="15.75" customHeight="1">
      <c r="A328" s="207"/>
      <c r="B328" s="207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210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</row>
    <row r="329" ht="15.75" customHeight="1">
      <c r="A329" s="207"/>
      <c r="B329" s="207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210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</row>
    <row r="330" ht="15.75" customHeight="1">
      <c r="A330" s="207"/>
      <c r="B330" s="207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210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</row>
    <row r="331" ht="15.75" customHeight="1">
      <c r="A331" s="207"/>
      <c r="B331" s="207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210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</row>
    <row r="332" ht="15.75" customHeight="1">
      <c r="A332" s="207"/>
      <c r="B332" s="207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210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</row>
    <row r="333" ht="15.75" customHeight="1">
      <c r="A333" s="207"/>
      <c r="B333" s="207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210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</row>
    <row r="334" ht="15.75" customHeight="1">
      <c r="A334" s="207"/>
      <c r="B334" s="207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210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</row>
    <row r="335" ht="15.75" customHeight="1">
      <c r="A335" s="207"/>
      <c r="B335" s="207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210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</row>
    <row r="336" ht="15.75" customHeight="1">
      <c r="A336" s="207"/>
      <c r="B336" s="207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210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</row>
    <row r="337" ht="15.75" customHeight="1">
      <c r="A337" s="207"/>
      <c r="B337" s="207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210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</row>
    <row r="338" ht="15.75" customHeight="1">
      <c r="A338" s="207"/>
      <c r="B338" s="207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210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</row>
    <row r="339" ht="15.75" customHeight="1">
      <c r="A339" s="207"/>
      <c r="B339" s="207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210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</row>
    <row r="340" ht="15.75" customHeight="1">
      <c r="A340" s="207"/>
      <c r="B340" s="207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210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</row>
    <row r="341" ht="15.75" customHeight="1">
      <c r="A341" s="207"/>
      <c r="B341" s="207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210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</row>
    <row r="342" ht="15.75" customHeight="1">
      <c r="A342" s="207"/>
      <c r="B342" s="207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210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</row>
    <row r="343" ht="15.75" customHeight="1">
      <c r="A343" s="207"/>
      <c r="B343" s="207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210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</row>
    <row r="344" ht="15.75" customHeight="1">
      <c r="A344" s="207"/>
      <c r="B344" s="207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210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</row>
    <row r="345" ht="15.75" customHeight="1">
      <c r="A345" s="207"/>
      <c r="B345" s="207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210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</row>
    <row r="346" ht="15.75" customHeight="1">
      <c r="A346" s="207"/>
      <c r="B346" s="207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210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</row>
    <row r="347" ht="15.75" customHeight="1">
      <c r="A347" s="207"/>
      <c r="B347" s="207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210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</row>
    <row r="348" ht="15.75" customHeight="1">
      <c r="A348" s="207"/>
      <c r="B348" s="207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210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</row>
    <row r="349" ht="15.75" customHeight="1">
      <c r="A349" s="207"/>
      <c r="B349" s="207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210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</row>
    <row r="350" ht="15.75" customHeight="1">
      <c r="A350" s="207"/>
      <c r="B350" s="207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210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</row>
    <row r="351" ht="15.75" customHeight="1">
      <c r="A351" s="207"/>
      <c r="B351" s="207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210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</row>
    <row r="352" ht="15.75" customHeight="1">
      <c r="A352" s="207"/>
      <c r="B352" s="207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210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</row>
    <row r="353" ht="15.75" customHeight="1">
      <c r="A353" s="207"/>
      <c r="B353" s="207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210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</row>
    <row r="354" ht="15.75" customHeight="1">
      <c r="A354" s="207"/>
      <c r="B354" s="207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210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</row>
    <row r="355" ht="15.75" customHeight="1">
      <c r="A355" s="207"/>
      <c r="B355" s="207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210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</row>
    <row r="356" ht="15.75" customHeight="1">
      <c r="A356" s="207"/>
      <c r="B356" s="207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210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</row>
    <row r="357" ht="15.75" customHeight="1">
      <c r="A357" s="207"/>
      <c r="B357" s="207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210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</row>
    <row r="358" ht="15.75" customHeight="1">
      <c r="A358" s="207"/>
      <c r="B358" s="207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210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</row>
    <row r="359" ht="15.75" customHeight="1">
      <c r="A359" s="207"/>
      <c r="B359" s="207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210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</row>
    <row r="360" ht="15.75" customHeight="1">
      <c r="A360" s="207"/>
      <c r="B360" s="207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210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</row>
    <row r="361" ht="15.75" customHeight="1">
      <c r="A361" s="207"/>
      <c r="B361" s="207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210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</row>
    <row r="362" ht="15.75" customHeight="1">
      <c r="A362" s="207"/>
      <c r="B362" s="207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210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</row>
    <row r="363" ht="15.75" customHeight="1">
      <c r="A363" s="207"/>
      <c r="B363" s="207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210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</row>
    <row r="364" ht="15.75" customHeight="1">
      <c r="A364" s="207"/>
      <c r="B364" s="207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210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</row>
    <row r="365" ht="15.75" customHeight="1">
      <c r="A365" s="207"/>
      <c r="B365" s="207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210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</row>
    <row r="366" ht="15.75" customHeight="1">
      <c r="A366" s="207"/>
      <c r="B366" s="207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210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</row>
    <row r="367" ht="15.75" customHeight="1">
      <c r="A367" s="207"/>
      <c r="B367" s="207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210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</row>
    <row r="368" ht="15.75" customHeight="1">
      <c r="A368" s="207"/>
      <c r="B368" s="207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210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</row>
    <row r="369" ht="15.75" customHeight="1">
      <c r="A369" s="207"/>
      <c r="B369" s="207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210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</row>
    <row r="370" ht="15.75" customHeight="1">
      <c r="A370" s="207"/>
      <c r="B370" s="207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210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</row>
    <row r="371" ht="15.75" customHeight="1">
      <c r="A371" s="207"/>
      <c r="B371" s="207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210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</row>
    <row r="372" ht="15.75" customHeight="1">
      <c r="A372" s="207"/>
      <c r="B372" s="207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210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</row>
    <row r="373" ht="15.75" customHeight="1">
      <c r="A373" s="207"/>
      <c r="B373" s="207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210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</row>
    <row r="374" ht="15.75" customHeight="1">
      <c r="A374" s="207"/>
      <c r="B374" s="207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210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</row>
    <row r="375" ht="15.75" customHeight="1">
      <c r="A375" s="207"/>
      <c r="B375" s="207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210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</row>
    <row r="376" ht="15.75" customHeight="1">
      <c r="A376" s="207"/>
      <c r="B376" s="207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210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</row>
    <row r="377" ht="15.75" customHeight="1">
      <c r="A377" s="207"/>
      <c r="B377" s="207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210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</row>
    <row r="378" ht="15.75" customHeight="1">
      <c r="A378" s="207"/>
      <c r="B378" s="207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210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</row>
    <row r="379" ht="15.75" customHeight="1">
      <c r="A379" s="207"/>
      <c r="B379" s="207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210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</row>
    <row r="380" ht="15.75" customHeight="1">
      <c r="A380" s="207"/>
      <c r="B380" s="207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210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</row>
    <row r="381" ht="15.75" customHeight="1">
      <c r="A381" s="207"/>
      <c r="B381" s="207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210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</row>
    <row r="382" ht="15.75" customHeight="1">
      <c r="A382" s="207"/>
      <c r="B382" s="207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210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</row>
    <row r="383" ht="15.75" customHeight="1">
      <c r="A383" s="207"/>
      <c r="B383" s="207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210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</row>
    <row r="384" ht="15.75" customHeight="1">
      <c r="A384" s="207"/>
      <c r="B384" s="207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210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</row>
    <row r="385" ht="15.75" customHeight="1">
      <c r="A385" s="207"/>
      <c r="B385" s="207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210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</row>
    <row r="386" ht="15.75" customHeight="1">
      <c r="A386" s="207"/>
      <c r="B386" s="207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210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</row>
    <row r="387" ht="15.75" customHeight="1">
      <c r="A387" s="207"/>
      <c r="B387" s="207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210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</row>
    <row r="388" ht="15.75" customHeight="1">
      <c r="A388" s="207"/>
      <c r="B388" s="207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210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</row>
    <row r="389" ht="15.75" customHeight="1">
      <c r="A389" s="207"/>
      <c r="B389" s="207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210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</row>
    <row r="390" ht="15.75" customHeight="1">
      <c r="A390" s="207"/>
      <c r="B390" s="207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210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</row>
    <row r="391" ht="15.75" customHeight="1">
      <c r="A391" s="207"/>
      <c r="B391" s="207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210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</row>
    <row r="392" ht="15.75" customHeight="1">
      <c r="A392" s="207"/>
      <c r="B392" s="207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210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</row>
    <row r="393" ht="15.75" customHeight="1">
      <c r="A393" s="207"/>
      <c r="B393" s="207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210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</row>
    <row r="394" ht="15.75" customHeight="1">
      <c r="A394" s="207"/>
      <c r="B394" s="207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210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</row>
    <row r="395" ht="15.75" customHeight="1">
      <c r="A395" s="207"/>
      <c r="B395" s="207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210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</row>
    <row r="396" ht="15.75" customHeight="1">
      <c r="A396" s="207"/>
      <c r="B396" s="207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210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</row>
    <row r="397" ht="15.75" customHeight="1">
      <c r="A397" s="207"/>
      <c r="B397" s="207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210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</row>
    <row r="398" ht="15.75" customHeight="1">
      <c r="A398" s="207"/>
      <c r="B398" s="207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210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</row>
    <row r="399" ht="15.75" customHeight="1">
      <c r="A399" s="207"/>
      <c r="B399" s="207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210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</row>
    <row r="400" ht="15.75" customHeight="1">
      <c r="A400" s="207"/>
      <c r="B400" s="207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210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</row>
    <row r="401" ht="15.75" customHeight="1">
      <c r="A401" s="207"/>
      <c r="B401" s="207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210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</row>
    <row r="402" ht="15.75" customHeight="1">
      <c r="A402" s="207"/>
      <c r="B402" s="207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210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</row>
    <row r="403" ht="15.75" customHeight="1">
      <c r="A403" s="207"/>
      <c r="B403" s="207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210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</row>
    <row r="404" ht="15.75" customHeight="1">
      <c r="A404" s="207"/>
      <c r="B404" s="207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210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</row>
    <row r="405" ht="15.75" customHeight="1">
      <c r="A405" s="207"/>
      <c r="B405" s="207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210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</row>
    <row r="406" ht="15.75" customHeight="1">
      <c r="A406" s="207"/>
      <c r="B406" s="207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210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</row>
    <row r="407" ht="15.75" customHeight="1">
      <c r="A407" s="207"/>
      <c r="B407" s="207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210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</row>
    <row r="408" ht="15.75" customHeight="1">
      <c r="A408" s="207"/>
      <c r="B408" s="207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210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</row>
    <row r="409" ht="15.75" customHeight="1">
      <c r="A409" s="207"/>
      <c r="B409" s="207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210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</row>
    <row r="410" ht="15.75" customHeight="1">
      <c r="A410" s="207"/>
      <c r="B410" s="207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210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</row>
    <row r="411" ht="15.75" customHeight="1">
      <c r="A411" s="207"/>
      <c r="B411" s="207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210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</row>
    <row r="412" ht="15.75" customHeight="1">
      <c r="A412" s="207"/>
      <c r="B412" s="207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210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</row>
    <row r="413" ht="15.75" customHeight="1">
      <c r="A413" s="207"/>
      <c r="B413" s="207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210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</row>
    <row r="414" ht="15.75" customHeight="1">
      <c r="A414" s="207"/>
      <c r="B414" s="207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210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</row>
    <row r="415" ht="15.75" customHeight="1">
      <c r="A415" s="207"/>
      <c r="B415" s="207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210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</row>
    <row r="416" ht="15.75" customHeight="1">
      <c r="A416" s="207"/>
      <c r="B416" s="207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210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</row>
    <row r="417" ht="15.75" customHeight="1">
      <c r="A417" s="207"/>
      <c r="B417" s="207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210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</row>
    <row r="418" ht="15.75" customHeight="1">
      <c r="A418" s="207"/>
      <c r="B418" s="207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210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</row>
    <row r="419" ht="15.75" customHeight="1">
      <c r="A419" s="207"/>
      <c r="B419" s="207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210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</row>
    <row r="420" ht="15.75" customHeight="1">
      <c r="A420" s="207"/>
      <c r="B420" s="207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210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</row>
    <row r="421" ht="15.75" customHeight="1">
      <c r="A421" s="207"/>
      <c r="B421" s="207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210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</row>
    <row r="422" ht="15.75" customHeight="1">
      <c r="A422" s="207"/>
      <c r="B422" s="207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210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</row>
    <row r="423" ht="15.75" customHeight="1">
      <c r="A423" s="207"/>
      <c r="B423" s="207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210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</row>
    <row r="424" ht="15.75" customHeight="1">
      <c r="A424" s="207"/>
      <c r="B424" s="207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210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</row>
    <row r="425" ht="15.75" customHeight="1">
      <c r="A425" s="207"/>
      <c r="B425" s="207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210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</row>
    <row r="426" ht="15.75" customHeight="1">
      <c r="A426" s="207"/>
      <c r="B426" s="207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210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</row>
    <row r="427" ht="15.75" customHeight="1">
      <c r="A427" s="207"/>
      <c r="B427" s="207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210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</row>
    <row r="428" ht="15.75" customHeight="1">
      <c r="A428" s="207"/>
      <c r="B428" s="207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210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</row>
    <row r="429" ht="15.75" customHeight="1">
      <c r="A429" s="207"/>
      <c r="B429" s="207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210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</row>
    <row r="430" ht="15.75" customHeight="1">
      <c r="A430" s="207"/>
      <c r="B430" s="207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210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</row>
    <row r="431" ht="15.75" customHeight="1">
      <c r="A431" s="207"/>
      <c r="B431" s="207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210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</row>
    <row r="432" ht="15.75" customHeight="1">
      <c r="A432" s="207"/>
      <c r="B432" s="207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210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</row>
    <row r="433" ht="15.75" customHeight="1">
      <c r="A433" s="207"/>
      <c r="B433" s="207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210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</row>
    <row r="434" ht="15.75" customHeight="1">
      <c r="A434" s="207"/>
      <c r="B434" s="207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210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</row>
    <row r="435" ht="15.75" customHeight="1">
      <c r="A435" s="207"/>
      <c r="B435" s="207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210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</row>
    <row r="436" ht="15.75" customHeight="1">
      <c r="A436" s="207"/>
      <c r="B436" s="207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210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</row>
    <row r="437" ht="15.75" customHeight="1">
      <c r="A437" s="207"/>
      <c r="B437" s="207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210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</row>
    <row r="438" ht="15.75" customHeight="1">
      <c r="A438" s="207"/>
      <c r="B438" s="207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210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</row>
    <row r="439" ht="15.75" customHeight="1">
      <c r="A439" s="207"/>
      <c r="B439" s="207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210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</row>
    <row r="440" ht="15.75" customHeight="1">
      <c r="A440" s="207"/>
      <c r="B440" s="207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210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</row>
    <row r="441" ht="15.75" customHeight="1">
      <c r="A441" s="207"/>
      <c r="B441" s="207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210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</row>
    <row r="442" ht="15.75" customHeight="1">
      <c r="A442" s="207"/>
      <c r="B442" s="207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210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</row>
    <row r="443" ht="15.75" customHeight="1">
      <c r="A443" s="207"/>
      <c r="B443" s="207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210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</row>
    <row r="444" ht="15.75" customHeight="1">
      <c r="A444" s="207"/>
      <c r="B444" s="207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210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</row>
    <row r="445" ht="15.75" customHeight="1">
      <c r="A445" s="207"/>
      <c r="B445" s="207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210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</row>
    <row r="446" ht="15.75" customHeight="1">
      <c r="A446" s="207"/>
      <c r="B446" s="207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210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</row>
    <row r="447" ht="15.75" customHeight="1">
      <c r="A447" s="207"/>
      <c r="B447" s="207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210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</row>
    <row r="448" ht="15.75" customHeight="1">
      <c r="A448" s="207"/>
      <c r="B448" s="207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210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</row>
    <row r="449" ht="15.75" customHeight="1">
      <c r="A449" s="207"/>
      <c r="B449" s="207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210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</row>
    <row r="450" ht="15.75" customHeight="1">
      <c r="A450" s="207"/>
      <c r="B450" s="207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210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</row>
    <row r="451" ht="15.75" customHeight="1">
      <c r="A451" s="207"/>
      <c r="B451" s="207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210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</row>
    <row r="452" ht="15.75" customHeight="1">
      <c r="A452" s="207"/>
      <c r="B452" s="207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210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</row>
    <row r="453" ht="15.75" customHeight="1">
      <c r="A453" s="207"/>
      <c r="B453" s="207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210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</row>
    <row r="454" ht="15.75" customHeight="1">
      <c r="A454" s="207"/>
      <c r="B454" s="207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210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</row>
    <row r="455" ht="15.75" customHeight="1">
      <c r="A455" s="207"/>
      <c r="B455" s="207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210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</row>
    <row r="456" ht="15.75" customHeight="1">
      <c r="A456" s="207"/>
      <c r="B456" s="207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210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</row>
    <row r="457" ht="15.75" customHeight="1">
      <c r="A457" s="207"/>
      <c r="B457" s="207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210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</row>
    <row r="458" ht="15.75" customHeight="1">
      <c r="A458" s="207"/>
      <c r="B458" s="207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210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</row>
    <row r="459" ht="15.75" customHeight="1">
      <c r="A459" s="207"/>
      <c r="B459" s="207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210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</row>
    <row r="460" ht="15.75" customHeight="1">
      <c r="A460" s="207"/>
      <c r="B460" s="207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210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</row>
    <row r="461" ht="15.75" customHeight="1">
      <c r="A461" s="207"/>
      <c r="B461" s="207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210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</row>
    <row r="462" ht="15.75" customHeight="1">
      <c r="A462" s="207"/>
      <c r="B462" s="207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210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</row>
    <row r="463" ht="15.75" customHeight="1">
      <c r="A463" s="207"/>
      <c r="B463" s="207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210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</row>
    <row r="464" ht="15.75" customHeight="1">
      <c r="A464" s="207"/>
      <c r="B464" s="207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210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</row>
    <row r="465" ht="15.75" customHeight="1">
      <c r="A465" s="207"/>
      <c r="B465" s="207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210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</row>
    <row r="466" ht="15.75" customHeight="1">
      <c r="A466" s="207"/>
      <c r="B466" s="207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210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</row>
    <row r="467" ht="15.75" customHeight="1">
      <c r="A467" s="207"/>
      <c r="B467" s="207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210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</row>
    <row r="468" ht="15.75" customHeight="1">
      <c r="A468" s="207"/>
      <c r="B468" s="207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210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</row>
    <row r="469" ht="15.75" customHeight="1">
      <c r="A469" s="207"/>
      <c r="B469" s="207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210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</row>
    <row r="470" ht="15.75" customHeight="1">
      <c r="A470" s="207"/>
      <c r="B470" s="207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210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</row>
    <row r="471" ht="15.75" customHeight="1">
      <c r="A471" s="207"/>
      <c r="B471" s="207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210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</row>
    <row r="472" ht="15.75" customHeight="1">
      <c r="A472" s="207"/>
      <c r="B472" s="207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210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</row>
    <row r="473" ht="15.75" customHeight="1">
      <c r="A473" s="207"/>
      <c r="B473" s="207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210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</row>
    <row r="474" ht="15.75" customHeight="1">
      <c r="A474" s="207"/>
      <c r="B474" s="207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210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</row>
    <row r="475" ht="15.75" customHeight="1">
      <c r="A475" s="207"/>
      <c r="B475" s="207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210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</row>
    <row r="476" ht="15.75" customHeight="1">
      <c r="A476" s="207"/>
      <c r="B476" s="207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210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</row>
    <row r="477" ht="15.75" customHeight="1">
      <c r="A477" s="207"/>
      <c r="B477" s="207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210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</row>
    <row r="478" ht="15.75" customHeight="1">
      <c r="A478" s="207"/>
      <c r="B478" s="207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210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</row>
    <row r="479" ht="15.75" customHeight="1">
      <c r="A479" s="207"/>
      <c r="B479" s="207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210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</row>
    <row r="480" ht="15.75" customHeight="1">
      <c r="A480" s="207"/>
      <c r="B480" s="207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210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</row>
    <row r="481" ht="15.75" customHeight="1">
      <c r="A481" s="207"/>
      <c r="B481" s="207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210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</row>
    <row r="482" ht="15.75" customHeight="1">
      <c r="A482" s="207"/>
      <c r="B482" s="207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210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</row>
    <row r="483" ht="15.75" customHeight="1">
      <c r="A483" s="207"/>
      <c r="B483" s="207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210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</row>
    <row r="484" ht="15.75" customHeight="1">
      <c r="A484" s="207"/>
      <c r="B484" s="207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210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</row>
    <row r="485" ht="15.75" customHeight="1">
      <c r="A485" s="207"/>
      <c r="B485" s="207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210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</row>
    <row r="486" ht="15.75" customHeight="1">
      <c r="A486" s="207"/>
      <c r="B486" s="207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210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</row>
    <row r="487" ht="15.75" customHeight="1">
      <c r="A487" s="207"/>
      <c r="B487" s="207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210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</row>
    <row r="488" ht="15.75" customHeight="1">
      <c r="A488" s="207"/>
      <c r="B488" s="207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210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</row>
    <row r="489" ht="15.75" customHeight="1">
      <c r="A489" s="207"/>
      <c r="B489" s="207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210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</row>
    <row r="490" ht="15.75" customHeight="1">
      <c r="A490" s="207"/>
      <c r="B490" s="207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210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</row>
    <row r="491" ht="15.75" customHeight="1">
      <c r="A491" s="207"/>
      <c r="B491" s="207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210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</row>
    <row r="492" ht="15.75" customHeight="1">
      <c r="A492" s="207"/>
      <c r="B492" s="207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210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</row>
    <row r="493" ht="15.75" customHeight="1">
      <c r="A493" s="207"/>
      <c r="B493" s="207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210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</row>
    <row r="494" ht="15.75" customHeight="1">
      <c r="A494" s="207"/>
      <c r="B494" s="207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210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</row>
    <row r="495" ht="15.75" customHeight="1">
      <c r="A495" s="207"/>
      <c r="B495" s="207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210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</row>
    <row r="496" ht="15.75" customHeight="1">
      <c r="A496" s="207"/>
      <c r="B496" s="207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210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</row>
    <row r="497" ht="15.75" customHeight="1">
      <c r="A497" s="207"/>
      <c r="B497" s="207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210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</row>
    <row r="498" ht="15.75" customHeight="1">
      <c r="A498" s="207"/>
      <c r="B498" s="207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210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</row>
    <row r="499" ht="15.75" customHeight="1">
      <c r="A499" s="207"/>
      <c r="B499" s="207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210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</row>
    <row r="500" ht="15.75" customHeight="1">
      <c r="A500" s="207"/>
      <c r="B500" s="207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210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</row>
    <row r="501" ht="15.75" customHeight="1">
      <c r="A501" s="207"/>
      <c r="B501" s="207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210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</row>
    <row r="502" ht="15.75" customHeight="1">
      <c r="A502" s="207"/>
      <c r="B502" s="207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210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</row>
    <row r="503" ht="15.75" customHeight="1">
      <c r="A503" s="207"/>
      <c r="B503" s="207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210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</row>
    <row r="504" ht="15.75" customHeight="1">
      <c r="A504" s="207"/>
      <c r="B504" s="207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210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</row>
    <row r="505" ht="15.75" customHeight="1">
      <c r="A505" s="207"/>
      <c r="B505" s="207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210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</row>
    <row r="506" ht="15.75" customHeight="1">
      <c r="A506" s="207"/>
      <c r="B506" s="207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210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</row>
    <row r="507" ht="15.75" customHeight="1">
      <c r="A507" s="207"/>
      <c r="B507" s="207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210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</row>
    <row r="508" ht="15.75" customHeight="1">
      <c r="A508" s="207"/>
      <c r="B508" s="207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210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</row>
    <row r="509" ht="15.75" customHeight="1">
      <c r="A509" s="207"/>
      <c r="B509" s="207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210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</row>
    <row r="510" ht="15.75" customHeight="1">
      <c r="A510" s="207"/>
      <c r="B510" s="207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210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</row>
    <row r="511" ht="15.75" customHeight="1">
      <c r="A511" s="207"/>
      <c r="B511" s="207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210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</row>
    <row r="512" ht="15.75" customHeight="1">
      <c r="A512" s="207"/>
      <c r="B512" s="207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210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</row>
    <row r="513" ht="15.75" customHeight="1">
      <c r="A513" s="207"/>
      <c r="B513" s="207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210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</row>
    <row r="514" ht="15.75" customHeight="1">
      <c r="A514" s="207"/>
      <c r="B514" s="207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210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</row>
    <row r="515" ht="15.75" customHeight="1">
      <c r="A515" s="207"/>
      <c r="B515" s="207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210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</row>
    <row r="516" ht="15.75" customHeight="1">
      <c r="A516" s="207"/>
      <c r="B516" s="207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210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</row>
    <row r="517" ht="15.75" customHeight="1">
      <c r="A517" s="207"/>
      <c r="B517" s="207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210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</row>
    <row r="518" ht="15.75" customHeight="1">
      <c r="A518" s="207"/>
      <c r="B518" s="207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210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</row>
    <row r="519" ht="15.75" customHeight="1">
      <c r="A519" s="207"/>
      <c r="B519" s="207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210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</row>
    <row r="520" ht="15.75" customHeight="1">
      <c r="A520" s="207"/>
      <c r="B520" s="207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210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</row>
    <row r="521" ht="15.75" customHeight="1">
      <c r="A521" s="207"/>
      <c r="B521" s="207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210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</row>
    <row r="522" ht="15.75" customHeight="1">
      <c r="A522" s="207"/>
      <c r="B522" s="207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210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</row>
    <row r="523" ht="15.75" customHeight="1">
      <c r="A523" s="207"/>
      <c r="B523" s="207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210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</row>
    <row r="524" ht="15.75" customHeight="1">
      <c r="A524" s="207"/>
      <c r="B524" s="207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210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</row>
    <row r="525" ht="15.75" customHeight="1">
      <c r="A525" s="207"/>
      <c r="B525" s="207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210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</row>
    <row r="526" ht="15.75" customHeight="1">
      <c r="A526" s="207"/>
      <c r="B526" s="207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210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</row>
    <row r="527" ht="15.75" customHeight="1">
      <c r="A527" s="207"/>
      <c r="B527" s="207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210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</row>
    <row r="528" ht="15.75" customHeight="1">
      <c r="A528" s="207"/>
      <c r="B528" s="207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210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</row>
    <row r="529" ht="15.75" customHeight="1">
      <c r="A529" s="207"/>
      <c r="B529" s="207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210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</row>
    <row r="530" ht="15.75" customHeight="1">
      <c r="A530" s="207"/>
      <c r="B530" s="207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210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</row>
    <row r="531" ht="15.75" customHeight="1">
      <c r="A531" s="207"/>
      <c r="B531" s="207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210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</row>
    <row r="532" ht="15.75" customHeight="1">
      <c r="A532" s="207"/>
      <c r="B532" s="207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210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</row>
    <row r="533" ht="15.75" customHeight="1">
      <c r="A533" s="207"/>
      <c r="B533" s="207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210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</row>
    <row r="534" ht="15.75" customHeight="1">
      <c r="A534" s="207"/>
      <c r="B534" s="207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210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</row>
    <row r="535" ht="15.75" customHeight="1">
      <c r="A535" s="207"/>
      <c r="B535" s="207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210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</row>
    <row r="536" ht="15.75" customHeight="1">
      <c r="A536" s="207"/>
      <c r="B536" s="207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210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</row>
    <row r="537" ht="15.75" customHeight="1">
      <c r="A537" s="207"/>
      <c r="B537" s="207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210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</row>
    <row r="538" ht="15.75" customHeight="1">
      <c r="A538" s="207"/>
      <c r="B538" s="207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210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</row>
    <row r="539" ht="15.75" customHeight="1">
      <c r="A539" s="207"/>
      <c r="B539" s="207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210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</row>
    <row r="540" ht="15.75" customHeight="1">
      <c r="A540" s="207"/>
      <c r="B540" s="207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210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</row>
    <row r="541" ht="15.75" customHeight="1">
      <c r="A541" s="207"/>
      <c r="B541" s="207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210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</row>
    <row r="542" ht="15.75" customHeight="1">
      <c r="A542" s="207"/>
      <c r="B542" s="207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210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</row>
    <row r="543" ht="15.75" customHeight="1">
      <c r="A543" s="207"/>
      <c r="B543" s="207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210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</row>
    <row r="544" ht="15.75" customHeight="1">
      <c r="A544" s="207"/>
      <c r="B544" s="207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210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</row>
    <row r="545" ht="15.75" customHeight="1">
      <c r="A545" s="207"/>
      <c r="B545" s="207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210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</row>
    <row r="546" ht="15.75" customHeight="1">
      <c r="A546" s="207"/>
      <c r="B546" s="207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210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</row>
    <row r="547" ht="15.75" customHeight="1">
      <c r="A547" s="207"/>
      <c r="B547" s="207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210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</row>
    <row r="548" ht="15.75" customHeight="1">
      <c r="A548" s="207"/>
      <c r="B548" s="207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210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</row>
    <row r="549" ht="15.75" customHeight="1">
      <c r="A549" s="207"/>
      <c r="B549" s="207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210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</row>
    <row r="550" ht="15.75" customHeight="1">
      <c r="A550" s="207"/>
      <c r="B550" s="207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210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</row>
    <row r="551" ht="15.75" customHeight="1">
      <c r="A551" s="207"/>
      <c r="B551" s="207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210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</row>
    <row r="552" ht="15.75" customHeight="1">
      <c r="A552" s="207"/>
      <c r="B552" s="207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210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</row>
    <row r="553" ht="15.75" customHeight="1">
      <c r="A553" s="207"/>
      <c r="B553" s="207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210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</row>
    <row r="554" ht="15.75" customHeight="1">
      <c r="A554" s="207"/>
      <c r="B554" s="207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210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</row>
    <row r="555" ht="15.75" customHeight="1">
      <c r="A555" s="207"/>
      <c r="B555" s="207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210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</row>
    <row r="556" ht="15.75" customHeight="1">
      <c r="A556" s="207"/>
      <c r="B556" s="207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210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</row>
    <row r="557" ht="15.75" customHeight="1">
      <c r="A557" s="207"/>
      <c r="B557" s="207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210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</row>
    <row r="558" ht="15.75" customHeight="1">
      <c r="A558" s="207"/>
      <c r="B558" s="207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210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</row>
    <row r="559" ht="15.75" customHeight="1">
      <c r="A559" s="207"/>
      <c r="B559" s="207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210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</row>
    <row r="560" ht="15.75" customHeight="1">
      <c r="A560" s="207"/>
      <c r="B560" s="207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210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</row>
    <row r="561" ht="15.75" customHeight="1">
      <c r="A561" s="207"/>
      <c r="B561" s="207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210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</row>
    <row r="562" ht="15.75" customHeight="1">
      <c r="A562" s="207"/>
      <c r="B562" s="207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210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</row>
    <row r="563" ht="15.75" customHeight="1">
      <c r="A563" s="207"/>
      <c r="B563" s="207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210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</row>
    <row r="564" ht="15.75" customHeight="1">
      <c r="A564" s="207"/>
      <c r="B564" s="207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210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</row>
    <row r="565" ht="15.75" customHeight="1">
      <c r="A565" s="207"/>
      <c r="B565" s="207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210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</row>
    <row r="566" ht="15.75" customHeight="1">
      <c r="A566" s="207"/>
      <c r="B566" s="207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210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</row>
    <row r="567" ht="15.75" customHeight="1">
      <c r="A567" s="207"/>
      <c r="B567" s="207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210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</row>
    <row r="568" ht="15.75" customHeight="1">
      <c r="A568" s="207"/>
      <c r="B568" s="207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210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</row>
    <row r="569" ht="15.75" customHeight="1">
      <c r="A569" s="207"/>
      <c r="B569" s="207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210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</row>
    <row r="570" ht="15.75" customHeight="1">
      <c r="A570" s="207"/>
      <c r="B570" s="207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210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</row>
    <row r="571" ht="15.75" customHeight="1">
      <c r="A571" s="207"/>
      <c r="B571" s="207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210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</row>
    <row r="572" ht="15.75" customHeight="1">
      <c r="A572" s="207"/>
      <c r="B572" s="207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210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</row>
    <row r="573" ht="15.75" customHeight="1">
      <c r="A573" s="207"/>
      <c r="B573" s="207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210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</row>
    <row r="574" ht="15.75" customHeight="1">
      <c r="A574" s="207"/>
      <c r="B574" s="207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210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</row>
    <row r="575" ht="15.75" customHeight="1">
      <c r="A575" s="207"/>
      <c r="B575" s="207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210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</row>
    <row r="576" ht="15.75" customHeight="1">
      <c r="A576" s="207"/>
      <c r="B576" s="207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210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</row>
    <row r="577" ht="15.75" customHeight="1">
      <c r="A577" s="207"/>
      <c r="B577" s="207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210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</row>
    <row r="578" ht="15.75" customHeight="1">
      <c r="A578" s="207"/>
      <c r="B578" s="207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210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</row>
    <row r="579" ht="15.75" customHeight="1">
      <c r="A579" s="207"/>
      <c r="B579" s="207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210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</row>
    <row r="580" ht="15.75" customHeight="1">
      <c r="A580" s="207"/>
      <c r="B580" s="207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210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</row>
    <row r="581" ht="15.75" customHeight="1">
      <c r="A581" s="207"/>
      <c r="B581" s="207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210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</row>
    <row r="582" ht="15.75" customHeight="1">
      <c r="A582" s="207"/>
      <c r="B582" s="207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210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</row>
    <row r="583" ht="15.75" customHeight="1">
      <c r="A583" s="207"/>
      <c r="B583" s="207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210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</row>
    <row r="584" ht="15.75" customHeight="1">
      <c r="A584" s="207"/>
      <c r="B584" s="207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210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</row>
    <row r="585" ht="15.75" customHeight="1">
      <c r="A585" s="207"/>
      <c r="B585" s="207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210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</row>
    <row r="586" ht="15.75" customHeight="1">
      <c r="A586" s="207"/>
      <c r="B586" s="207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210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</row>
    <row r="587" ht="15.75" customHeight="1">
      <c r="A587" s="207"/>
      <c r="B587" s="207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210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</row>
    <row r="588" ht="15.75" customHeight="1">
      <c r="A588" s="207"/>
      <c r="B588" s="207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210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</row>
    <row r="589" ht="15.75" customHeight="1">
      <c r="A589" s="207"/>
      <c r="B589" s="207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210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</row>
    <row r="590" ht="15.75" customHeight="1">
      <c r="A590" s="207"/>
      <c r="B590" s="207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210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</row>
    <row r="591" ht="15.75" customHeight="1">
      <c r="A591" s="207"/>
      <c r="B591" s="207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210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</row>
    <row r="592" ht="15.75" customHeight="1">
      <c r="A592" s="207"/>
      <c r="B592" s="207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210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</row>
    <row r="593" ht="15.75" customHeight="1">
      <c r="A593" s="207"/>
      <c r="B593" s="207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210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</row>
    <row r="594" ht="15.75" customHeight="1">
      <c r="A594" s="207"/>
      <c r="B594" s="207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210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</row>
    <row r="595" ht="15.75" customHeight="1">
      <c r="A595" s="207"/>
      <c r="B595" s="207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210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</row>
    <row r="596" ht="15.75" customHeight="1">
      <c r="A596" s="207"/>
      <c r="B596" s="207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210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</row>
    <row r="597" ht="15.75" customHeight="1">
      <c r="A597" s="207"/>
      <c r="B597" s="207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210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</row>
    <row r="598" ht="15.75" customHeight="1">
      <c r="A598" s="207"/>
      <c r="B598" s="207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210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</row>
    <row r="599" ht="15.75" customHeight="1">
      <c r="A599" s="207"/>
      <c r="B599" s="207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210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</row>
    <row r="600" ht="15.75" customHeight="1">
      <c r="A600" s="207"/>
      <c r="B600" s="207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210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</row>
    <row r="601" ht="15.75" customHeight="1">
      <c r="A601" s="207"/>
      <c r="B601" s="207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210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</row>
    <row r="602" ht="15.75" customHeight="1">
      <c r="A602" s="207"/>
      <c r="B602" s="207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210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</row>
    <row r="603" ht="15.75" customHeight="1">
      <c r="A603" s="207"/>
      <c r="B603" s="207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210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</row>
    <row r="604" ht="15.75" customHeight="1">
      <c r="A604" s="207"/>
      <c r="B604" s="207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210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</row>
    <row r="605" ht="15.75" customHeight="1">
      <c r="A605" s="207"/>
      <c r="B605" s="207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210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</row>
    <row r="606" ht="15.75" customHeight="1">
      <c r="A606" s="207"/>
      <c r="B606" s="207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210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</row>
    <row r="607" ht="15.75" customHeight="1">
      <c r="A607" s="207"/>
      <c r="B607" s="207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210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</row>
    <row r="608" ht="15.75" customHeight="1">
      <c r="A608" s="207"/>
      <c r="B608" s="207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210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</row>
    <row r="609" ht="15.75" customHeight="1">
      <c r="A609" s="207"/>
      <c r="B609" s="207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210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</row>
    <row r="610" ht="15.75" customHeight="1">
      <c r="A610" s="207"/>
      <c r="B610" s="207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210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</row>
    <row r="611" ht="15.75" customHeight="1">
      <c r="A611" s="207"/>
      <c r="B611" s="207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210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</row>
    <row r="612" ht="15.75" customHeight="1">
      <c r="A612" s="207"/>
      <c r="B612" s="207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210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</row>
    <row r="613" ht="15.75" customHeight="1">
      <c r="A613" s="207"/>
      <c r="B613" s="207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210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</row>
    <row r="614" ht="15.75" customHeight="1">
      <c r="A614" s="207"/>
      <c r="B614" s="207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210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</row>
    <row r="615" ht="15.75" customHeight="1">
      <c r="A615" s="207"/>
      <c r="B615" s="207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210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</row>
    <row r="616" ht="15.75" customHeight="1">
      <c r="A616" s="207"/>
      <c r="B616" s="207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210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</row>
    <row r="617" ht="15.75" customHeight="1">
      <c r="A617" s="207"/>
      <c r="B617" s="207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210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</row>
    <row r="618" ht="15.75" customHeight="1">
      <c r="A618" s="207"/>
      <c r="B618" s="207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210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</row>
    <row r="619" ht="15.75" customHeight="1">
      <c r="A619" s="207"/>
      <c r="B619" s="207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210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</row>
    <row r="620" ht="15.75" customHeight="1">
      <c r="A620" s="207"/>
      <c r="B620" s="207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210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</row>
    <row r="621" ht="15.75" customHeight="1">
      <c r="A621" s="207"/>
      <c r="B621" s="207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210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</row>
    <row r="622" ht="15.75" customHeight="1">
      <c r="A622" s="207"/>
      <c r="B622" s="207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210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</row>
    <row r="623" ht="15.75" customHeight="1">
      <c r="A623" s="207"/>
      <c r="B623" s="207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210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</row>
    <row r="624" ht="15.75" customHeight="1">
      <c r="A624" s="207"/>
      <c r="B624" s="207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210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</row>
    <row r="625" ht="15.75" customHeight="1">
      <c r="A625" s="207"/>
      <c r="B625" s="207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210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</row>
    <row r="626" ht="15.75" customHeight="1">
      <c r="A626" s="207"/>
      <c r="B626" s="207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210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</row>
    <row r="627" ht="15.75" customHeight="1">
      <c r="A627" s="207"/>
      <c r="B627" s="207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210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</row>
    <row r="628" ht="15.75" customHeight="1">
      <c r="A628" s="207"/>
      <c r="B628" s="207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210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</row>
    <row r="629" ht="15.75" customHeight="1">
      <c r="A629" s="207"/>
      <c r="B629" s="207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210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</row>
    <row r="630" ht="15.75" customHeight="1">
      <c r="A630" s="207"/>
      <c r="B630" s="207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210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</row>
    <row r="631" ht="15.75" customHeight="1">
      <c r="A631" s="207"/>
      <c r="B631" s="207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210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</row>
    <row r="632" ht="15.75" customHeight="1">
      <c r="A632" s="207"/>
      <c r="B632" s="207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210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</row>
    <row r="633" ht="15.75" customHeight="1">
      <c r="A633" s="207"/>
      <c r="B633" s="207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210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</row>
    <row r="634" ht="15.75" customHeight="1">
      <c r="A634" s="207"/>
      <c r="B634" s="207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210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</row>
    <row r="635" ht="15.75" customHeight="1">
      <c r="A635" s="207"/>
      <c r="B635" s="207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210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</row>
    <row r="636" ht="15.75" customHeight="1">
      <c r="A636" s="207"/>
      <c r="B636" s="207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210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</row>
    <row r="637" ht="15.75" customHeight="1">
      <c r="A637" s="207"/>
      <c r="B637" s="207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210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</row>
    <row r="638" ht="15.75" customHeight="1">
      <c r="A638" s="207"/>
      <c r="B638" s="207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210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</row>
    <row r="639" ht="15.75" customHeight="1">
      <c r="A639" s="207"/>
      <c r="B639" s="207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210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</row>
    <row r="640" ht="15.75" customHeight="1">
      <c r="A640" s="207"/>
      <c r="B640" s="207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210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</row>
    <row r="641" ht="15.75" customHeight="1">
      <c r="A641" s="207"/>
      <c r="B641" s="207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210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</row>
    <row r="642" ht="15.75" customHeight="1">
      <c r="A642" s="207"/>
      <c r="B642" s="207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210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</row>
    <row r="643" ht="15.75" customHeight="1">
      <c r="A643" s="207"/>
      <c r="B643" s="207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210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</row>
    <row r="644" ht="15.75" customHeight="1">
      <c r="A644" s="207"/>
      <c r="B644" s="207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210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</row>
    <row r="645" ht="15.75" customHeight="1">
      <c r="A645" s="207"/>
      <c r="B645" s="207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210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</row>
    <row r="646" ht="15.75" customHeight="1">
      <c r="A646" s="207"/>
      <c r="B646" s="207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210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</row>
    <row r="647" ht="15.75" customHeight="1">
      <c r="A647" s="207"/>
      <c r="B647" s="207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210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</row>
    <row r="648" ht="15.75" customHeight="1">
      <c r="A648" s="207"/>
      <c r="B648" s="207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210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</row>
    <row r="649" ht="15.75" customHeight="1">
      <c r="A649" s="207"/>
      <c r="B649" s="207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210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</row>
    <row r="650" ht="15.75" customHeight="1">
      <c r="A650" s="207"/>
      <c r="B650" s="207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210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</row>
    <row r="651" ht="15.75" customHeight="1">
      <c r="A651" s="207"/>
      <c r="B651" s="207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210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</row>
    <row r="652" ht="15.75" customHeight="1">
      <c r="A652" s="207"/>
      <c r="B652" s="207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210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</row>
    <row r="653" ht="15.75" customHeight="1">
      <c r="A653" s="207"/>
      <c r="B653" s="207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210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</row>
    <row r="654" ht="15.75" customHeight="1">
      <c r="A654" s="207"/>
      <c r="B654" s="207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210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</row>
    <row r="655" ht="15.75" customHeight="1">
      <c r="A655" s="207"/>
      <c r="B655" s="207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210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</row>
    <row r="656" ht="15.75" customHeight="1">
      <c r="A656" s="207"/>
      <c r="B656" s="207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210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</row>
    <row r="657" ht="15.75" customHeight="1">
      <c r="A657" s="207"/>
      <c r="B657" s="207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210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</row>
    <row r="658" ht="15.75" customHeight="1">
      <c r="A658" s="207"/>
      <c r="B658" s="207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210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</row>
    <row r="659" ht="15.75" customHeight="1">
      <c r="A659" s="207"/>
      <c r="B659" s="207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210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</row>
    <row r="660" ht="15.75" customHeight="1">
      <c r="A660" s="207"/>
      <c r="B660" s="207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210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</row>
    <row r="661" ht="15.75" customHeight="1">
      <c r="A661" s="207"/>
      <c r="B661" s="207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210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</row>
    <row r="662" ht="15.75" customHeight="1">
      <c r="A662" s="207"/>
      <c r="B662" s="207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210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</row>
    <row r="663" ht="15.75" customHeight="1">
      <c r="A663" s="207"/>
      <c r="B663" s="207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210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</row>
    <row r="664" ht="15.75" customHeight="1">
      <c r="A664" s="207"/>
      <c r="B664" s="207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210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</row>
    <row r="665" ht="15.75" customHeight="1">
      <c r="A665" s="207"/>
      <c r="B665" s="207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210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</row>
    <row r="666" ht="15.75" customHeight="1">
      <c r="A666" s="207"/>
      <c r="B666" s="207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210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</row>
    <row r="667" ht="15.75" customHeight="1">
      <c r="A667" s="207"/>
      <c r="B667" s="207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210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</row>
    <row r="668" ht="15.75" customHeight="1">
      <c r="A668" s="207"/>
      <c r="B668" s="207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210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</row>
    <row r="669" ht="15.75" customHeight="1">
      <c r="A669" s="207"/>
      <c r="B669" s="207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210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</row>
    <row r="670" ht="15.75" customHeight="1">
      <c r="A670" s="207"/>
      <c r="B670" s="207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210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</row>
    <row r="671" ht="15.75" customHeight="1">
      <c r="A671" s="207"/>
      <c r="B671" s="207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210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</row>
    <row r="672" ht="15.75" customHeight="1">
      <c r="A672" s="207"/>
      <c r="B672" s="207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210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</row>
    <row r="673" ht="15.75" customHeight="1">
      <c r="A673" s="207"/>
      <c r="B673" s="207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210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</row>
    <row r="674" ht="15.75" customHeight="1">
      <c r="A674" s="207"/>
      <c r="B674" s="207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210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</row>
    <row r="675" ht="15.75" customHeight="1">
      <c r="A675" s="207"/>
      <c r="B675" s="207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210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</row>
    <row r="676" ht="15.75" customHeight="1">
      <c r="A676" s="207"/>
      <c r="B676" s="207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210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</row>
    <row r="677" ht="15.75" customHeight="1">
      <c r="A677" s="207"/>
      <c r="B677" s="207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210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</row>
    <row r="678" ht="15.75" customHeight="1">
      <c r="A678" s="207"/>
      <c r="B678" s="207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210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</row>
    <row r="679" ht="15.75" customHeight="1">
      <c r="A679" s="207"/>
      <c r="B679" s="207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210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</row>
    <row r="680" ht="15.75" customHeight="1">
      <c r="A680" s="207"/>
      <c r="B680" s="207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210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</row>
    <row r="681" ht="15.75" customHeight="1">
      <c r="A681" s="207"/>
      <c r="B681" s="207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210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</row>
    <row r="682" ht="15.75" customHeight="1">
      <c r="A682" s="207"/>
      <c r="B682" s="207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210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</row>
    <row r="683" ht="15.75" customHeight="1">
      <c r="A683" s="207"/>
      <c r="B683" s="207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210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</row>
    <row r="684" ht="15.75" customHeight="1">
      <c r="A684" s="207"/>
      <c r="B684" s="207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210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</row>
    <row r="685" ht="15.75" customHeight="1">
      <c r="A685" s="207"/>
      <c r="B685" s="207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210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</row>
    <row r="686" ht="15.75" customHeight="1">
      <c r="A686" s="207"/>
      <c r="B686" s="207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210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</row>
    <row r="687" ht="15.75" customHeight="1">
      <c r="A687" s="207"/>
      <c r="B687" s="207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210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</row>
    <row r="688" ht="15.75" customHeight="1">
      <c r="A688" s="207"/>
      <c r="B688" s="207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210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</row>
    <row r="689" ht="15.75" customHeight="1">
      <c r="A689" s="207"/>
      <c r="B689" s="207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210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</row>
    <row r="690" ht="15.75" customHeight="1">
      <c r="A690" s="207"/>
      <c r="B690" s="207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210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</row>
    <row r="691" ht="15.75" customHeight="1">
      <c r="A691" s="207"/>
      <c r="B691" s="207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210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</row>
    <row r="692" ht="15.75" customHeight="1">
      <c r="A692" s="207"/>
      <c r="B692" s="207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210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</row>
    <row r="693" ht="15.75" customHeight="1">
      <c r="A693" s="207"/>
      <c r="B693" s="207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210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</row>
    <row r="694" ht="15.75" customHeight="1">
      <c r="A694" s="207"/>
      <c r="B694" s="207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210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</row>
    <row r="695" ht="15.75" customHeight="1">
      <c r="A695" s="207"/>
      <c r="B695" s="207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210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</row>
    <row r="696" ht="15.75" customHeight="1">
      <c r="A696" s="207"/>
      <c r="B696" s="207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210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</row>
    <row r="697" ht="15.75" customHeight="1">
      <c r="A697" s="207"/>
      <c r="B697" s="207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210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</row>
    <row r="698" ht="15.75" customHeight="1">
      <c r="A698" s="207"/>
      <c r="B698" s="207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210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</row>
    <row r="699" ht="15.75" customHeight="1">
      <c r="A699" s="207"/>
      <c r="B699" s="207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210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</row>
    <row r="700" ht="15.75" customHeight="1">
      <c r="A700" s="207"/>
      <c r="B700" s="207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210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</row>
    <row r="701" ht="15.75" customHeight="1">
      <c r="A701" s="207"/>
      <c r="B701" s="207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210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</row>
    <row r="702" ht="15.75" customHeight="1">
      <c r="A702" s="207"/>
      <c r="B702" s="207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210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</row>
    <row r="703" ht="15.75" customHeight="1">
      <c r="A703" s="207"/>
      <c r="B703" s="207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210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</row>
    <row r="704" ht="15.75" customHeight="1">
      <c r="A704" s="207"/>
      <c r="B704" s="207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210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</row>
    <row r="705" ht="15.75" customHeight="1">
      <c r="A705" s="207"/>
      <c r="B705" s="207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210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</row>
    <row r="706" ht="15.75" customHeight="1">
      <c r="A706" s="207"/>
      <c r="B706" s="207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210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</row>
    <row r="707" ht="15.75" customHeight="1">
      <c r="A707" s="207"/>
      <c r="B707" s="207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210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</row>
    <row r="708" ht="15.75" customHeight="1">
      <c r="A708" s="207"/>
      <c r="B708" s="207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210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</row>
    <row r="709" ht="15.75" customHeight="1">
      <c r="A709" s="207"/>
      <c r="B709" s="207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210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</row>
    <row r="710" ht="15.75" customHeight="1">
      <c r="A710" s="207"/>
      <c r="B710" s="207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210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</row>
    <row r="711" ht="15.75" customHeight="1">
      <c r="A711" s="207"/>
      <c r="B711" s="207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210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</row>
    <row r="712" ht="15.75" customHeight="1">
      <c r="A712" s="207"/>
      <c r="B712" s="207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210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</row>
    <row r="713" ht="15.75" customHeight="1">
      <c r="A713" s="207"/>
      <c r="B713" s="207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210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</row>
    <row r="714" ht="15.75" customHeight="1">
      <c r="A714" s="207"/>
      <c r="B714" s="207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210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</row>
    <row r="715" ht="15.75" customHeight="1">
      <c r="A715" s="207"/>
      <c r="B715" s="207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210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</row>
    <row r="716" ht="15.75" customHeight="1">
      <c r="A716" s="207"/>
      <c r="B716" s="207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210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</row>
    <row r="717" ht="15.75" customHeight="1">
      <c r="A717" s="207"/>
      <c r="B717" s="207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210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</row>
    <row r="718" ht="15.75" customHeight="1">
      <c r="A718" s="207"/>
      <c r="B718" s="207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210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</row>
    <row r="719" ht="15.75" customHeight="1">
      <c r="A719" s="207"/>
      <c r="B719" s="207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210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</row>
    <row r="720" ht="15.75" customHeight="1">
      <c r="A720" s="207"/>
      <c r="B720" s="207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210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</row>
    <row r="721" ht="15.75" customHeight="1">
      <c r="A721" s="207"/>
      <c r="B721" s="207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210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</row>
    <row r="722" ht="15.75" customHeight="1">
      <c r="A722" s="207"/>
      <c r="B722" s="207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210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</row>
    <row r="723" ht="15.75" customHeight="1">
      <c r="A723" s="207"/>
      <c r="B723" s="207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210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</row>
    <row r="724" ht="15.75" customHeight="1">
      <c r="A724" s="207"/>
      <c r="B724" s="207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210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</row>
    <row r="725" ht="15.75" customHeight="1">
      <c r="A725" s="207"/>
      <c r="B725" s="207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210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</row>
    <row r="726" ht="15.75" customHeight="1">
      <c r="A726" s="207"/>
      <c r="B726" s="207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210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</row>
    <row r="727" ht="15.75" customHeight="1">
      <c r="A727" s="207"/>
      <c r="B727" s="207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210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</row>
    <row r="728" ht="15.75" customHeight="1">
      <c r="A728" s="207"/>
      <c r="B728" s="207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210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</row>
    <row r="729" ht="15.75" customHeight="1">
      <c r="A729" s="207"/>
      <c r="B729" s="207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210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</row>
    <row r="730" ht="15.75" customHeight="1">
      <c r="A730" s="207"/>
      <c r="B730" s="207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210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</row>
    <row r="731" ht="15.75" customHeight="1">
      <c r="A731" s="207"/>
      <c r="B731" s="207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210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</row>
    <row r="732" ht="15.75" customHeight="1">
      <c r="A732" s="207"/>
      <c r="B732" s="207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210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</row>
    <row r="733" ht="15.75" customHeight="1">
      <c r="A733" s="207"/>
      <c r="B733" s="207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210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</row>
    <row r="734" ht="15.75" customHeight="1">
      <c r="A734" s="207"/>
      <c r="B734" s="207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210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</row>
    <row r="735" ht="15.75" customHeight="1">
      <c r="A735" s="207"/>
      <c r="B735" s="207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210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</row>
    <row r="736" ht="15.75" customHeight="1">
      <c r="A736" s="207"/>
      <c r="B736" s="207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210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</row>
    <row r="737" ht="15.75" customHeight="1">
      <c r="A737" s="207"/>
      <c r="B737" s="207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210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</row>
    <row r="738" ht="15.75" customHeight="1">
      <c r="A738" s="207"/>
      <c r="B738" s="207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210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</row>
    <row r="739" ht="15.75" customHeight="1">
      <c r="A739" s="207"/>
      <c r="B739" s="207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210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</row>
    <row r="740" ht="15.75" customHeight="1">
      <c r="A740" s="207"/>
      <c r="B740" s="207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210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</row>
    <row r="741" ht="15.75" customHeight="1">
      <c r="A741" s="207"/>
      <c r="B741" s="207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210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</row>
    <row r="742" ht="15.75" customHeight="1">
      <c r="A742" s="207"/>
      <c r="B742" s="207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210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</row>
    <row r="743" ht="15.75" customHeight="1">
      <c r="A743" s="207"/>
      <c r="B743" s="207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210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</row>
    <row r="744" ht="15.75" customHeight="1">
      <c r="A744" s="207"/>
      <c r="B744" s="207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210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</row>
    <row r="745" ht="15.75" customHeight="1">
      <c r="A745" s="207"/>
      <c r="B745" s="207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210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</row>
    <row r="746" ht="15.75" customHeight="1">
      <c r="A746" s="207"/>
      <c r="B746" s="207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210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</row>
    <row r="747" ht="15.75" customHeight="1">
      <c r="A747" s="207"/>
      <c r="B747" s="207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210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</row>
    <row r="748" ht="15.75" customHeight="1">
      <c r="A748" s="207"/>
      <c r="B748" s="207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210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</row>
    <row r="749" ht="15.75" customHeight="1">
      <c r="A749" s="207"/>
      <c r="B749" s="207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210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</row>
    <row r="750" ht="15.75" customHeight="1">
      <c r="A750" s="207"/>
      <c r="B750" s="207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210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</row>
    <row r="751" ht="15.75" customHeight="1">
      <c r="A751" s="207"/>
      <c r="B751" s="207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210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</row>
    <row r="752" ht="15.75" customHeight="1">
      <c r="A752" s="207"/>
      <c r="B752" s="207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210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</row>
    <row r="753" ht="15.75" customHeight="1">
      <c r="A753" s="207"/>
      <c r="B753" s="207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210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</row>
    <row r="754" ht="15.75" customHeight="1">
      <c r="A754" s="207"/>
      <c r="B754" s="207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210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</row>
    <row r="755" ht="15.75" customHeight="1">
      <c r="A755" s="207"/>
      <c r="B755" s="207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210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</row>
    <row r="756" ht="15.75" customHeight="1">
      <c r="A756" s="207"/>
      <c r="B756" s="207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210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</row>
    <row r="757" ht="15.75" customHeight="1">
      <c r="A757" s="207"/>
      <c r="B757" s="207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210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</row>
    <row r="758" ht="15.75" customHeight="1">
      <c r="A758" s="207"/>
      <c r="B758" s="207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210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</row>
    <row r="759" ht="15.75" customHeight="1">
      <c r="A759" s="207"/>
      <c r="B759" s="207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210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</row>
    <row r="760" ht="15.75" customHeight="1">
      <c r="A760" s="207"/>
      <c r="B760" s="207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210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</row>
    <row r="761" ht="15.75" customHeight="1">
      <c r="A761" s="207"/>
      <c r="B761" s="207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210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</row>
    <row r="762" ht="15.75" customHeight="1">
      <c r="A762" s="207"/>
      <c r="B762" s="207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210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</row>
    <row r="763" ht="15.75" customHeight="1">
      <c r="A763" s="207"/>
      <c r="B763" s="207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210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</row>
    <row r="764" ht="15.75" customHeight="1">
      <c r="A764" s="207"/>
      <c r="B764" s="207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210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</row>
    <row r="765" ht="15.75" customHeight="1">
      <c r="A765" s="207"/>
      <c r="B765" s="207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210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</row>
    <row r="766" ht="15.75" customHeight="1">
      <c r="A766" s="207"/>
      <c r="B766" s="207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210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</row>
    <row r="767" ht="15.75" customHeight="1">
      <c r="A767" s="207"/>
      <c r="B767" s="207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210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</row>
    <row r="768" ht="15.75" customHeight="1">
      <c r="A768" s="207"/>
      <c r="B768" s="207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210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</row>
    <row r="769" ht="15.75" customHeight="1">
      <c r="A769" s="207"/>
      <c r="B769" s="207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210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</row>
    <row r="770" ht="15.75" customHeight="1">
      <c r="A770" s="207"/>
      <c r="B770" s="207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210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</row>
    <row r="771" ht="15.75" customHeight="1">
      <c r="A771" s="207"/>
      <c r="B771" s="207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210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</row>
    <row r="772" ht="15.75" customHeight="1">
      <c r="A772" s="207"/>
      <c r="B772" s="207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210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</row>
    <row r="773" ht="15.75" customHeight="1">
      <c r="A773" s="207"/>
      <c r="B773" s="207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210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</row>
    <row r="774" ht="15.75" customHeight="1">
      <c r="A774" s="207"/>
      <c r="B774" s="207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210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</row>
    <row r="775" ht="15.75" customHeight="1">
      <c r="A775" s="207"/>
      <c r="B775" s="207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210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</row>
    <row r="776" ht="15.75" customHeight="1">
      <c r="A776" s="207"/>
      <c r="B776" s="207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210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</row>
    <row r="777" ht="15.75" customHeight="1">
      <c r="A777" s="207"/>
      <c r="B777" s="207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210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</row>
    <row r="778" ht="15.75" customHeight="1">
      <c r="A778" s="207"/>
      <c r="B778" s="207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210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</row>
    <row r="779" ht="15.75" customHeight="1">
      <c r="A779" s="207"/>
      <c r="B779" s="207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210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</row>
    <row r="780" ht="15.75" customHeight="1">
      <c r="A780" s="207"/>
      <c r="B780" s="207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210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</row>
    <row r="781" ht="15.75" customHeight="1">
      <c r="A781" s="207"/>
      <c r="B781" s="207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210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</row>
    <row r="782" ht="15.75" customHeight="1">
      <c r="A782" s="207"/>
      <c r="B782" s="207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210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</row>
    <row r="783" ht="15.75" customHeight="1">
      <c r="A783" s="207"/>
      <c r="B783" s="207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210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</row>
    <row r="784" ht="15.75" customHeight="1">
      <c r="A784" s="207"/>
      <c r="B784" s="207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210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</row>
    <row r="785" ht="15.75" customHeight="1">
      <c r="A785" s="207"/>
      <c r="B785" s="207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210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</row>
    <row r="786" ht="15.75" customHeight="1">
      <c r="A786" s="207"/>
      <c r="B786" s="207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210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</row>
    <row r="787" ht="15.75" customHeight="1">
      <c r="A787" s="207"/>
      <c r="B787" s="207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210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</row>
    <row r="788" ht="15.75" customHeight="1">
      <c r="A788" s="207"/>
      <c r="B788" s="207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210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</row>
    <row r="789" ht="15.75" customHeight="1">
      <c r="A789" s="207"/>
      <c r="B789" s="207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210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</row>
    <row r="790" ht="15.75" customHeight="1">
      <c r="A790" s="207"/>
      <c r="B790" s="207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210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</row>
    <row r="791" ht="15.75" customHeight="1">
      <c r="A791" s="207"/>
      <c r="B791" s="207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210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</row>
    <row r="792" ht="15.75" customHeight="1">
      <c r="A792" s="207"/>
      <c r="B792" s="207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210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</row>
    <row r="793" ht="15.75" customHeight="1">
      <c r="A793" s="207"/>
      <c r="B793" s="207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210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</row>
    <row r="794" ht="15.75" customHeight="1">
      <c r="A794" s="207"/>
      <c r="B794" s="207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210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</row>
    <row r="795" ht="15.75" customHeight="1">
      <c r="A795" s="207"/>
      <c r="B795" s="207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210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</row>
    <row r="796" ht="15.75" customHeight="1">
      <c r="A796" s="207"/>
      <c r="B796" s="207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210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</row>
    <row r="797" ht="15.75" customHeight="1">
      <c r="A797" s="207"/>
      <c r="B797" s="207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210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</row>
    <row r="798" ht="15.75" customHeight="1">
      <c r="A798" s="207"/>
      <c r="B798" s="207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210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</row>
    <row r="799" ht="15.75" customHeight="1">
      <c r="A799" s="207"/>
      <c r="B799" s="207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210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</row>
    <row r="800" ht="15.75" customHeight="1">
      <c r="A800" s="207"/>
      <c r="B800" s="207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210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</row>
    <row r="801" ht="15.75" customHeight="1">
      <c r="A801" s="207"/>
      <c r="B801" s="207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210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</row>
    <row r="802" ht="15.75" customHeight="1">
      <c r="A802" s="207"/>
      <c r="B802" s="207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210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</row>
    <row r="803" ht="15.75" customHeight="1">
      <c r="A803" s="207"/>
      <c r="B803" s="207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210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</row>
    <row r="804" ht="15.75" customHeight="1">
      <c r="A804" s="207"/>
      <c r="B804" s="207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210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</row>
    <row r="805" ht="15.75" customHeight="1">
      <c r="A805" s="207"/>
      <c r="B805" s="207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210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</row>
    <row r="806" ht="15.75" customHeight="1">
      <c r="A806" s="207"/>
      <c r="B806" s="207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210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</row>
    <row r="807" ht="15.75" customHeight="1">
      <c r="A807" s="207"/>
      <c r="B807" s="207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210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</row>
    <row r="808" ht="15.75" customHeight="1">
      <c r="A808" s="207"/>
      <c r="B808" s="207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210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</row>
    <row r="809" ht="15.75" customHeight="1">
      <c r="A809" s="207"/>
      <c r="B809" s="207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210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</row>
    <row r="810" ht="15.75" customHeight="1">
      <c r="A810" s="207"/>
      <c r="B810" s="207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210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</row>
    <row r="811" ht="15.75" customHeight="1">
      <c r="A811" s="207"/>
      <c r="B811" s="207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210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</row>
    <row r="812" ht="15.75" customHeight="1">
      <c r="A812" s="207"/>
      <c r="B812" s="207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210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</row>
    <row r="813" ht="15.75" customHeight="1">
      <c r="A813" s="207"/>
      <c r="B813" s="207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210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</row>
    <row r="814" ht="15.75" customHeight="1">
      <c r="A814" s="207"/>
      <c r="B814" s="207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210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</row>
    <row r="815" ht="15.75" customHeight="1">
      <c r="A815" s="207"/>
      <c r="B815" s="207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210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</row>
    <row r="816" ht="15.75" customHeight="1">
      <c r="A816" s="207"/>
      <c r="B816" s="207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210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</row>
    <row r="817" ht="15.75" customHeight="1">
      <c r="A817" s="207"/>
      <c r="B817" s="207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210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</row>
    <row r="818" ht="15.75" customHeight="1">
      <c r="A818" s="207"/>
      <c r="B818" s="207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210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</row>
    <row r="819" ht="15.75" customHeight="1">
      <c r="A819" s="207"/>
      <c r="B819" s="207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210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</row>
    <row r="820" ht="15.75" customHeight="1">
      <c r="A820" s="207"/>
      <c r="B820" s="207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210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</row>
    <row r="821" ht="15.75" customHeight="1">
      <c r="A821" s="207"/>
      <c r="B821" s="207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210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</row>
    <row r="822" ht="15.75" customHeight="1">
      <c r="A822" s="207"/>
      <c r="B822" s="207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210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</row>
    <row r="823" ht="15.75" customHeight="1">
      <c r="A823" s="207"/>
      <c r="B823" s="207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210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</row>
    <row r="824" ht="15.75" customHeight="1">
      <c r="A824" s="207"/>
      <c r="B824" s="207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210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</row>
    <row r="825" ht="15.75" customHeight="1">
      <c r="A825" s="207"/>
      <c r="B825" s="207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210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</row>
    <row r="826" ht="15.75" customHeight="1">
      <c r="A826" s="207"/>
      <c r="B826" s="207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210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</row>
    <row r="827" ht="15.75" customHeight="1">
      <c r="A827" s="207"/>
      <c r="B827" s="207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210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</row>
    <row r="828" ht="15.75" customHeight="1">
      <c r="A828" s="207"/>
      <c r="B828" s="207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210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</row>
    <row r="829" ht="15.75" customHeight="1">
      <c r="A829" s="207"/>
      <c r="B829" s="207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210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</row>
    <row r="830" ht="15.75" customHeight="1">
      <c r="A830" s="207"/>
      <c r="B830" s="207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210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</row>
    <row r="831" ht="15.75" customHeight="1">
      <c r="A831" s="207"/>
      <c r="B831" s="207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210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</row>
    <row r="832" ht="15.75" customHeight="1">
      <c r="A832" s="207"/>
      <c r="B832" s="207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210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</row>
    <row r="833" ht="15.75" customHeight="1">
      <c r="A833" s="207"/>
      <c r="B833" s="207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210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</row>
    <row r="834" ht="15.75" customHeight="1">
      <c r="A834" s="207"/>
      <c r="B834" s="207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210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</row>
    <row r="835" ht="15.75" customHeight="1">
      <c r="A835" s="207"/>
      <c r="B835" s="207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210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</row>
    <row r="836" ht="15.75" customHeight="1">
      <c r="A836" s="207"/>
      <c r="B836" s="207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210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</row>
    <row r="837" ht="15.75" customHeight="1">
      <c r="A837" s="207"/>
      <c r="B837" s="207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210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</row>
    <row r="838" ht="15.75" customHeight="1">
      <c r="A838" s="207"/>
      <c r="B838" s="207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210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</row>
    <row r="839" ht="15.75" customHeight="1">
      <c r="A839" s="207"/>
      <c r="B839" s="207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210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</row>
    <row r="840" ht="15.75" customHeight="1">
      <c r="A840" s="207"/>
      <c r="B840" s="207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210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</row>
    <row r="841" ht="15.75" customHeight="1">
      <c r="A841" s="207"/>
      <c r="B841" s="207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210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</row>
    <row r="842" ht="15.75" customHeight="1">
      <c r="A842" s="207"/>
      <c r="B842" s="207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210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</row>
    <row r="843" ht="15.75" customHeight="1">
      <c r="A843" s="207"/>
      <c r="B843" s="207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210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</row>
    <row r="844" ht="15.75" customHeight="1">
      <c r="A844" s="207"/>
      <c r="B844" s="207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210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</row>
    <row r="845" ht="15.75" customHeight="1">
      <c r="A845" s="207"/>
      <c r="B845" s="207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210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</row>
    <row r="846" ht="15.75" customHeight="1">
      <c r="A846" s="207"/>
      <c r="B846" s="207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210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</row>
    <row r="847" ht="15.75" customHeight="1">
      <c r="A847" s="207"/>
      <c r="B847" s="207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210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</row>
    <row r="848" ht="15.75" customHeight="1">
      <c r="A848" s="207"/>
      <c r="B848" s="207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210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</row>
    <row r="849" ht="15.75" customHeight="1">
      <c r="A849" s="207"/>
      <c r="B849" s="207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210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</row>
    <row r="850" ht="15.75" customHeight="1">
      <c r="A850" s="207"/>
      <c r="B850" s="207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210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</row>
    <row r="851" ht="15.75" customHeight="1">
      <c r="A851" s="207"/>
      <c r="B851" s="207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210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</row>
    <row r="852" ht="15.75" customHeight="1">
      <c r="A852" s="207"/>
      <c r="B852" s="207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210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</row>
    <row r="853" ht="15.75" customHeight="1">
      <c r="A853" s="207"/>
      <c r="B853" s="207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210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</row>
    <row r="854" ht="15.75" customHeight="1">
      <c r="A854" s="207"/>
      <c r="B854" s="207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210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</row>
    <row r="855" ht="15.75" customHeight="1">
      <c r="A855" s="207"/>
      <c r="B855" s="207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210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</row>
    <row r="856" ht="15.75" customHeight="1">
      <c r="A856" s="207"/>
      <c r="B856" s="207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210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</row>
    <row r="857" ht="15.75" customHeight="1">
      <c r="A857" s="207"/>
      <c r="B857" s="207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210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</row>
    <row r="858" ht="15.75" customHeight="1">
      <c r="A858" s="207"/>
      <c r="B858" s="207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210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</row>
    <row r="859" ht="15.75" customHeight="1">
      <c r="A859" s="207"/>
      <c r="B859" s="207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210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</row>
    <row r="860" ht="15.75" customHeight="1">
      <c r="A860" s="207"/>
      <c r="B860" s="207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210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</row>
    <row r="861" ht="15.75" customHeight="1">
      <c r="A861" s="207"/>
      <c r="B861" s="207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210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</row>
    <row r="862" ht="15.75" customHeight="1">
      <c r="A862" s="207"/>
      <c r="B862" s="207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210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</row>
    <row r="863" ht="15.75" customHeight="1">
      <c r="A863" s="207"/>
      <c r="B863" s="207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210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</row>
    <row r="864" ht="15.75" customHeight="1">
      <c r="A864" s="207"/>
      <c r="B864" s="207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210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</row>
    <row r="865" ht="15.75" customHeight="1">
      <c r="A865" s="207"/>
      <c r="B865" s="207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210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</row>
    <row r="866" ht="15.75" customHeight="1">
      <c r="A866" s="207"/>
      <c r="B866" s="207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210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</row>
    <row r="867" ht="15.75" customHeight="1">
      <c r="A867" s="207"/>
      <c r="B867" s="207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210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</row>
    <row r="868" ht="15.75" customHeight="1">
      <c r="A868" s="207"/>
      <c r="B868" s="207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210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</row>
    <row r="869" ht="15.75" customHeight="1">
      <c r="A869" s="207"/>
      <c r="B869" s="207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210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</row>
    <row r="870" ht="15.75" customHeight="1">
      <c r="A870" s="207"/>
      <c r="B870" s="207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210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</row>
    <row r="871" ht="15.75" customHeight="1">
      <c r="A871" s="207"/>
      <c r="B871" s="207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210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</row>
    <row r="872" ht="15.75" customHeight="1">
      <c r="A872" s="207"/>
      <c r="B872" s="207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210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</row>
    <row r="873" ht="15.75" customHeight="1">
      <c r="A873" s="207"/>
      <c r="B873" s="207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210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</row>
    <row r="874" ht="15.75" customHeight="1">
      <c r="A874" s="207"/>
      <c r="B874" s="207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210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</row>
    <row r="875" ht="15.75" customHeight="1">
      <c r="A875" s="207"/>
      <c r="B875" s="207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210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</row>
    <row r="876" ht="15.75" customHeight="1">
      <c r="A876" s="207"/>
      <c r="B876" s="207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210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</row>
    <row r="877" ht="15.75" customHeight="1">
      <c r="A877" s="207"/>
      <c r="B877" s="207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210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</row>
    <row r="878" ht="15.75" customHeight="1">
      <c r="A878" s="207"/>
      <c r="B878" s="207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210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</row>
    <row r="879" ht="15.75" customHeight="1">
      <c r="A879" s="207"/>
      <c r="B879" s="207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210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</row>
    <row r="880" ht="15.75" customHeight="1">
      <c r="A880" s="207"/>
      <c r="B880" s="207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210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</row>
    <row r="881" ht="15.75" customHeight="1">
      <c r="A881" s="207"/>
      <c r="B881" s="207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210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</row>
    <row r="882" ht="15.75" customHeight="1">
      <c r="A882" s="207"/>
      <c r="B882" s="207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210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</row>
    <row r="883" ht="15.75" customHeight="1">
      <c r="A883" s="207"/>
      <c r="B883" s="207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210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</row>
    <row r="884" ht="15.75" customHeight="1">
      <c r="A884" s="207"/>
      <c r="B884" s="207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210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</row>
    <row r="885" ht="15.75" customHeight="1">
      <c r="A885" s="207"/>
      <c r="B885" s="207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210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</row>
    <row r="886" ht="15.75" customHeight="1">
      <c r="A886" s="207"/>
      <c r="B886" s="207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210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</row>
    <row r="887" ht="15.75" customHeight="1">
      <c r="A887" s="207"/>
      <c r="B887" s="207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210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</row>
    <row r="888" ht="15.75" customHeight="1">
      <c r="A888" s="207"/>
      <c r="B888" s="207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210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</row>
    <row r="889" ht="15.75" customHeight="1">
      <c r="A889" s="207"/>
      <c r="B889" s="207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210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</row>
    <row r="890" ht="15.75" customHeight="1">
      <c r="A890" s="207"/>
      <c r="B890" s="207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210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</row>
    <row r="891" ht="15.75" customHeight="1">
      <c r="A891" s="207"/>
      <c r="B891" s="207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210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</row>
    <row r="892" ht="15.75" customHeight="1">
      <c r="A892" s="207"/>
      <c r="B892" s="207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210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</row>
    <row r="893" ht="15.75" customHeight="1">
      <c r="A893" s="207"/>
      <c r="B893" s="207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210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</row>
    <row r="894" ht="15.75" customHeight="1">
      <c r="A894" s="207"/>
      <c r="B894" s="207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210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</row>
    <row r="895" ht="15.75" customHeight="1">
      <c r="A895" s="207"/>
      <c r="B895" s="207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210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</row>
    <row r="896" ht="15.75" customHeight="1">
      <c r="A896" s="207"/>
      <c r="B896" s="207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210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</row>
    <row r="897" ht="15.75" customHeight="1">
      <c r="A897" s="207"/>
      <c r="B897" s="207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210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</row>
    <row r="898" ht="15.75" customHeight="1">
      <c r="A898" s="207"/>
      <c r="B898" s="207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210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</row>
    <row r="899" ht="15.75" customHeight="1">
      <c r="A899" s="207"/>
      <c r="B899" s="207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210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</row>
    <row r="900" ht="15.75" customHeight="1">
      <c r="A900" s="207"/>
      <c r="B900" s="207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210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</row>
    <row r="901" ht="15.75" customHeight="1">
      <c r="A901" s="207"/>
      <c r="B901" s="207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210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</row>
    <row r="902" ht="15.75" customHeight="1">
      <c r="A902" s="207"/>
      <c r="B902" s="207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210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</row>
    <row r="903" ht="15.75" customHeight="1">
      <c r="A903" s="207"/>
      <c r="B903" s="207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210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</row>
    <row r="904" ht="15.75" customHeight="1">
      <c r="A904" s="207"/>
      <c r="B904" s="207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210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</row>
    <row r="905" ht="15.75" customHeight="1">
      <c r="A905" s="207"/>
      <c r="B905" s="207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210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</row>
    <row r="906" ht="15.75" customHeight="1">
      <c r="A906" s="207"/>
      <c r="B906" s="207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210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</row>
    <row r="907" ht="15.75" customHeight="1">
      <c r="A907" s="207"/>
      <c r="B907" s="207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210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</row>
    <row r="908" ht="15.75" customHeight="1">
      <c r="A908" s="207"/>
      <c r="B908" s="207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210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</row>
    <row r="909" ht="15.75" customHeight="1">
      <c r="A909" s="207"/>
      <c r="B909" s="207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210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</row>
    <row r="910" ht="15.75" customHeight="1">
      <c r="A910" s="207"/>
      <c r="B910" s="207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210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</row>
    <row r="911" ht="15.75" customHeight="1">
      <c r="A911" s="207"/>
      <c r="B911" s="207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210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</row>
    <row r="912" ht="15.75" customHeight="1">
      <c r="A912" s="207"/>
      <c r="B912" s="207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210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</row>
    <row r="913" ht="15.75" customHeight="1">
      <c r="A913" s="207"/>
      <c r="B913" s="207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210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</row>
    <row r="914" ht="15.75" customHeight="1">
      <c r="A914" s="207"/>
      <c r="B914" s="207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210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</row>
    <row r="915" ht="15.75" customHeight="1">
      <c r="A915" s="207"/>
      <c r="B915" s="207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210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</row>
    <row r="916" ht="15.75" customHeight="1">
      <c r="A916" s="207"/>
      <c r="B916" s="207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210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</row>
    <row r="917" ht="15.75" customHeight="1">
      <c r="A917" s="207"/>
      <c r="B917" s="207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210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</row>
    <row r="918" ht="15.75" customHeight="1">
      <c r="A918" s="207"/>
      <c r="B918" s="207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210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</row>
    <row r="919" ht="15.75" customHeight="1">
      <c r="A919" s="207"/>
      <c r="B919" s="207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210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</row>
    <row r="920" ht="15.75" customHeight="1">
      <c r="A920" s="207"/>
      <c r="B920" s="207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210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</row>
    <row r="921" ht="15.75" customHeight="1">
      <c r="A921" s="207"/>
      <c r="B921" s="207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210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</row>
    <row r="922" ht="15.75" customHeight="1">
      <c r="A922" s="207"/>
      <c r="B922" s="207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210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</row>
    <row r="923" ht="15.75" customHeight="1">
      <c r="A923" s="207"/>
      <c r="B923" s="207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210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</row>
    <row r="924" ht="15.75" customHeight="1">
      <c r="A924" s="207"/>
      <c r="B924" s="207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210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</row>
    <row r="925" ht="15.75" customHeight="1">
      <c r="A925" s="207"/>
      <c r="B925" s="207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210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</row>
    <row r="926" ht="15.75" customHeight="1">
      <c r="A926" s="207"/>
      <c r="B926" s="207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210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</row>
    <row r="927" ht="15.75" customHeight="1">
      <c r="A927" s="207"/>
      <c r="B927" s="207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210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</row>
    <row r="928" ht="15.75" customHeight="1">
      <c r="A928" s="207"/>
      <c r="B928" s="207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210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</row>
    <row r="929" ht="15.75" customHeight="1">
      <c r="A929" s="207"/>
      <c r="B929" s="207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210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</row>
    <row r="930" ht="15.75" customHeight="1">
      <c r="A930" s="207"/>
      <c r="B930" s="207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210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</row>
    <row r="931" ht="15.75" customHeight="1">
      <c r="A931" s="207"/>
      <c r="B931" s="207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210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</row>
    <row r="932" ht="15.75" customHeight="1">
      <c r="A932" s="207"/>
      <c r="B932" s="207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210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</row>
    <row r="933" ht="15.75" customHeight="1">
      <c r="A933" s="207"/>
      <c r="B933" s="207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210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</row>
    <row r="934" ht="15.75" customHeight="1">
      <c r="A934" s="207"/>
      <c r="B934" s="207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210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</row>
    <row r="935" ht="15.75" customHeight="1">
      <c r="A935" s="207"/>
      <c r="B935" s="207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210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</row>
    <row r="936" ht="15.75" customHeight="1">
      <c r="A936" s="207"/>
      <c r="B936" s="207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210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</row>
    <row r="937" ht="15.75" customHeight="1">
      <c r="A937" s="207"/>
      <c r="B937" s="207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210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</row>
    <row r="938" ht="15.75" customHeight="1">
      <c r="A938" s="207"/>
      <c r="B938" s="207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210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</row>
    <row r="939" ht="15.75" customHeight="1">
      <c r="A939" s="207"/>
      <c r="B939" s="207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210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</row>
    <row r="940" ht="15.75" customHeight="1">
      <c r="A940" s="207"/>
      <c r="B940" s="207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210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</row>
    <row r="941" ht="15.75" customHeight="1">
      <c r="A941" s="207"/>
      <c r="B941" s="207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210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</row>
    <row r="942" ht="15.75" customHeight="1">
      <c r="A942" s="207"/>
      <c r="B942" s="207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210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</row>
    <row r="943" ht="15.75" customHeight="1">
      <c r="A943" s="207"/>
      <c r="B943" s="207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210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</row>
    <row r="944" ht="15.75" customHeight="1">
      <c r="A944" s="207"/>
      <c r="B944" s="207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210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</row>
    <row r="945" ht="15.75" customHeight="1">
      <c r="A945" s="207"/>
      <c r="B945" s="207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210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</row>
    <row r="946" ht="15.75" customHeight="1">
      <c r="A946" s="207"/>
      <c r="B946" s="207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210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</row>
    <row r="947" ht="15.75" customHeight="1">
      <c r="A947" s="207"/>
      <c r="B947" s="207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210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</row>
    <row r="948" ht="15.75" customHeight="1">
      <c r="A948" s="207"/>
      <c r="B948" s="207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210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</row>
    <row r="949" ht="15.75" customHeight="1">
      <c r="A949" s="207"/>
      <c r="B949" s="207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210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</row>
    <row r="950" ht="15.75" customHeight="1">
      <c r="A950" s="207"/>
      <c r="B950" s="207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210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</row>
    <row r="951" ht="15.75" customHeight="1">
      <c r="A951" s="207"/>
      <c r="B951" s="207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210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</row>
    <row r="952" ht="15.75" customHeight="1">
      <c r="A952" s="207"/>
      <c r="B952" s="207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210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</row>
    <row r="953" ht="15.75" customHeight="1">
      <c r="A953" s="207"/>
      <c r="B953" s="207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210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</row>
    <row r="954" ht="15.75" customHeight="1">
      <c r="A954" s="207"/>
      <c r="B954" s="207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210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</row>
    <row r="955" ht="15.75" customHeight="1">
      <c r="A955" s="207"/>
      <c r="B955" s="207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210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</row>
    <row r="956" ht="15.75" customHeight="1">
      <c r="A956" s="207"/>
      <c r="B956" s="207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210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</row>
    <row r="957" ht="15.75" customHeight="1">
      <c r="A957" s="207"/>
      <c r="B957" s="207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210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</row>
    <row r="958" ht="15.75" customHeight="1">
      <c r="A958" s="207"/>
      <c r="B958" s="207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210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</row>
    <row r="959" ht="15.75" customHeight="1">
      <c r="A959" s="207"/>
      <c r="B959" s="207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210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</row>
    <row r="960" ht="15.75" customHeight="1">
      <c r="A960" s="207"/>
      <c r="B960" s="207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210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</row>
    <row r="961" ht="15.75" customHeight="1">
      <c r="A961" s="207"/>
      <c r="B961" s="207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210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</row>
    <row r="962" ht="15.75" customHeight="1">
      <c r="A962" s="207"/>
      <c r="B962" s="207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210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</row>
    <row r="963" ht="15.75" customHeight="1">
      <c r="A963" s="207"/>
      <c r="B963" s="207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210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</row>
    <row r="964" ht="15.75" customHeight="1">
      <c r="A964" s="207"/>
      <c r="B964" s="207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210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</row>
    <row r="965" ht="15.75" customHeight="1">
      <c r="A965" s="207"/>
      <c r="B965" s="207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210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</row>
    <row r="966" ht="15.75" customHeight="1">
      <c r="A966" s="207"/>
      <c r="B966" s="207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210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</row>
    <row r="967" ht="15.75" customHeight="1">
      <c r="A967" s="207"/>
      <c r="B967" s="207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210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</row>
    <row r="968" ht="15.75" customHeight="1">
      <c r="A968" s="207"/>
      <c r="B968" s="207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210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</row>
    <row r="969" ht="15.75" customHeight="1">
      <c r="A969" s="207"/>
      <c r="B969" s="207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210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</row>
    <row r="970" ht="15.75" customHeight="1">
      <c r="A970" s="207"/>
      <c r="B970" s="207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210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</row>
    <row r="971" ht="15.75" customHeight="1">
      <c r="A971" s="207"/>
      <c r="B971" s="207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210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</row>
    <row r="972" ht="15.75" customHeight="1">
      <c r="A972" s="207"/>
      <c r="B972" s="207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210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</row>
    <row r="973" ht="15.75" customHeight="1">
      <c r="A973" s="207"/>
      <c r="B973" s="207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210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</row>
    <row r="974" ht="15.75" customHeight="1">
      <c r="A974" s="207"/>
      <c r="B974" s="207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210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</row>
    <row r="975" ht="15.75" customHeight="1">
      <c r="A975" s="207"/>
      <c r="B975" s="207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210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</row>
    <row r="976" ht="15.75" customHeight="1">
      <c r="A976" s="207"/>
      <c r="B976" s="207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210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</row>
    <row r="977" ht="15.75" customHeight="1">
      <c r="A977" s="207"/>
      <c r="B977" s="207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210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</row>
    <row r="978" ht="15.75" customHeight="1">
      <c r="A978" s="207"/>
      <c r="B978" s="207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210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</row>
    <row r="979" ht="15.75" customHeight="1">
      <c r="A979" s="207"/>
      <c r="B979" s="207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210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</row>
    <row r="980" ht="15.75" customHeight="1">
      <c r="A980" s="207"/>
      <c r="B980" s="207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210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</row>
    <row r="981" ht="15.75" customHeight="1">
      <c r="A981" s="207"/>
      <c r="B981" s="207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210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</row>
    <row r="982" ht="15.75" customHeight="1">
      <c r="A982" s="207"/>
      <c r="B982" s="207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210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</row>
    <row r="983" ht="15.75" customHeight="1">
      <c r="A983" s="207"/>
      <c r="B983" s="207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210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</row>
    <row r="984" ht="15.75" customHeight="1">
      <c r="A984" s="207"/>
      <c r="B984" s="207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210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</row>
    <row r="985" ht="15.75" customHeight="1">
      <c r="A985" s="207"/>
      <c r="B985" s="207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210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</row>
    <row r="986" ht="15.75" customHeight="1">
      <c r="A986" s="207"/>
      <c r="B986" s="207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210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</row>
    <row r="987" ht="15.75" customHeight="1">
      <c r="A987" s="207"/>
      <c r="B987" s="207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210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</row>
    <row r="988" ht="15.75" customHeight="1">
      <c r="A988" s="207"/>
      <c r="B988" s="207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210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</row>
    <row r="989" ht="15.75" customHeight="1">
      <c r="A989" s="207"/>
      <c r="B989" s="207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210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</row>
    <row r="990" ht="15.75" customHeight="1">
      <c r="A990" s="207"/>
      <c r="B990" s="207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210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</row>
    <row r="991" ht="15.75" customHeight="1">
      <c r="A991" s="207"/>
      <c r="B991" s="207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210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</row>
    <row r="992" ht="15.75" customHeight="1">
      <c r="A992" s="207"/>
      <c r="B992" s="207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210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</row>
    <row r="993" ht="15.75" customHeight="1">
      <c r="A993" s="207"/>
      <c r="B993" s="207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210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</row>
    <row r="994" ht="15.75" customHeight="1">
      <c r="A994" s="207"/>
      <c r="B994" s="207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210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</row>
    <row r="995" ht="15.75" customHeight="1">
      <c r="A995" s="207"/>
      <c r="B995" s="207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210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</row>
    <row r="996" ht="15.75" customHeight="1">
      <c r="A996" s="207"/>
      <c r="B996" s="207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210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</row>
    <row r="997" ht="15.75" customHeight="1">
      <c r="A997" s="207"/>
      <c r="B997" s="207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210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</row>
    <row r="998" ht="15.75" customHeight="1">
      <c r="A998" s="207"/>
      <c r="B998" s="207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210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</row>
    <row r="999" ht="15.75" customHeight="1">
      <c r="A999" s="207"/>
      <c r="B999" s="207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210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</row>
    <row r="1000" ht="15.75" customHeight="1">
      <c r="A1000" s="207"/>
      <c r="B1000" s="207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210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6.43"/>
    <col customWidth="1" min="2" max="2" width="8.71"/>
    <col customWidth="1" min="3" max="3" width="11.86"/>
    <col customWidth="1" min="4" max="5" width="18.57"/>
    <col customWidth="1" min="6" max="6" width="12.29"/>
    <col customWidth="1" min="7" max="10" width="8.71"/>
    <col customWidth="1" min="11" max="13" width="14.43"/>
    <col customWidth="1" min="14" max="14" width="20.57"/>
    <col customWidth="1" min="15" max="16" width="11.14"/>
    <col customWidth="1" min="17" max="17" width="11.43"/>
    <col customWidth="1" min="18" max="28" width="8.71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3" t="s">
        <v>11</v>
      </c>
      <c r="L1" s="3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18</v>
      </c>
      <c r="R1" s="259" t="s">
        <v>19</v>
      </c>
      <c r="S1" s="260" t="s">
        <v>20</v>
      </c>
      <c r="T1" s="260" t="s">
        <v>21</v>
      </c>
      <c r="U1" s="260" t="s">
        <v>22</v>
      </c>
      <c r="V1" s="261" t="s">
        <v>23</v>
      </c>
      <c r="W1" s="261" t="s">
        <v>24</v>
      </c>
      <c r="X1" s="80"/>
      <c r="Y1" s="80"/>
      <c r="Z1" s="80"/>
      <c r="AA1" s="80"/>
      <c r="AB1" s="80"/>
    </row>
    <row r="2" ht="14.25" customHeight="1">
      <c r="A2" s="8">
        <v>1.0</v>
      </c>
      <c r="B2" s="8" t="s">
        <v>25</v>
      </c>
      <c r="C2" s="32" t="s">
        <v>26</v>
      </c>
      <c r="D2" s="32"/>
      <c r="E2" s="32"/>
      <c r="F2" s="88"/>
      <c r="G2" s="88"/>
      <c r="H2" s="88"/>
      <c r="I2" s="90">
        <f t="shared" ref="I2:I61" si="1">max(0,K2-G2)</f>
        <v>0</v>
      </c>
      <c r="J2" s="262"/>
      <c r="K2" s="262"/>
      <c r="L2" s="90">
        <f t="shared" ref="L2:L61" si="2">J2+H2</f>
        <v>0</v>
      </c>
      <c r="M2" s="90">
        <f t="shared" ref="M2:M61" si="3">G2+H2+I2+J2</f>
        <v>0</v>
      </c>
      <c r="N2" s="32"/>
      <c r="O2" s="32">
        <v>16.904</v>
      </c>
      <c r="P2" s="32">
        <v>12.699</v>
      </c>
      <c r="Q2" s="32">
        <f t="shared" ref="Q2:Q61" si="4">(D2*O2)+(E2*P2)</f>
        <v>0</v>
      </c>
      <c r="R2" s="263"/>
      <c r="S2" s="264"/>
      <c r="T2" s="264"/>
      <c r="U2" s="264"/>
      <c r="V2" s="265">
        <f t="shared" ref="V2:V61" si="5">S2-R2</f>
        <v>0</v>
      </c>
      <c r="W2" s="265">
        <f t="shared" ref="W2:W61" si="6">U2-T2</f>
        <v>0</v>
      </c>
    </row>
    <row r="3" ht="14.25" customHeight="1">
      <c r="A3" s="8">
        <v>2.0</v>
      </c>
      <c r="B3" s="8" t="s">
        <v>25</v>
      </c>
      <c r="C3" s="32" t="s">
        <v>27</v>
      </c>
      <c r="D3" s="32"/>
      <c r="E3" s="32"/>
      <c r="F3" s="88"/>
      <c r="G3" s="88"/>
      <c r="H3" s="88"/>
      <c r="I3" s="90">
        <f t="shared" si="1"/>
        <v>0</v>
      </c>
      <c r="J3" s="262"/>
      <c r="K3" s="262"/>
      <c r="L3" s="90">
        <f t="shared" si="2"/>
        <v>0</v>
      </c>
      <c r="M3" s="90">
        <f t="shared" si="3"/>
        <v>0</v>
      </c>
      <c r="N3" s="32"/>
      <c r="O3" s="32">
        <v>16.904</v>
      </c>
      <c r="P3" s="32">
        <v>12.699</v>
      </c>
      <c r="Q3" s="32">
        <f t="shared" si="4"/>
        <v>0</v>
      </c>
      <c r="R3" s="263"/>
      <c r="S3" s="264"/>
      <c r="T3" s="264"/>
      <c r="U3" s="264"/>
      <c r="V3" s="265">
        <f t="shared" si="5"/>
        <v>0</v>
      </c>
      <c r="W3" s="265">
        <f t="shared" si="6"/>
        <v>0</v>
      </c>
    </row>
    <row r="4" ht="14.25" customHeight="1">
      <c r="A4" s="8">
        <v>3.0</v>
      </c>
      <c r="B4" s="8" t="s">
        <v>25</v>
      </c>
      <c r="C4" s="32" t="s">
        <v>28</v>
      </c>
      <c r="D4" s="32"/>
      <c r="E4" s="32"/>
      <c r="F4" s="88"/>
      <c r="G4" s="88"/>
      <c r="H4" s="88"/>
      <c r="I4" s="90">
        <f t="shared" si="1"/>
        <v>0</v>
      </c>
      <c r="J4" s="262"/>
      <c r="K4" s="262"/>
      <c r="L4" s="90">
        <f t="shared" si="2"/>
        <v>0</v>
      </c>
      <c r="M4" s="90">
        <f t="shared" si="3"/>
        <v>0</v>
      </c>
      <c r="N4" s="32"/>
      <c r="O4" s="32">
        <v>16.904</v>
      </c>
      <c r="P4" s="32">
        <v>12.699</v>
      </c>
      <c r="Q4" s="32">
        <f t="shared" si="4"/>
        <v>0</v>
      </c>
      <c r="R4" s="263"/>
      <c r="S4" s="263"/>
      <c r="T4" s="263"/>
      <c r="U4" s="264"/>
      <c r="V4" s="265">
        <f t="shared" si="5"/>
        <v>0</v>
      </c>
      <c r="W4" s="265">
        <f t="shared" si="6"/>
        <v>0</v>
      </c>
    </row>
    <row r="5" ht="14.25" customHeight="1">
      <c r="A5" s="8">
        <v>4.0</v>
      </c>
      <c r="B5" s="8" t="s">
        <v>25</v>
      </c>
      <c r="C5" s="32" t="s">
        <v>29</v>
      </c>
      <c r="D5" s="32"/>
      <c r="E5" s="32"/>
      <c r="F5" s="88"/>
      <c r="G5" s="88"/>
      <c r="H5" s="88"/>
      <c r="I5" s="90">
        <f t="shared" si="1"/>
        <v>0</v>
      </c>
      <c r="J5" s="262"/>
      <c r="K5" s="262"/>
      <c r="L5" s="90">
        <f t="shared" si="2"/>
        <v>0</v>
      </c>
      <c r="M5" s="90">
        <f t="shared" si="3"/>
        <v>0</v>
      </c>
      <c r="N5" s="32"/>
      <c r="O5" s="32">
        <v>16.904</v>
      </c>
      <c r="P5" s="32">
        <v>12.699</v>
      </c>
      <c r="Q5" s="32">
        <f t="shared" si="4"/>
        <v>0</v>
      </c>
      <c r="R5" s="263"/>
      <c r="S5" s="263"/>
      <c r="T5" s="263"/>
      <c r="U5" s="264"/>
      <c r="V5" s="265">
        <f t="shared" si="5"/>
        <v>0</v>
      </c>
      <c r="W5" s="265">
        <f t="shared" si="6"/>
        <v>0</v>
      </c>
    </row>
    <row r="6" ht="14.25" customHeight="1">
      <c r="A6" s="8">
        <v>5.0</v>
      </c>
      <c r="B6" s="8" t="s">
        <v>25</v>
      </c>
      <c r="C6" s="32" t="s">
        <v>30</v>
      </c>
      <c r="D6" s="32"/>
      <c r="E6" s="32"/>
      <c r="F6" s="88"/>
      <c r="G6" s="88"/>
      <c r="H6" s="88"/>
      <c r="I6" s="90">
        <f t="shared" si="1"/>
        <v>0</v>
      </c>
      <c r="J6" s="262"/>
      <c r="K6" s="262"/>
      <c r="L6" s="90">
        <f t="shared" si="2"/>
        <v>0</v>
      </c>
      <c r="M6" s="90">
        <f t="shared" si="3"/>
        <v>0</v>
      </c>
      <c r="N6" s="32"/>
      <c r="O6" s="32">
        <v>16.904</v>
      </c>
      <c r="P6" s="32">
        <v>12.699</v>
      </c>
      <c r="Q6" s="32">
        <f t="shared" si="4"/>
        <v>0</v>
      </c>
      <c r="R6" s="263"/>
      <c r="S6" s="263"/>
      <c r="T6" s="263"/>
      <c r="U6" s="264"/>
      <c r="V6" s="265">
        <f t="shared" si="5"/>
        <v>0</v>
      </c>
      <c r="W6" s="265">
        <f t="shared" si="6"/>
        <v>0</v>
      </c>
    </row>
    <row r="7" ht="14.25" customHeight="1">
      <c r="A7" s="8">
        <v>6.0</v>
      </c>
      <c r="B7" s="8" t="s">
        <v>25</v>
      </c>
      <c r="C7" s="32" t="s">
        <v>31</v>
      </c>
      <c r="D7" s="32"/>
      <c r="E7" s="32"/>
      <c r="F7" s="88"/>
      <c r="G7" s="88"/>
      <c r="H7" s="88"/>
      <c r="I7" s="90">
        <f t="shared" si="1"/>
        <v>0</v>
      </c>
      <c r="J7" s="262"/>
      <c r="K7" s="262"/>
      <c r="L7" s="90">
        <f t="shared" si="2"/>
        <v>0</v>
      </c>
      <c r="M7" s="90">
        <f t="shared" si="3"/>
        <v>0</v>
      </c>
      <c r="N7" s="32"/>
      <c r="O7" s="32">
        <v>16.904</v>
      </c>
      <c r="P7" s="32">
        <v>12.699</v>
      </c>
      <c r="Q7" s="32">
        <f t="shared" si="4"/>
        <v>0</v>
      </c>
      <c r="R7" s="263"/>
      <c r="S7" s="263"/>
      <c r="T7" s="263"/>
      <c r="U7" s="264"/>
      <c r="V7" s="265">
        <f t="shared" si="5"/>
        <v>0</v>
      </c>
      <c r="W7" s="265">
        <f t="shared" si="6"/>
        <v>0</v>
      </c>
    </row>
    <row r="8" ht="14.25" customHeight="1">
      <c r="A8" s="8">
        <v>7.0</v>
      </c>
      <c r="B8" s="8" t="s">
        <v>25</v>
      </c>
      <c r="C8" s="32" t="s">
        <v>32</v>
      </c>
      <c r="D8" s="32"/>
      <c r="E8" s="32"/>
      <c r="F8" s="88"/>
      <c r="G8" s="88"/>
      <c r="H8" s="88"/>
      <c r="I8" s="90">
        <f t="shared" si="1"/>
        <v>0</v>
      </c>
      <c r="J8" s="262"/>
      <c r="K8" s="262"/>
      <c r="L8" s="90">
        <f t="shared" si="2"/>
        <v>0</v>
      </c>
      <c r="M8" s="90">
        <f t="shared" si="3"/>
        <v>0</v>
      </c>
      <c r="N8" s="32"/>
      <c r="O8" s="32">
        <v>16.904</v>
      </c>
      <c r="P8" s="32">
        <v>12.699</v>
      </c>
      <c r="Q8" s="32">
        <f t="shared" si="4"/>
        <v>0</v>
      </c>
      <c r="R8" s="263"/>
      <c r="S8" s="263"/>
      <c r="T8" s="263"/>
      <c r="U8" s="264"/>
      <c r="V8" s="265">
        <f t="shared" si="5"/>
        <v>0</v>
      </c>
      <c r="W8" s="265">
        <f t="shared" si="6"/>
        <v>0</v>
      </c>
    </row>
    <row r="9" ht="14.25" customHeight="1">
      <c r="A9" s="8">
        <v>8.0</v>
      </c>
      <c r="B9" s="8" t="s">
        <v>25</v>
      </c>
      <c r="C9" s="32" t="s">
        <v>33</v>
      </c>
      <c r="D9" s="32"/>
      <c r="E9" s="32"/>
      <c r="F9" s="88"/>
      <c r="G9" s="88"/>
      <c r="H9" s="88"/>
      <c r="I9" s="90">
        <f t="shared" si="1"/>
        <v>0</v>
      </c>
      <c r="J9" s="262"/>
      <c r="K9" s="262"/>
      <c r="L9" s="90">
        <f t="shared" si="2"/>
        <v>0</v>
      </c>
      <c r="M9" s="90">
        <f t="shared" si="3"/>
        <v>0</v>
      </c>
      <c r="N9" s="32"/>
      <c r="O9" s="32">
        <v>16.904</v>
      </c>
      <c r="P9" s="32">
        <v>12.699</v>
      </c>
      <c r="Q9" s="32">
        <f t="shared" si="4"/>
        <v>0</v>
      </c>
      <c r="R9" s="263"/>
      <c r="S9" s="263"/>
      <c r="T9" s="263"/>
      <c r="U9" s="264"/>
      <c r="V9" s="265">
        <f t="shared" si="5"/>
        <v>0</v>
      </c>
      <c r="W9" s="265">
        <f t="shared" si="6"/>
        <v>0</v>
      </c>
    </row>
    <row r="10" ht="14.25" customHeight="1">
      <c r="A10" s="8">
        <v>9.0</v>
      </c>
      <c r="B10" s="8" t="s">
        <v>25</v>
      </c>
      <c r="C10" s="32" t="s">
        <v>34</v>
      </c>
      <c r="D10" s="32"/>
      <c r="E10" s="32"/>
      <c r="F10" s="88"/>
      <c r="G10" s="88"/>
      <c r="H10" s="88"/>
      <c r="I10" s="90">
        <f t="shared" si="1"/>
        <v>0</v>
      </c>
      <c r="J10" s="262"/>
      <c r="K10" s="262"/>
      <c r="L10" s="90">
        <f t="shared" si="2"/>
        <v>0</v>
      </c>
      <c r="M10" s="90">
        <f t="shared" si="3"/>
        <v>0</v>
      </c>
      <c r="N10" s="32"/>
      <c r="O10" s="32">
        <v>16.904</v>
      </c>
      <c r="P10" s="32">
        <v>12.699</v>
      </c>
      <c r="Q10" s="32">
        <f t="shared" si="4"/>
        <v>0</v>
      </c>
      <c r="R10" s="263"/>
      <c r="S10" s="263"/>
      <c r="T10" s="263"/>
      <c r="U10" s="264"/>
      <c r="V10" s="265">
        <f t="shared" si="5"/>
        <v>0</v>
      </c>
      <c r="W10" s="265">
        <f t="shared" si="6"/>
        <v>0</v>
      </c>
    </row>
    <row r="11" ht="14.25" customHeight="1">
      <c r="A11" s="8">
        <v>10.0</v>
      </c>
      <c r="B11" s="8" t="s">
        <v>25</v>
      </c>
      <c r="C11" s="32" t="s">
        <v>35</v>
      </c>
      <c r="D11" s="32"/>
      <c r="E11" s="32"/>
      <c r="F11" s="88"/>
      <c r="G11" s="88"/>
      <c r="H11" s="88"/>
      <c r="I11" s="90">
        <f t="shared" si="1"/>
        <v>0</v>
      </c>
      <c r="J11" s="262"/>
      <c r="K11" s="262"/>
      <c r="L11" s="90">
        <f t="shared" si="2"/>
        <v>0</v>
      </c>
      <c r="M11" s="90">
        <f t="shared" si="3"/>
        <v>0</v>
      </c>
      <c r="N11" s="32"/>
      <c r="O11" s="32">
        <v>16.904</v>
      </c>
      <c r="P11" s="32">
        <v>12.699</v>
      </c>
      <c r="Q11" s="32">
        <f t="shared" si="4"/>
        <v>0</v>
      </c>
      <c r="R11" s="263"/>
      <c r="S11" s="263"/>
      <c r="T11" s="263"/>
      <c r="U11" s="264"/>
      <c r="V11" s="265">
        <f t="shared" si="5"/>
        <v>0</v>
      </c>
      <c r="W11" s="265">
        <f t="shared" si="6"/>
        <v>0</v>
      </c>
    </row>
    <row r="12" ht="14.25" customHeight="1">
      <c r="A12" s="8">
        <v>11.0</v>
      </c>
      <c r="B12" s="8" t="s">
        <v>25</v>
      </c>
      <c r="C12" s="32" t="s">
        <v>36</v>
      </c>
      <c r="D12" s="32"/>
      <c r="E12" s="32"/>
      <c r="F12" s="88"/>
      <c r="G12" s="88"/>
      <c r="H12" s="88"/>
      <c r="I12" s="90">
        <f t="shared" si="1"/>
        <v>0</v>
      </c>
      <c r="J12" s="262"/>
      <c r="K12" s="262"/>
      <c r="L12" s="90">
        <f t="shared" si="2"/>
        <v>0</v>
      </c>
      <c r="M12" s="90">
        <f t="shared" si="3"/>
        <v>0</v>
      </c>
      <c r="N12" s="32"/>
      <c r="O12" s="32">
        <v>16.904</v>
      </c>
      <c r="P12" s="32">
        <v>12.699</v>
      </c>
      <c r="Q12" s="32">
        <f t="shared" si="4"/>
        <v>0</v>
      </c>
      <c r="R12" s="263"/>
      <c r="S12" s="263"/>
      <c r="T12" s="263"/>
      <c r="U12" s="264"/>
      <c r="V12" s="265">
        <f t="shared" si="5"/>
        <v>0</v>
      </c>
      <c r="W12" s="265">
        <f t="shared" si="6"/>
        <v>0</v>
      </c>
    </row>
    <row r="13" ht="14.25" customHeight="1">
      <c r="A13" s="8">
        <v>12.0</v>
      </c>
      <c r="B13" s="8" t="s">
        <v>25</v>
      </c>
      <c r="C13" s="32" t="s">
        <v>37</v>
      </c>
      <c r="D13" s="32"/>
      <c r="E13" s="32"/>
      <c r="F13" s="88"/>
      <c r="G13" s="88"/>
      <c r="H13" s="88"/>
      <c r="I13" s="90">
        <f t="shared" si="1"/>
        <v>0</v>
      </c>
      <c r="J13" s="262"/>
      <c r="K13" s="262"/>
      <c r="L13" s="90">
        <f t="shared" si="2"/>
        <v>0</v>
      </c>
      <c r="M13" s="90">
        <f t="shared" si="3"/>
        <v>0</v>
      </c>
      <c r="N13" s="32"/>
      <c r="O13" s="32">
        <v>16.904</v>
      </c>
      <c r="P13" s="32">
        <v>12.699</v>
      </c>
      <c r="Q13" s="32">
        <f t="shared" si="4"/>
        <v>0</v>
      </c>
      <c r="R13" s="263"/>
      <c r="S13" s="263"/>
      <c r="T13" s="263"/>
      <c r="U13" s="264"/>
      <c r="V13" s="265">
        <f t="shared" si="5"/>
        <v>0</v>
      </c>
      <c r="W13" s="265">
        <f t="shared" si="6"/>
        <v>0</v>
      </c>
    </row>
    <row r="14" ht="14.25" customHeight="1">
      <c r="A14" s="8">
        <v>13.0</v>
      </c>
      <c r="B14" s="8" t="s">
        <v>25</v>
      </c>
      <c r="C14" s="32" t="s">
        <v>38</v>
      </c>
      <c r="D14" s="32"/>
      <c r="E14" s="32"/>
      <c r="F14" s="88"/>
      <c r="G14" s="88"/>
      <c r="H14" s="88"/>
      <c r="I14" s="90">
        <f t="shared" si="1"/>
        <v>0</v>
      </c>
      <c r="J14" s="262"/>
      <c r="K14" s="262"/>
      <c r="L14" s="90">
        <f t="shared" si="2"/>
        <v>0</v>
      </c>
      <c r="M14" s="90">
        <f t="shared" si="3"/>
        <v>0</v>
      </c>
      <c r="N14" s="32"/>
      <c r="O14" s="32">
        <v>16.904</v>
      </c>
      <c r="P14" s="32">
        <v>12.699</v>
      </c>
      <c r="Q14" s="32">
        <f t="shared" si="4"/>
        <v>0</v>
      </c>
      <c r="R14" s="263"/>
      <c r="S14" s="263"/>
      <c r="T14" s="263"/>
      <c r="U14" s="264"/>
      <c r="V14" s="265">
        <f t="shared" si="5"/>
        <v>0</v>
      </c>
      <c r="W14" s="265">
        <f t="shared" si="6"/>
        <v>0</v>
      </c>
    </row>
    <row r="15" ht="14.25" customHeight="1">
      <c r="A15" s="8">
        <v>14.0</v>
      </c>
      <c r="B15" s="8" t="s">
        <v>25</v>
      </c>
      <c r="C15" s="32" t="s">
        <v>39</v>
      </c>
      <c r="D15" s="32"/>
      <c r="E15" s="32"/>
      <c r="F15" s="88"/>
      <c r="G15" s="88"/>
      <c r="H15" s="88"/>
      <c r="I15" s="90">
        <f t="shared" si="1"/>
        <v>0</v>
      </c>
      <c r="J15" s="262"/>
      <c r="K15" s="262"/>
      <c r="L15" s="90">
        <f t="shared" si="2"/>
        <v>0</v>
      </c>
      <c r="M15" s="90">
        <f t="shared" si="3"/>
        <v>0</v>
      </c>
      <c r="N15" s="32"/>
      <c r="O15" s="32">
        <v>16.904</v>
      </c>
      <c r="P15" s="32">
        <v>12.699</v>
      </c>
      <c r="Q15" s="32">
        <f t="shared" si="4"/>
        <v>0</v>
      </c>
      <c r="R15" s="263"/>
      <c r="S15" s="263"/>
      <c r="T15" s="263"/>
      <c r="U15" s="264"/>
      <c r="V15" s="265">
        <f t="shared" si="5"/>
        <v>0</v>
      </c>
      <c r="W15" s="265">
        <f t="shared" si="6"/>
        <v>0</v>
      </c>
    </row>
    <row r="16" ht="14.25" customHeight="1">
      <c r="A16" s="8">
        <v>15.0</v>
      </c>
      <c r="B16" s="8" t="s">
        <v>25</v>
      </c>
      <c r="C16" s="32" t="s">
        <v>40</v>
      </c>
      <c r="D16" s="32"/>
      <c r="E16" s="32"/>
      <c r="F16" s="88"/>
      <c r="G16" s="88"/>
      <c r="H16" s="88"/>
      <c r="I16" s="90">
        <f t="shared" si="1"/>
        <v>0</v>
      </c>
      <c r="J16" s="262"/>
      <c r="K16" s="262"/>
      <c r="L16" s="90">
        <f t="shared" si="2"/>
        <v>0</v>
      </c>
      <c r="M16" s="90">
        <f t="shared" si="3"/>
        <v>0</v>
      </c>
      <c r="N16" s="32"/>
      <c r="O16" s="32">
        <v>16.904</v>
      </c>
      <c r="P16" s="32">
        <v>12.699</v>
      </c>
      <c r="Q16" s="32">
        <f t="shared" si="4"/>
        <v>0</v>
      </c>
      <c r="R16" s="263"/>
      <c r="S16" s="263"/>
      <c r="T16" s="263"/>
      <c r="U16" s="264"/>
      <c r="V16" s="265">
        <f t="shared" si="5"/>
        <v>0</v>
      </c>
      <c r="W16" s="265">
        <f t="shared" si="6"/>
        <v>0</v>
      </c>
    </row>
    <row r="17" ht="14.25" customHeight="1">
      <c r="A17" s="8">
        <v>16.0</v>
      </c>
      <c r="B17" s="8" t="s">
        <v>25</v>
      </c>
      <c r="C17" s="32" t="s">
        <v>41</v>
      </c>
      <c r="D17" s="32"/>
      <c r="E17" s="32"/>
      <c r="F17" s="88"/>
      <c r="G17" s="88"/>
      <c r="H17" s="88"/>
      <c r="I17" s="90">
        <f t="shared" si="1"/>
        <v>0</v>
      </c>
      <c r="J17" s="262"/>
      <c r="K17" s="262"/>
      <c r="L17" s="90">
        <f t="shared" si="2"/>
        <v>0</v>
      </c>
      <c r="M17" s="90">
        <f t="shared" si="3"/>
        <v>0</v>
      </c>
      <c r="N17" s="32"/>
      <c r="O17" s="32">
        <v>16.904</v>
      </c>
      <c r="P17" s="32">
        <v>12.699</v>
      </c>
      <c r="Q17" s="32">
        <f t="shared" si="4"/>
        <v>0</v>
      </c>
      <c r="R17" s="263"/>
      <c r="S17" s="263"/>
      <c r="T17" s="263"/>
      <c r="U17" s="264"/>
      <c r="V17" s="265">
        <f t="shared" si="5"/>
        <v>0</v>
      </c>
      <c r="W17" s="265">
        <f t="shared" si="6"/>
        <v>0</v>
      </c>
    </row>
    <row r="18" ht="14.25" customHeight="1">
      <c r="A18" s="8">
        <v>17.0</v>
      </c>
      <c r="B18" s="8" t="s">
        <v>25</v>
      </c>
      <c r="C18" s="32" t="s">
        <v>42</v>
      </c>
      <c r="D18" s="32"/>
      <c r="E18" s="32"/>
      <c r="F18" s="88"/>
      <c r="G18" s="88"/>
      <c r="H18" s="88"/>
      <c r="I18" s="90">
        <f t="shared" si="1"/>
        <v>0</v>
      </c>
      <c r="J18" s="262"/>
      <c r="K18" s="262"/>
      <c r="L18" s="90">
        <f t="shared" si="2"/>
        <v>0</v>
      </c>
      <c r="M18" s="90">
        <f t="shared" si="3"/>
        <v>0</v>
      </c>
      <c r="N18" s="32"/>
      <c r="O18" s="32">
        <v>16.904</v>
      </c>
      <c r="P18" s="32">
        <v>12.699</v>
      </c>
      <c r="Q18" s="32">
        <f t="shared" si="4"/>
        <v>0</v>
      </c>
      <c r="R18" s="263"/>
      <c r="S18" s="263"/>
      <c r="T18" s="263"/>
      <c r="U18" s="264"/>
      <c r="V18" s="265">
        <f t="shared" si="5"/>
        <v>0</v>
      </c>
      <c r="W18" s="265">
        <f t="shared" si="6"/>
        <v>0</v>
      </c>
    </row>
    <row r="19" ht="14.25" customHeight="1">
      <c r="A19" s="8">
        <v>18.0</v>
      </c>
      <c r="B19" s="8" t="s">
        <v>25</v>
      </c>
      <c r="C19" s="32" t="s">
        <v>43</v>
      </c>
      <c r="D19" s="32"/>
      <c r="E19" s="32"/>
      <c r="F19" s="88"/>
      <c r="G19" s="88"/>
      <c r="H19" s="88"/>
      <c r="I19" s="90">
        <f t="shared" si="1"/>
        <v>0</v>
      </c>
      <c r="J19" s="262"/>
      <c r="K19" s="262"/>
      <c r="L19" s="90">
        <f t="shared" si="2"/>
        <v>0</v>
      </c>
      <c r="M19" s="90">
        <f t="shared" si="3"/>
        <v>0</v>
      </c>
      <c r="N19" s="32"/>
      <c r="O19" s="32">
        <v>16.904</v>
      </c>
      <c r="P19" s="32">
        <v>12.699</v>
      </c>
      <c r="Q19" s="32">
        <f t="shared" si="4"/>
        <v>0</v>
      </c>
      <c r="R19" s="263"/>
      <c r="S19" s="263"/>
      <c r="T19" s="263"/>
      <c r="U19" s="264"/>
      <c r="V19" s="265">
        <f t="shared" si="5"/>
        <v>0</v>
      </c>
      <c r="W19" s="265">
        <f t="shared" si="6"/>
        <v>0</v>
      </c>
    </row>
    <row r="20" ht="14.25" customHeight="1">
      <c r="A20" s="8">
        <v>19.0</v>
      </c>
      <c r="B20" s="8" t="s">
        <v>25</v>
      </c>
      <c r="C20" s="32" t="s">
        <v>44</v>
      </c>
      <c r="D20" s="32"/>
      <c r="E20" s="32"/>
      <c r="F20" s="88"/>
      <c r="G20" s="88"/>
      <c r="H20" s="88"/>
      <c r="I20" s="90">
        <f t="shared" si="1"/>
        <v>0</v>
      </c>
      <c r="J20" s="262"/>
      <c r="K20" s="262"/>
      <c r="L20" s="90">
        <f t="shared" si="2"/>
        <v>0</v>
      </c>
      <c r="M20" s="90">
        <f t="shared" si="3"/>
        <v>0</v>
      </c>
      <c r="N20" s="32"/>
      <c r="O20" s="32">
        <v>16.904</v>
      </c>
      <c r="P20" s="32">
        <v>12.699</v>
      </c>
      <c r="Q20" s="32">
        <f t="shared" si="4"/>
        <v>0</v>
      </c>
      <c r="R20" s="263"/>
      <c r="S20" s="263"/>
      <c r="T20" s="263"/>
      <c r="U20" s="264"/>
      <c r="V20" s="265">
        <f t="shared" si="5"/>
        <v>0</v>
      </c>
      <c r="W20" s="265">
        <f t="shared" si="6"/>
        <v>0</v>
      </c>
    </row>
    <row r="21" ht="14.25" customHeight="1">
      <c r="A21" s="8">
        <v>20.0</v>
      </c>
      <c r="B21" s="8" t="s">
        <v>25</v>
      </c>
      <c r="C21" s="32" t="s">
        <v>45</v>
      </c>
      <c r="D21" s="32"/>
      <c r="E21" s="32"/>
      <c r="F21" s="88"/>
      <c r="G21" s="88"/>
      <c r="H21" s="88"/>
      <c r="I21" s="90">
        <f t="shared" si="1"/>
        <v>0</v>
      </c>
      <c r="J21" s="262"/>
      <c r="K21" s="262"/>
      <c r="L21" s="90">
        <f t="shared" si="2"/>
        <v>0</v>
      </c>
      <c r="M21" s="90">
        <f t="shared" si="3"/>
        <v>0</v>
      </c>
      <c r="N21" s="32"/>
      <c r="O21" s="32">
        <v>16.904</v>
      </c>
      <c r="P21" s="32">
        <v>12.699</v>
      </c>
      <c r="Q21" s="32">
        <f t="shared" si="4"/>
        <v>0</v>
      </c>
      <c r="R21" s="263"/>
      <c r="S21" s="263"/>
      <c r="T21" s="263"/>
      <c r="U21" s="264"/>
      <c r="V21" s="265">
        <f t="shared" si="5"/>
        <v>0</v>
      </c>
      <c r="W21" s="265">
        <f t="shared" si="6"/>
        <v>0</v>
      </c>
    </row>
    <row r="22" ht="14.25" customHeight="1">
      <c r="A22" s="8">
        <v>21.0</v>
      </c>
      <c r="B22" s="8" t="s">
        <v>25</v>
      </c>
      <c r="C22" s="32" t="s">
        <v>46</v>
      </c>
      <c r="D22" s="32"/>
      <c r="E22" s="32"/>
      <c r="F22" s="88"/>
      <c r="G22" s="88"/>
      <c r="H22" s="88"/>
      <c r="I22" s="90">
        <f t="shared" si="1"/>
        <v>0</v>
      </c>
      <c r="J22" s="262"/>
      <c r="K22" s="262"/>
      <c r="L22" s="90">
        <f t="shared" si="2"/>
        <v>0</v>
      </c>
      <c r="M22" s="90">
        <f t="shared" si="3"/>
        <v>0</v>
      </c>
      <c r="N22" s="32"/>
      <c r="O22" s="32">
        <v>16.904</v>
      </c>
      <c r="P22" s="32">
        <v>12.699</v>
      </c>
      <c r="Q22" s="32">
        <f t="shared" si="4"/>
        <v>0</v>
      </c>
      <c r="R22" s="263"/>
      <c r="S22" s="263"/>
      <c r="T22" s="263"/>
      <c r="U22" s="264"/>
      <c r="V22" s="265">
        <f t="shared" si="5"/>
        <v>0</v>
      </c>
      <c r="W22" s="265">
        <f t="shared" si="6"/>
        <v>0</v>
      </c>
    </row>
    <row r="23" ht="14.25" customHeight="1">
      <c r="A23" s="8">
        <v>22.0</v>
      </c>
      <c r="B23" s="8" t="s">
        <v>25</v>
      </c>
      <c r="C23" s="32" t="s">
        <v>47</v>
      </c>
      <c r="D23" s="32"/>
      <c r="E23" s="32"/>
      <c r="F23" s="88"/>
      <c r="G23" s="88"/>
      <c r="H23" s="88"/>
      <c r="I23" s="90">
        <f t="shared" si="1"/>
        <v>0</v>
      </c>
      <c r="J23" s="262"/>
      <c r="K23" s="262"/>
      <c r="L23" s="90">
        <f t="shared" si="2"/>
        <v>0</v>
      </c>
      <c r="M23" s="90">
        <f t="shared" si="3"/>
        <v>0</v>
      </c>
      <c r="N23" s="32"/>
      <c r="O23" s="32">
        <v>16.904</v>
      </c>
      <c r="P23" s="32">
        <v>12.699</v>
      </c>
      <c r="Q23" s="32">
        <f t="shared" si="4"/>
        <v>0</v>
      </c>
      <c r="R23" s="263"/>
      <c r="S23" s="263"/>
      <c r="T23" s="263"/>
      <c r="U23" s="264"/>
      <c r="V23" s="265">
        <f t="shared" si="5"/>
        <v>0</v>
      </c>
      <c r="W23" s="265">
        <f t="shared" si="6"/>
        <v>0</v>
      </c>
    </row>
    <row r="24" ht="14.25" customHeight="1">
      <c r="A24" s="8">
        <v>23.0</v>
      </c>
      <c r="B24" s="8" t="s">
        <v>25</v>
      </c>
      <c r="C24" s="32" t="s">
        <v>48</v>
      </c>
      <c r="D24" s="32"/>
      <c r="E24" s="32"/>
      <c r="F24" s="88"/>
      <c r="G24" s="88"/>
      <c r="H24" s="88"/>
      <c r="I24" s="90">
        <f t="shared" si="1"/>
        <v>0</v>
      </c>
      <c r="J24" s="262"/>
      <c r="K24" s="262"/>
      <c r="L24" s="90">
        <f t="shared" si="2"/>
        <v>0</v>
      </c>
      <c r="M24" s="90">
        <f t="shared" si="3"/>
        <v>0</v>
      </c>
      <c r="N24" s="32"/>
      <c r="O24" s="32">
        <v>16.904</v>
      </c>
      <c r="P24" s="32">
        <v>12.699</v>
      </c>
      <c r="Q24" s="32">
        <f t="shared" si="4"/>
        <v>0</v>
      </c>
      <c r="R24" s="263"/>
      <c r="S24" s="263"/>
      <c r="T24" s="263"/>
      <c r="U24" s="264"/>
      <c r="V24" s="265">
        <f t="shared" si="5"/>
        <v>0</v>
      </c>
      <c r="W24" s="265">
        <f t="shared" si="6"/>
        <v>0</v>
      </c>
    </row>
    <row r="25" ht="14.25" customHeight="1">
      <c r="A25" s="8">
        <v>24.0</v>
      </c>
      <c r="B25" s="8" t="s">
        <v>25</v>
      </c>
      <c r="C25" s="32" t="s">
        <v>49</v>
      </c>
      <c r="D25" s="32"/>
      <c r="E25" s="32"/>
      <c r="F25" s="88"/>
      <c r="G25" s="88"/>
      <c r="H25" s="88"/>
      <c r="I25" s="90">
        <f t="shared" si="1"/>
        <v>0</v>
      </c>
      <c r="J25" s="262"/>
      <c r="K25" s="262"/>
      <c r="L25" s="90">
        <f t="shared" si="2"/>
        <v>0</v>
      </c>
      <c r="M25" s="90">
        <f t="shared" si="3"/>
        <v>0</v>
      </c>
      <c r="N25" s="32"/>
      <c r="O25" s="32">
        <v>16.904</v>
      </c>
      <c r="P25" s="32">
        <v>12.699</v>
      </c>
      <c r="Q25" s="32">
        <f t="shared" si="4"/>
        <v>0</v>
      </c>
      <c r="R25" s="263"/>
      <c r="S25" s="263"/>
      <c r="T25" s="263"/>
      <c r="U25" s="264"/>
      <c r="V25" s="265">
        <f t="shared" si="5"/>
        <v>0</v>
      </c>
      <c r="W25" s="265">
        <f t="shared" si="6"/>
        <v>0</v>
      </c>
    </row>
    <row r="26" ht="14.25" customHeight="1">
      <c r="A26" s="8">
        <v>25.0</v>
      </c>
      <c r="B26" s="8" t="s">
        <v>25</v>
      </c>
      <c r="C26" s="32" t="s">
        <v>50</v>
      </c>
      <c r="D26" s="32"/>
      <c r="E26" s="32"/>
      <c r="F26" s="88"/>
      <c r="G26" s="88"/>
      <c r="H26" s="88"/>
      <c r="I26" s="90">
        <f t="shared" si="1"/>
        <v>0</v>
      </c>
      <c r="J26" s="262"/>
      <c r="K26" s="262"/>
      <c r="L26" s="90">
        <f t="shared" si="2"/>
        <v>0</v>
      </c>
      <c r="M26" s="90">
        <f t="shared" si="3"/>
        <v>0</v>
      </c>
      <c r="N26" s="32"/>
      <c r="O26" s="32">
        <v>16.904</v>
      </c>
      <c r="P26" s="32">
        <v>12.699</v>
      </c>
      <c r="Q26" s="32">
        <f t="shared" si="4"/>
        <v>0</v>
      </c>
      <c r="R26" s="263"/>
      <c r="S26" s="263"/>
      <c r="T26" s="263"/>
      <c r="U26" s="264"/>
      <c r="V26" s="265">
        <f t="shared" si="5"/>
        <v>0</v>
      </c>
      <c r="W26" s="265">
        <f t="shared" si="6"/>
        <v>0</v>
      </c>
    </row>
    <row r="27" ht="14.25" customHeight="1">
      <c r="A27" s="8">
        <v>26.0</v>
      </c>
      <c r="B27" s="8" t="s">
        <v>25</v>
      </c>
      <c r="C27" s="32" t="s">
        <v>51</v>
      </c>
      <c r="D27" s="32"/>
      <c r="E27" s="32"/>
      <c r="F27" s="88"/>
      <c r="G27" s="88"/>
      <c r="H27" s="88"/>
      <c r="I27" s="90">
        <f t="shared" si="1"/>
        <v>0</v>
      </c>
      <c r="J27" s="262"/>
      <c r="K27" s="262"/>
      <c r="L27" s="90">
        <f t="shared" si="2"/>
        <v>0</v>
      </c>
      <c r="M27" s="90">
        <f t="shared" si="3"/>
        <v>0</v>
      </c>
      <c r="N27" s="32"/>
      <c r="O27" s="32">
        <v>16.904</v>
      </c>
      <c r="P27" s="32">
        <v>12.699</v>
      </c>
      <c r="Q27" s="32">
        <f t="shared" si="4"/>
        <v>0</v>
      </c>
      <c r="R27" s="263"/>
      <c r="S27" s="263"/>
      <c r="T27" s="263"/>
      <c r="U27" s="264"/>
      <c r="V27" s="265">
        <f t="shared" si="5"/>
        <v>0</v>
      </c>
      <c r="W27" s="265">
        <f t="shared" si="6"/>
        <v>0</v>
      </c>
    </row>
    <row r="28" ht="14.25" customHeight="1">
      <c r="A28" s="8">
        <v>27.0</v>
      </c>
      <c r="B28" s="8" t="s">
        <v>25</v>
      </c>
      <c r="C28" s="32" t="s">
        <v>52</v>
      </c>
      <c r="D28" s="32"/>
      <c r="E28" s="32"/>
      <c r="F28" s="88"/>
      <c r="G28" s="88"/>
      <c r="H28" s="88"/>
      <c r="I28" s="90">
        <f t="shared" si="1"/>
        <v>0</v>
      </c>
      <c r="J28" s="262"/>
      <c r="K28" s="262"/>
      <c r="L28" s="90">
        <f t="shared" si="2"/>
        <v>0</v>
      </c>
      <c r="M28" s="90">
        <f t="shared" si="3"/>
        <v>0</v>
      </c>
      <c r="N28" s="32"/>
      <c r="O28" s="32">
        <v>16.904</v>
      </c>
      <c r="P28" s="32">
        <v>12.699</v>
      </c>
      <c r="Q28" s="32">
        <f t="shared" si="4"/>
        <v>0</v>
      </c>
      <c r="R28" s="263"/>
      <c r="S28" s="263"/>
      <c r="T28" s="263"/>
      <c r="U28" s="264"/>
      <c r="V28" s="265">
        <f t="shared" si="5"/>
        <v>0</v>
      </c>
      <c r="W28" s="265">
        <f t="shared" si="6"/>
        <v>0</v>
      </c>
    </row>
    <row r="29" ht="14.25" customHeight="1">
      <c r="A29" s="8">
        <v>28.0</v>
      </c>
      <c r="B29" s="8" t="s">
        <v>25</v>
      </c>
      <c r="C29" s="32" t="s">
        <v>53</v>
      </c>
      <c r="D29" s="32"/>
      <c r="E29" s="32"/>
      <c r="F29" s="88"/>
      <c r="G29" s="88"/>
      <c r="H29" s="88"/>
      <c r="I29" s="90">
        <f t="shared" si="1"/>
        <v>0</v>
      </c>
      <c r="J29" s="262"/>
      <c r="K29" s="262"/>
      <c r="L29" s="90">
        <f t="shared" si="2"/>
        <v>0</v>
      </c>
      <c r="M29" s="90">
        <f t="shared" si="3"/>
        <v>0</v>
      </c>
      <c r="N29" s="32"/>
      <c r="O29" s="32">
        <v>16.904</v>
      </c>
      <c r="P29" s="32">
        <v>12.699</v>
      </c>
      <c r="Q29" s="32">
        <f t="shared" si="4"/>
        <v>0</v>
      </c>
      <c r="R29" s="263"/>
      <c r="S29" s="263"/>
      <c r="T29" s="263"/>
      <c r="U29" s="264"/>
      <c r="V29" s="265">
        <f t="shared" si="5"/>
        <v>0</v>
      </c>
      <c r="W29" s="265">
        <f t="shared" si="6"/>
        <v>0</v>
      </c>
    </row>
    <row r="30" ht="14.25" customHeight="1">
      <c r="A30" s="8">
        <v>29.0</v>
      </c>
      <c r="B30" s="8" t="s">
        <v>25</v>
      </c>
      <c r="C30" s="32" t="s">
        <v>54</v>
      </c>
      <c r="D30" s="32"/>
      <c r="E30" s="32"/>
      <c r="F30" s="88"/>
      <c r="G30" s="88"/>
      <c r="H30" s="88"/>
      <c r="I30" s="90">
        <f t="shared" si="1"/>
        <v>0</v>
      </c>
      <c r="J30" s="262"/>
      <c r="K30" s="262"/>
      <c r="L30" s="90">
        <f t="shared" si="2"/>
        <v>0</v>
      </c>
      <c r="M30" s="90">
        <f t="shared" si="3"/>
        <v>0</v>
      </c>
      <c r="N30" s="32"/>
      <c r="O30" s="32">
        <v>16.904</v>
      </c>
      <c r="P30" s="32">
        <v>12.699</v>
      </c>
      <c r="Q30" s="32">
        <f t="shared" si="4"/>
        <v>0</v>
      </c>
      <c r="R30" s="263"/>
      <c r="S30" s="263"/>
      <c r="T30" s="263"/>
      <c r="U30" s="264"/>
      <c r="V30" s="265">
        <f t="shared" si="5"/>
        <v>0</v>
      </c>
      <c r="W30" s="265">
        <f t="shared" si="6"/>
        <v>0</v>
      </c>
    </row>
    <row r="31" ht="14.25" customHeight="1">
      <c r="A31" s="8">
        <v>30.0</v>
      </c>
      <c r="B31" s="8" t="s">
        <v>25</v>
      </c>
      <c r="C31" s="32" t="s">
        <v>55</v>
      </c>
      <c r="D31" s="32"/>
      <c r="E31" s="32"/>
      <c r="F31" s="88"/>
      <c r="G31" s="88"/>
      <c r="H31" s="88"/>
      <c r="I31" s="90">
        <f t="shared" si="1"/>
        <v>0</v>
      </c>
      <c r="J31" s="262"/>
      <c r="K31" s="262"/>
      <c r="L31" s="90">
        <f t="shared" si="2"/>
        <v>0</v>
      </c>
      <c r="M31" s="90">
        <f t="shared" si="3"/>
        <v>0</v>
      </c>
      <c r="N31" s="32"/>
      <c r="O31" s="32">
        <v>16.904</v>
      </c>
      <c r="P31" s="32">
        <v>12.699</v>
      </c>
      <c r="Q31" s="32">
        <f t="shared" si="4"/>
        <v>0</v>
      </c>
      <c r="R31" s="263"/>
      <c r="S31" s="263"/>
      <c r="T31" s="263"/>
      <c r="U31" s="264"/>
      <c r="V31" s="265">
        <f t="shared" si="5"/>
        <v>0</v>
      </c>
      <c r="W31" s="265">
        <f t="shared" si="6"/>
        <v>0</v>
      </c>
    </row>
    <row r="32" ht="14.25" customHeight="1">
      <c r="A32" s="8">
        <v>31.0</v>
      </c>
      <c r="B32" s="8" t="s">
        <v>25</v>
      </c>
      <c r="C32" s="32" t="s">
        <v>56</v>
      </c>
      <c r="D32" s="32"/>
      <c r="E32" s="32"/>
      <c r="F32" s="88"/>
      <c r="G32" s="88"/>
      <c r="H32" s="88"/>
      <c r="I32" s="90">
        <f t="shared" si="1"/>
        <v>0</v>
      </c>
      <c r="J32" s="262"/>
      <c r="K32" s="262"/>
      <c r="L32" s="90">
        <f t="shared" si="2"/>
        <v>0</v>
      </c>
      <c r="M32" s="90">
        <f t="shared" si="3"/>
        <v>0</v>
      </c>
      <c r="N32" s="32"/>
      <c r="O32" s="32">
        <v>16.904</v>
      </c>
      <c r="P32" s="32">
        <v>12.699</v>
      </c>
      <c r="Q32" s="32">
        <f t="shared" si="4"/>
        <v>0</v>
      </c>
      <c r="R32" s="263"/>
      <c r="S32" s="263"/>
      <c r="T32" s="263"/>
      <c r="U32" s="264"/>
      <c r="V32" s="265">
        <f t="shared" si="5"/>
        <v>0</v>
      </c>
      <c r="W32" s="265">
        <f t="shared" si="6"/>
        <v>0</v>
      </c>
    </row>
    <row r="33" ht="14.25" customHeight="1">
      <c r="A33" s="8">
        <v>32.0</v>
      </c>
      <c r="B33" s="8" t="s">
        <v>25</v>
      </c>
      <c r="C33" s="32" t="s">
        <v>57</v>
      </c>
      <c r="D33" s="32"/>
      <c r="E33" s="32"/>
      <c r="F33" s="88"/>
      <c r="G33" s="88"/>
      <c r="H33" s="88"/>
      <c r="I33" s="90">
        <f t="shared" si="1"/>
        <v>0</v>
      </c>
      <c r="J33" s="262"/>
      <c r="K33" s="262"/>
      <c r="L33" s="90">
        <f t="shared" si="2"/>
        <v>0</v>
      </c>
      <c r="M33" s="90">
        <f t="shared" si="3"/>
        <v>0</v>
      </c>
      <c r="N33" s="32"/>
      <c r="O33" s="32">
        <v>16.904</v>
      </c>
      <c r="P33" s="32">
        <v>12.699</v>
      </c>
      <c r="Q33" s="32">
        <f t="shared" si="4"/>
        <v>0</v>
      </c>
      <c r="R33" s="263"/>
      <c r="S33" s="263"/>
      <c r="T33" s="263"/>
      <c r="U33" s="264"/>
      <c r="V33" s="265">
        <f t="shared" si="5"/>
        <v>0</v>
      </c>
      <c r="W33" s="265">
        <f t="shared" si="6"/>
        <v>0</v>
      </c>
    </row>
    <row r="34" ht="14.25" customHeight="1">
      <c r="A34" s="8">
        <v>33.0</v>
      </c>
      <c r="B34" s="8" t="s">
        <v>25</v>
      </c>
      <c r="C34" s="32" t="s">
        <v>58</v>
      </c>
      <c r="D34" s="32"/>
      <c r="E34" s="32"/>
      <c r="F34" s="88"/>
      <c r="G34" s="88"/>
      <c r="H34" s="88"/>
      <c r="I34" s="90">
        <f t="shared" si="1"/>
        <v>0</v>
      </c>
      <c r="J34" s="262"/>
      <c r="K34" s="262"/>
      <c r="L34" s="90">
        <f t="shared" si="2"/>
        <v>0</v>
      </c>
      <c r="M34" s="90">
        <f t="shared" si="3"/>
        <v>0</v>
      </c>
      <c r="N34" s="32"/>
      <c r="O34" s="32">
        <v>16.904</v>
      </c>
      <c r="P34" s="32">
        <v>12.699</v>
      </c>
      <c r="Q34" s="32">
        <f t="shared" si="4"/>
        <v>0</v>
      </c>
      <c r="R34" s="263"/>
      <c r="S34" s="263"/>
      <c r="T34" s="263"/>
      <c r="U34" s="264"/>
      <c r="V34" s="265">
        <f t="shared" si="5"/>
        <v>0</v>
      </c>
      <c r="W34" s="265">
        <f t="shared" si="6"/>
        <v>0</v>
      </c>
    </row>
    <row r="35" ht="14.25" customHeight="1">
      <c r="A35" s="8">
        <v>34.0</v>
      </c>
      <c r="B35" s="8" t="s">
        <v>25</v>
      </c>
      <c r="C35" s="32" t="s">
        <v>59</v>
      </c>
      <c r="D35" s="32"/>
      <c r="E35" s="32"/>
      <c r="F35" s="88"/>
      <c r="G35" s="88"/>
      <c r="H35" s="88"/>
      <c r="I35" s="90">
        <f t="shared" si="1"/>
        <v>0</v>
      </c>
      <c r="J35" s="262"/>
      <c r="K35" s="262"/>
      <c r="L35" s="90">
        <f t="shared" si="2"/>
        <v>0</v>
      </c>
      <c r="M35" s="90">
        <f t="shared" si="3"/>
        <v>0</v>
      </c>
      <c r="N35" s="32"/>
      <c r="O35" s="32">
        <v>16.904</v>
      </c>
      <c r="P35" s="32">
        <v>12.699</v>
      </c>
      <c r="Q35" s="32">
        <f t="shared" si="4"/>
        <v>0</v>
      </c>
      <c r="R35" s="263"/>
      <c r="S35" s="263"/>
      <c r="T35" s="263"/>
      <c r="U35" s="264"/>
      <c r="V35" s="265">
        <f t="shared" si="5"/>
        <v>0</v>
      </c>
      <c r="W35" s="265">
        <f t="shared" si="6"/>
        <v>0</v>
      </c>
    </row>
    <row r="36" ht="14.25" customHeight="1">
      <c r="A36" s="8">
        <v>35.0</v>
      </c>
      <c r="B36" s="8" t="s">
        <v>25</v>
      </c>
      <c r="C36" s="32" t="s">
        <v>60</v>
      </c>
      <c r="D36" s="32"/>
      <c r="E36" s="32"/>
      <c r="F36" s="88"/>
      <c r="G36" s="88"/>
      <c r="H36" s="88"/>
      <c r="I36" s="90">
        <f t="shared" si="1"/>
        <v>0</v>
      </c>
      <c r="J36" s="262"/>
      <c r="K36" s="262"/>
      <c r="L36" s="90">
        <f t="shared" si="2"/>
        <v>0</v>
      </c>
      <c r="M36" s="90">
        <f t="shared" si="3"/>
        <v>0</v>
      </c>
      <c r="N36" s="32"/>
      <c r="O36" s="32">
        <v>16.904</v>
      </c>
      <c r="P36" s="32">
        <v>12.699</v>
      </c>
      <c r="Q36" s="32">
        <f t="shared" si="4"/>
        <v>0</v>
      </c>
      <c r="R36" s="263"/>
      <c r="S36" s="263"/>
      <c r="T36" s="263"/>
      <c r="U36" s="264"/>
      <c r="V36" s="265">
        <f t="shared" si="5"/>
        <v>0</v>
      </c>
      <c r="W36" s="265">
        <f t="shared" si="6"/>
        <v>0</v>
      </c>
    </row>
    <row r="37" ht="14.25" customHeight="1">
      <c r="A37" s="8">
        <v>36.0</v>
      </c>
      <c r="B37" s="8" t="s">
        <v>25</v>
      </c>
      <c r="C37" s="32" t="s">
        <v>61</v>
      </c>
      <c r="D37" s="32"/>
      <c r="E37" s="32"/>
      <c r="F37" s="88"/>
      <c r="G37" s="88"/>
      <c r="H37" s="88"/>
      <c r="I37" s="90">
        <f t="shared" si="1"/>
        <v>0</v>
      </c>
      <c r="J37" s="262"/>
      <c r="K37" s="262"/>
      <c r="L37" s="90">
        <f t="shared" si="2"/>
        <v>0</v>
      </c>
      <c r="M37" s="90">
        <f t="shared" si="3"/>
        <v>0</v>
      </c>
      <c r="N37" s="32"/>
      <c r="O37" s="32">
        <v>16.904</v>
      </c>
      <c r="P37" s="32">
        <v>12.699</v>
      </c>
      <c r="Q37" s="32">
        <f t="shared" si="4"/>
        <v>0</v>
      </c>
      <c r="R37" s="263"/>
      <c r="S37" s="263"/>
      <c r="T37" s="263"/>
      <c r="U37" s="264"/>
      <c r="V37" s="265">
        <f t="shared" si="5"/>
        <v>0</v>
      </c>
      <c r="W37" s="265">
        <f t="shared" si="6"/>
        <v>0</v>
      </c>
    </row>
    <row r="38" ht="14.25" customHeight="1">
      <c r="A38" s="8">
        <v>37.0</v>
      </c>
      <c r="B38" s="8" t="s">
        <v>25</v>
      </c>
      <c r="C38" s="32" t="s">
        <v>62</v>
      </c>
      <c r="D38" s="32"/>
      <c r="E38" s="32"/>
      <c r="F38" s="88"/>
      <c r="G38" s="88"/>
      <c r="H38" s="88"/>
      <c r="I38" s="90">
        <f t="shared" si="1"/>
        <v>0</v>
      </c>
      <c r="J38" s="262"/>
      <c r="K38" s="262"/>
      <c r="L38" s="90">
        <f t="shared" si="2"/>
        <v>0</v>
      </c>
      <c r="M38" s="90">
        <f t="shared" si="3"/>
        <v>0</v>
      </c>
      <c r="N38" s="32"/>
      <c r="O38" s="32">
        <v>16.904</v>
      </c>
      <c r="P38" s="32">
        <v>12.699</v>
      </c>
      <c r="Q38" s="32">
        <f t="shared" si="4"/>
        <v>0</v>
      </c>
      <c r="R38" s="263"/>
      <c r="S38" s="263"/>
      <c r="T38" s="263"/>
      <c r="U38" s="264"/>
      <c r="V38" s="265">
        <f t="shared" si="5"/>
        <v>0</v>
      </c>
      <c r="W38" s="265">
        <f t="shared" si="6"/>
        <v>0</v>
      </c>
    </row>
    <row r="39" ht="14.25" customHeight="1">
      <c r="A39" s="8">
        <v>38.0</v>
      </c>
      <c r="B39" s="8" t="s">
        <v>25</v>
      </c>
      <c r="C39" s="32" t="s">
        <v>63</v>
      </c>
      <c r="D39" s="32"/>
      <c r="E39" s="32"/>
      <c r="F39" s="88"/>
      <c r="G39" s="88"/>
      <c r="H39" s="88"/>
      <c r="I39" s="90">
        <f t="shared" si="1"/>
        <v>0</v>
      </c>
      <c r="J39" s="262"/>
      <c r="K39" s="262"/>
      <c r="L39" s="90">
        <f t="shared" si="2"/>
        <v>0</v>
      </c>
      <c r="M39" s="90">
        <f t="shared" si="3"/>
        <v>0</v>
      </c>
      <c r="N39" s="32"/>
      <c r="O39" s="32">
        <v>16.904</v>
      </c>
      <c r="P39" s="32">
        <v>12.699</v>
      </c>
      <c r="Q39" s="32">
        <f t="shared" si="4"/>
        <v>0</v>
      </c>
      <c r="R39" s="263"/>
      <c r="S39" s="263"/>
      <c r="T39" s="263"/>
      <c r="U39" s="264"/>
      <c r="V39" s="265">
        <f t="shared" si="5"/>
        <v>0</v>
      </c>
      <c r="W39" s="265">
        <f t="shared" si="6"/>
        <v>0</v>
      </c>
    </row>
    <row r="40" ht="14.25" customHeight="1">
      <c r="A40" s="8">
        <v>39.0</v>
      </c>
      <c r="B40" s="8" t="s">
        <v>25</v>
      </c>
      <c r="C40" s="32" t="s">
        <v>64</v>
      </c>
      <c r="D40" s="32"/>
      <c r="E40" s="32"/>
      <c r="F40" s="88"/>
      <c r="G40" s="88"/>
      <c r="H40" s="88"/>
      <c r="I40" s="90">
        <f t="shared" si="1"/>
        <v>0</v>
      </c>
      <c r="J40" s="262"/>
      <c r="K40" s="262"/>
      <c r="L40" s="90">
        <f t="shared" si="2"/>
        <v>0</v>
      </c>
      <c r="M40" s="90">
        <f t="shared" si="3"/>
        <v>0</v>
      </c>
      <c r="N40" s="32"/>
      <c r="O40" s="32">
        <v>16.904</v>
      </c>
      <c r="P40" s="32">
        <v>12.699</v>
      </c>
      <c r="Q40" s="32">
        <f t="shared" si="4"/>
        <v>0</v>
      </c>
      <c r="R40" s="263"/>
      <c r="S40" s="263"/>
      <c r="T40" s="263"/>
      <c r="U40" s="264"/>
      <c r="V40" s="265">
        <f t="shared" si="5"/>
        <v>0</v>
      </c>
      <c r="W40" s="265">
        <f t="shared" si="6"/>
        <v>0</v>
      </c>
    </row>
    <row r="41" ht="14.25" customHeight="1">
      <c r="A41" s="8">
        <v>40.0</v>
      </c>
      <c r="B41" s="8" t="s">
        <v>25</v>
      </c>
      <c r="C41" s="32" t="s">
        <v>65</v>
      </c>
      <c r="D41" s="32"/>
      <c r="E41" s="32"/>
      <c r="F41" s="88"/>
      <c r="G41" s="88"/>
      <c r="H41" s="88"/>
      <c r="I41" s="90">
        <f t="shared" si="1"/>
        <v>0</v>
      </c>
      <c r="J41" s="262"/>
      <c r="K41" s="262"/>
      <c r="L41" s="90">
        <f t="shared" si="2"/>
        <v>0</v>
      </c>
      <c r="M41" s="90">
        <f t="shared" si="3"/>
        <v>0</v>
      </c>
      <c r="N41" s="32"/>
      <c r="O41" s="32">
        <v>16.904</v>
      </c>
      <c r="P41" s="32">
        <v>12.699</v>
      </c>
      <c r="Q41" s="32">
        <f t="shared" si="4"/>
        <v>0</v>
      </c>
      <c r="R41" s="263"/>
      <c r="S41" s="263"/>
      <c r="T41" s="263"/>
      <c r="U41" s="264"/>
      <c r="V41" s="265">
        <f t="shared" si="5"/>
        <v>0</v>
      </c>
      <c r="W41" s="265">
        <f t="shared" si="6"/>
        <v>0</v>
      </c>
    </row>
    <row r="42" ht="14.25" customHeight="1">
      <c r="A42" s="8">
        <v>41.0</v>
      </c>
      <c r="B42" s="8" t="s">
        <v>25</v>
      </c>
      <c r="C42" s="32" t="s">
        <v>66</v>
      </c>
      <c r="D42" s="32"/>
      <c r="E42" s="32"/>
      <c r="F42" s="88"/>
      <c r="G42" s="88"/>
      <c r="H42" s="88"/>
      <c r="I42" s="90">
        <f t="shared" si="1"/>
        <v>0</v>
      </c>
      <c r="J42" s="262"/>
      <c r="K42" s="262"/>
      <c r="L42" s="90">
        <f t="shared" si="2"/>
        <v>0</v>
      </c>
      <c r="M42" s="90">
        <f t="shared" si="3"/>
        <v>0</v>
      </c>
      <c r="N42" s="32"/>
      <c r="O42" s="32">
        <v>16.904</v>
      </c>
      <c r="P42" s="32">
        <v>12.699</v>
      </c>
      <c r="Q42" s="32">
        <f t="shared" si="4"/>
        <v>0</v>
      </c>
      <c r="R42" s="263"/>
      <c r="S42" s="263"/>
      <c r="T42" s="263"/>
      <c r="U42" s="264"/>
      <c r="V42" s="265">
        <f t="shared" si="5"/>
        <v>0</v>
      </c>
      <c r="W42" s="265">
        <f t="shared" si="6"/>
        <v>0</v>
      </c>
    </row>
    <row r="43" ht="14.25" customHeight="1">
      <c r="A43" s="8">
        <v>42.0</v>
      </c>
      <c r="B43" s="8" t="s">
        <v>25</v>
      </c>
      <c r="C43" s="32" t="s">
        <v>67</v>
      </c>
      <c r="D43" s="32"/>
      <c r="E43" s="32"/>
      <c r="F43" s="88"/>
      <c r="G43" s="88"/>
      <c r="H43" s="88"/>
      <c r="I43" s="90">
        <f t="shared" si="1"/>
        <v>0</v>
      </c>
      <c r="J43" s="262"/>
      <c r="K43" s="262"/>
      <c r="L43" s="90">
        <f t="shared" si="2"/>
        <v>0</v>
      </c>
      <c r="M43" s="90">
        <f t="shared" si="3"/>
        <v>0</v>
      </c>
      <c r="N43" s="32"/>
      <c r="O43" s="32">
        <v>16.904</v>
      </c>
      <c r="P43" s="32">
        <v>12.699</v>
      </c>
      <c r="Q43" s="32">
        <f t="shared" si="4"/>
        <v>0</v>
      </c>
      <c r="R43" s="263"/>
      <c r="S43" s="263"/>
      <c r="T43" s="263"/>
      <c r="U43" s="264"/>
      <c r="V43" s="265">
        <f t="shared" si="5"/>
        <v>0</v>
      </c>
      <c r="W43" s="265">
        <f t="shared" si="6"/>
        <v>0</v>
      </c>
    </row>
    <row r="44" ht="14.25" customHeight="1">
      <c r="A44" s="8">
        <v>43.0</v>
      </c>
      <c r="B44" s="8" t="s">
        <v>25</v>
      </c>
      <c r="C44" s="32" t="s">
        <v>68</v>
      </c>
      <c r="D44" s="32"/>
      <c r="E44" s="32"/>
      <c r="F44" s="88"/>
      <c r="G44" s="88"/>
      <c r="H44" s="88"/>
      <c r="I44" s="90">
        <f t="shared" si="1"/>
        <v>0</v>
      </c>
      <c r="J44" s="262"/>
      <c r="K44" s="262"/>
      <c r="L44" s="90">
        <f t="shared" si="2"/>
        <v>0</v>
      </c>
      <c r="M44" s="90">
        <f t="shared" si="3"/>
        <v>0</v>
      </c>
      <c r="N44" s="32"/>
      <c r="O44" s="32">
        <v>16.904</v>
      </c>
      <c r="P44" s="32">
        <v>12.699</v>
      </c>
      <c r="Q44" s="32">
        <f t="shared" si="4"/>
        <v>0</v>
      </c>
      <c r="R44" s="263"/>
      <c r="S44" s="263"/>
      <c r="T44" s="263"/>
      <c r="U44" s="264"/>
      <c r="V44" s="265">
        <f t="shared" si="5"/>
        <v>0</v>
      </c>
      <c r="W44" s="265">
        <f t="shared" si="6"/>
        <v>0</v>
      </c>
    </row>
    <row r="45" ht="14.25" customHeight="1">
      <c r="A45" s="8">
        <v>44.0</v>
      </c>
      <c r="B45" s="8" t="s">
        <v>25</v>
      </c>
      <c r="C45" s="32" t="s">
        <v>69</v>
      </c>
      <c r="D45" s="32"/>
      <c r="E45" s="32"/>
      <c r="F45" s="88"/>
      <c r="G45" s="88"/>
      <c r="H45" s="88"/>
      <c r="I45" s="90">
        <f t="shared" si="1"/>
        <v>0</v>
      </c>
      <c r="J45" s="262"/>
      <c r="K45" s="262"/>
      <c r="L45" s="90">
        <f t="shared" si="2"/>
        <v>0</v>
      </c>
      <c r="M45" s="90">
        <f t="shared" si="3"/>
        <v>0</v>
      </c>
      <c r="N45" s="32"/>
      <c r="O45" s="32">
        <v>16.904</v>
      </c>
      <c r="P45" s="32">
        <v>12.699</v>
      </c>
      <c r="Q45" s="32">
        <f t="shared" si="4"/>
        <v>0</v>
      </c>
      <c r="R45" s="263"/>
      <c r="S45" s="263"/>
      <c r="T45" s="263"/>
      <c r="U45" s="264"/>
      <c r="V45" s="265">
        <f t="shared" si="5"/>
        <v>0</v>
      </c>
      <c r="W45" s="265">
        <f t="shared" si="6"/>
        <v>0</v>
      </c>
    </row>
    <row r="46" ht="14.25" customHeight="1">
      <c r="A46" s="8">
        <v>45.0</v>
      </c>
      <c r="B46" s="8" t="s">
        <v>25</v>
      </c>
      <c r="C46" s="32" t="s">
        <v>70</v>
      </c>
      <c r="D46" s="32"/>
      <c r="E46" s="32"/>
      <c r="F46" s="88"/>
      <c r="G46" s="88"/>
      <c r="H46" s="88"/>
      <c r="I46" s="90">
        <f t="shared" si="1"/>
        <v>0</v>
      </c>
      <c r="J46" s="262"/>
      <c r="K46" s="262"/>
      <c r="L46" s="90">
        <f t="shared" si="2"/>
        <v>0</v>
      </c>
      <c r="M46" s="90">
        <f t="shared" si="3"/>
        <v>0</v>
      </c>
      <c r="N46" s="32"/>
      <c r="O46" s="32">
        <v>16.904</v>
      </c>
      <c r="P46" s="32">
        <v>12.699</v>
      </c>
      <c r="Q46" s="32">
        <f t="shared" si="4"/>
        <v>0</v>
      </c>
      <c r="R46" s="263"/>
      <c r="S46" s="263"/>
      <c r="T46" s="263"/>
      <c r="U46" s="264"/>
      <c r="V46" s="265">
        <f t="shared" si="5"/>
        <v>0</v>
      </c>
      <c r="W46" s="265">
        <f t="shared" si="6"/>
        <v>0</v>
      </c>
    </row>
    <row r="47" ht="14.25" customHeight="1">
      <c r="A47" s="8">
        <v>46.0</v>
      </c>
      <c r="B47" s="8" t="s">
        <v>25</v>
      </c>
      <c r="C47" s="32" t="s">
        <v>71</v>
      </c>
      <c r="D47" s="32"/>
      <c r="E47" s="32"/>
      <c r="F47" s="88"/>
      <c r="G47" s="88"/>
      <c r="H47" s="88"/>
      <c r="I47" s="90">
        <f t="shared" si="1"/>
        <v>0</v>
      </c>
      <c r="J47" s="262"/>
      <c r="K47" s="262"/>
      <c r="L47" s="90">
        <f t="shared" si="2"/>
        <v>0</v>
      </c>
      <c r="M47" s="90">
        <f t="shared" si="3"/>
        <v>0</v>
      </c>
      <c r="N47" s="32"/>
      <c r="O47" s="32">
        <v>16.904</v>
      </c>
      <c r="P47" s="32">
        <v>12.699</v>
      </c>
      <c r="Q47" s="32">
        <f t="shared" si="4"/>
        <v>0</v>
      </c>
      <c r="R47" s="263"/>
      <c r="S47" s="263"/>
      <c r="T47" s="263"/>
      <c r="U47" s="264"/>
      <c r="V47" s="265">
        <f t="shared" si="5"/>
        <v>0</v>
      </c>
      <c r="W47" s="265">
        <f t="shared" si="6"/>
        <v>0</v>
      </c>
    </row>
    <row r="48" ht="14.25" customHeight="1">
      <c r="A48" s="8">
        <v>47.0</v>
      </c>
      <c r="B48" s="8" t="s">
        <v>25</v>
      </c>
      <c r="C48" s="32" t="s">
        <v>72</v>
      </c>
      <c r="D48" s="32"/>
      <c r="E48" s="32"/>
      <c r="F48" s="88"/>
      <c r="G48" s="88"/>
      <c r="H48" s="88"/>
      <c r="I48" s="90">
        <f t="shared" si="1"/>
        <v>0</v>
      </c>
      <c r="J48" s="262"/>
      <c r="K48" s="262"/>
      <c r="L48" s="90">
        <f t="shared" si="2"/>
        <v>0</v>
      </c>
      <c r="M48" s="90">
        <f t="shared" si="3"/>
        <v>0</v>
      </c>
      <c r="N48" s="32"/>
      <c r="O48" s="32">
        <v>16.904</v>
      </c>
      <c r="P48" s="32">
        <v>12.699</v>
      </c>
      <c r="Q48" s="32">
        <f t="shared" si="4"/>
        <v>0</v>
      </c>
      <c r="R48" s="263"/>
      <c r="S48" s="263"/>
      <c r="T48" s="263"/>
      <c r="U48" s="264"/>
      <c r="V48" s="265">
        <f t="shared" si="5"/>
        <v>0</v>
      </c>
      <c r="W48" s="265">
        <f t="shared" si="6"/>
        <v>0</v>
      </c>
    </row>
    <row r="49" ht="14.25" customHeight="1">
      <c r="A49" s="8">
        <v>48.0</v>
      </c>
      <c r="B49" s="8" t="s">
        <v>25</v>
      </c>
      <c r="C49" s="32" t="s">
        <v>73</v>
      </c>
      <c r="D49" s="32"/>
      <c r="E49" s="32"/>
      <c r="F49" s="88"/>
      <c r="G49" s="88"/>
      <c r="H49" s="88"/>
      <c r="I49" s="90">
        <f t="shared" si="1"/>
        <v>0</v>
      </c>
      <c r="J49" s="262"/>
      <c r="K49" s="262"/>
      <c r="L49" s="90">
        <f t="shared" si="2"/>
        <v>0</v>
      </c>
      <c r="M49" s="90">
        <f t="shared" si="3"/>
        <v>0</v>
      </c>
      <c r="N49" s="32"/>
      <c r="O49" s="32">
        <v>16.904</v>
      </c>
      <c r="P49" s="32">
        <v>12.699</v>
      </c>
      <c r="Q49" s="32">
        <f t="shared" si="4"/>
        <v>0</v>
      </c>
      <c r="R49" s="263"/>
      <c r="S49" s="263"/>
      <c r="T49" s="263"/>
      <c r="U49" s="264"/>
      <c r="V49" s="265">
        <f t="shared" si="5"/>
        <v>0</v>
      </c>
      <c r="W49" s="265">
        <f t="shared" si="6"/>
        <v>0</v>
      </c>
    </row>
    <row r="50" ht="14.25" customHeight="1">
      <c r="A50" s="8">
        <v>49.0</v>
      </c>
      <c r="B50" s="8" t="s">
        <v>25</v>
      </c>
      <c r="C50" s="32" t="s">
        <v>74</v>
      </c>
      <c r="D50" s="32"/>
      <c r="E50" s="32"/>
      <c r="F50" s="88"/>
      <c r="G50" s="88"/>
      <c r="H50" s="88"/>
      <c r="I50" s="90">
        <f t="shared" si="1"/>
        <v>0</v>
      </c>
      <c r="J50" s="262"/>
      <c r="K50" s="262"/>
      <c r="L50" s="90">
        <f t="shared" si="2"/>
        <v>0</v>
      </c>
      <c r="M50" s="90">
        <f t="shared" si="3"/>
        <v>0</v>
      </c>
      <c r="N50" s="32"/>
      <c r="O50" s="32">
        <v>16.904</v>
      </c>
      <c r="P50" s="32">
        <v>12.699</v>
      </c>
      <c r="Q50" s="32">
        <f t="shared" si="4"/>
        <v>0</v>
      </c>
      <c r="R50" s="263"/>
      <c r="S50" s="263"/>
      <c r="T50" s="263"/>
      <c r="U50" s="264"/>
      <c r="V50" s="265">
        <f t="shared" si="5"/>
        <v>0</v>
      </c>
      <c r="W50" s="265">
        <f t="shared" si="6"/>
        <v>0</v>
      </c>
    </row>
    <row r="51" ht="14.25" customHeight="1">
      <c r="A51" s="8">
        <v>50.0</v>
      </c>
      <c r="B51" s="8" t="s">
        <v>25</v>
      </c>
      <c r="C51" s="32" t="s">
        <v>75</v>
      </c>
      <c r="D51" s="32"/>
      <c r="E51" s="32"/>
      <c r="F51" s="88"/>
      <c r="G51" s="88"/>
      <c r="H51" s="88"/>
      <c r="I51" s="90">
        <f t="shared" si="1"/>
        <v>0</v>
      </c>
      <c r="J51" s="262"/>
      <c r="K51" s="262"/>
      <c r="L51" s="90">
        <f t="shared" si="2"/>
        <v>0</v>
      </c>
      <c r="M51" s="90">
        <f t="shared" si="3"/>
        <v>0</v>
      </c>
      <c r="N51" s="32"/>
      <c r="O51" s="32">
        <v>16.904</v>
      </c>
      <c r="P51" s="32">
        <v>12.699</v>
      </c>
      <c r="Q51" s="32">
        <f t="shared" si="4"/>
        <v>0</v>
      </c>
      <c r="R51" s="263"/>
      <c r="S51" s="263"/>
      <c r="T51" s="263"/>
      <c r="U51" s="264"/>
      <c r="V51" s="265">
        <f t="shared" si="5"/>
        <v>0</v>
      </c>
      <c r="W51" s="265">
        <f t="shared" si="6"/>
        <v>0</v>
      </c>
    </row>
    <row r="52" ht="14.25" customHeight="1">
      <c r="A52" s="8">
        <v>51.0</v>
      </c>
      <c r="B52" s="8" t="s">
        <v>25</v>
      </c>
      <c r="C52" s="32" t="s">
        <v>76</v>
      </c>
      <c r="D52" s="32"/>
      <c r="E52" s="32"/>
      <c r="F52" s="88"/>
      <c r="G52" s="88"/>
      <c r="H52" s="88"/>
      <c r="I52" s="90">
        <f t="shared" si="1"/>
        <v>0</v>
      </c>
      <c r="J52" s="262"/>
      <c r="K52" s="262"/>
      <c r="L52" s="90">
        <f t="shared" si="2"/>
        <v>0</v>
      </c>
      <c r="M52" s="90">
        <f t="shared" si="3"/>
        <v>0</v>
      </c>
      <c r="N52" s="32"/>
      <c r="O52" s="32">
        <v>16.904</v>
      </c>
      <c r="P52" s="32">
        <v>12.699</v>
      </c>
      <c r="Q52" s="32">
        <f t="shared" si="4"/>
        <v>0</v>
      </c>
      <c r="R52" s="263"/>
      <c r="S52" s="263"/>
      <c r="T52" s="263"/>
      <c r="U52" s="264"/>
      <c r="V52" s="265">
        <f t="shared" si="5"/>
        <v>0</v>
      </c>
      <c r="W52" s="265">
        <f t="shared" si="6"/>
        <v>0</v>
      </c>
    </row>
    <row r="53" ht="14.25" customHeight="1">
      <c r="A53" s="8">
        <v>52.0</v>
      </c>
      <c r="B53" s="8" t="s">
        <v>25</v>
      </c>
      <c r="C53" s="32" t="s">
        <v>77</v>
      </c>
      <c r="D53" s="32"/>
      <c r="E53" s="32"/>
      <c r="F53" s="88"/>
      <c r="G53" s="88"/>
      <c r="H53" s="88"/>
      <c r="I53" s="90">
        <f t="shared" si="1"/>
        <v>0</v>
      </c>
      <c r="J53" s="262"/>
      <c r="K53" s="262"/>
      <c r="L53" s="90">
        <f t="shared" si="2"/>
        <v>0</v>
      </c>
      <c r="M53" s="90">
        <f t="shared" si="3"/>
        <v>0</v>
      </c>
      <c r="N53" s="32"/>
      <c r="O53" s="32">
        <v>16.904</v>
      </c>
      <c r="P53" s="32">
        <v>12.699</v>
      </c>
      <c r="Q53" s="32">
        <f t="shared" si="4"/>
        <v>0</v>
      </c>
      <c r="R53" s="263"/>
      <c r="S53" s="263"/>
      <c r="T53" s="263"/>
      <c r="U53" s="264"/>
      <c r="V53" s="265">
        <f t="shared" si="5"/>
        <v>0</v>
      </c>
      <c r="W53" s="265">
        <f t="shared" si="6"/>
        <v>0</v>
      </c>
    </row>
    <row r="54" ht="14.25" customHeight="1">
      <c r="A54" s="8">
        <v>53.0</v>
      </c>
      <c r="B54" s="8" t="s">
        <v>25</v>
      </c>
      <c r="C54" s="32" t="s">
        <v>78</v>
      </c>
      <c r="D54" s="32"/>
      <c r="E54" s="32"/>
      <c r="F54" s="88"/>
      <c r="G54" s="88"/>
      <c r="H54" s="88"/>
      <c r="I54" s="90">
        <f t="shared" si="1"/>
        <v>0</v>
      </c>
      <c r="J54" s="262"/>
      <c r="K54" s="262"/>
      <c r="L54" s="90">
        <f t="shared" si="2"/>
        <v>0</v>
      </c>
      <c r="M54" s="90">
        <f t="shared" si="3"/>
        <v>0</v>
      </c>
      <c r="N54" s="32"/>
      <c r="O54" s="32">
        <v>16.904</v>
      </c>
      <c r="P54" s="32">
        <v>12.699</v>
      </c>
      <c r="Q54" s="32">
        <f t="shared" si="4"/>
        <v>0</v>
      </c>
      <c r="R54" s="263"/>
      <c r="S54" s="263"/>
      <c r="T54" s="263"/>
      <c r="U54" s="264"/>
      <c r="V54" s="265">
        <f t="shared" si="5"/>
        <v>0</v>
      </c>
      <c r="W54" s="265">
        <f t="shared" si="6"/>
        <v>0</v>
      </c>
    </row>
    <row r="55" ht="14.25" customHeight="1">
      <c r="A55" s="8">
        <v>54.0</v>
      </c>
      <c r="B55" s="8" t="s">
        <v>25</v>
      </c>
      <c r="C55" s="32" t="s">
        <v>79</v>
      </c>
      <c r="D55" s="32"/>
      <c r="E55" s="32"/>
      <c r="F55" s="88"/>
      <c r="G55" s="88"/>
      <c r="H55" s="88"/>
      <c r="I55" s="90">
        <f t="shared" si="1"/>
        <v>0</v>
      </c>
      <c r="J55" s="262"/>
      <c r="K55" s="262"/>
      <c r="L55" s="90">
        <f t="shared" si="2"/>
        <v>0</v>
      </c>
      <c r="M55" s="90">
        <f t="shared" si="3"/>
        <v>0</v>
      </c>
      <c r="N55" s="32"/>
      <c r="O55" s="32">
        <v>16.904</v>
      </c>
      <c r="P55" s="32">
        <v>12.699</v>
      </c>
      <c r="Q55" s="32">
        <f t="shared" si="4"/>
        <v>0</v>
      </c>
      <c r="R55" s="263"/>
      <c r="S55" s="263"/>
      <c r="T55" s="263"/>
      <c r="U55" s="264"/>
      <c r="V55" s="265">
        <f t="shared" si="5"/>
        <v>0</v>
      </c>
      <c r="W55" s="265">
        <f t="shared" si="6"/>
        <v>0</v>
      </c>
    </row>
    <row r="56" ht="14.25" customHeight="1">
      <c r="A56" s="8">
        <v>55.0</v>
      </c>
      <c r="B56" s="8" t="s">
        <v>25</v>
      </c>
      <c r="C56" s="32" t="s">
        <v>80</v>
      </c>
      <c r="D56" s="32"/>
      <c r="E56" s="32"/>
      <c r="F56" s="88"/>
      <c r="G56" s="88"/>
      <c r="H56" s="88"/>
      <c r="I56" s="90">
        <f t="shared" si="1"/>
        <v>0</v>
      </c>
      <c r="J56" s="262"/>
      <c r="K56" s="262"/>
      <c r="L56" s="90">
        <f t="shared" si="2"/>
        <v>0</v>
      </c>
      <c r="M56" s="90">
        <f t="shared" si="3"/>
        <v>0</v>
      </c>
      <c r="N56" s="32"/>
      <c r="O56" s="32">
        <v>16.904</v>
      </c>
      <c r="P56" s="32">
        <v>12.699</v>
      </c>
      <c r="Q56" s="32">
        <f t="shared" si="4"/>
        <v>0</v>
      </c>
      <c r="R56" s="263"/>
      <c r="S56" s="263"/>
      <c r="T56" s="263"/>
      <c r="U56" s="264"/>
      <c r="V56" s="265">
        <f t="shared" si="5"/>
        <v>0</v>
      </c>
      <c r="W56" s="265">
        <f t="shared" si="6"/>
        <v>0</v>
      </c>
    </row>
    <row r="57" ht="14.25" customHeight="1">
      <c r="A57" s="8">
        <v>56.0</v>
      </c>
      <c r="B57" s="8" t="s">
        <v>25</v>
      </c>
      <c r="C57" s="32" t="s">
        <v>81</v>
      </c>
      <c r="D57" s="32"/>
      <c r="E57" s="32"/>
      <c r="F57" s="88"/>
      <c r="G57" s="88"/>
      <c r="H57" s="88"/>
      <c r="I57" s="90">
        <f t="shared" si="1"/>
        <v>0</v>
      </c>
      <c r="J57" s="262"/>
      <c r="K57" s="262"/>
      <c r="L57" s="90">
        <f t="shared" si="2"/>
        <v>0</v>
      </c>
      <c r="M57" s="90">
        <f t="shared" si="3"/>
        <v>0</v>
      </c>
      <c r="N57" s="32"/>
      <c r="O57" s="32">
        <v>16.904</v>
      </c>
      <c r="P57" s="32">
        <v>12.699</v>
      </c>
      <c r="Q57" s="32">
        <f t="shared" si="4"/>
        <v>0</v>
      </c>
      <c r="R57" s="263"/>
      <c r="S57" s="263"/>
      <c r="T57" s="263"/>
      <c r="U57" s="264"/>
      <c r="V57" s="265">
        <f t="shared" si="5"/>
        <v>0</v>
      </c>
      <c r="W57" s="265">
        <f t="shared" si="6"/>
        <v>0</v>
      </c>
    </row>
    <row r="58" ht="14.25" customHeight="1">
      <c r="A58" s="8">
        <v>57.0</v>
      </c>
      <c r="B58" s="8" t="s">
        <v>25</v>
      </c>
      <c r="C58" s="32" t="s">
        <v>82</v>
      </c>
      <c r="D58" s="32"/>
      <c r="E58" s="32"/>
      <c r="F58" s="88"/>
      <c r="G58" s="88"/>
      <c r="H58" s="88"/>
      <c r="I58" s="90">
        <f t="shared" si="1"/>
        <v>0</v>
      </c>
      <c r="J58" s="262"/>
      <c r="K58" s="262"/>
      <c r="L58" s="90">
        <f t="shared" si="2"/>
        <v>0</v>
      </c>
      <c r="M58" s="90">
        <f t="shared" si="3"/>
        <v>0</v>
      </c>
      <c r="N58" s="32"/>
      <c r="O58" s="32">
        <v>16.904</v>
      </c>
      <c r="P58" s="32">
        <v>12.699</v>
      </c>
      <c r="Q58" s="32">
        <f t="shared" si="4"/>
        <v>0</v>
      </c>
      <c r="R58" s="263"/>
      <c r="S58" s="263"/>
      <c r="T58" s="263"/>
      <c r="U58" s="264"/>
      <c r="V58" s="265">
        <f t="shared" si="5"/>
        <v>0</v>
      </c>
      <c r="W58" s="265">
        <f t="shared" si="6"/>
        <v>0</v>
      </c>
    </row>
    <row r="59" ht="14.25" customHeight="1">
      <c r="A59" s="8">
        <v>58.0</v>
      </c>
      <c r="B59" s="8" t="s">
        <v>25</v>
      </c>
      <c r="C59" s="32" t="s">
        <v>83</v>
      </c>
      <c r="D59" s="32"/>
      <c r="E59" s="32"/>
      <c r="F59" s="88"/>
      <c r="G59" s="88"/>
      <c r="H59" s="88"/>
      <c r="I59" s="90">
        <f t="shared" si="1"/>
        <v>0</v>
      </c>
      <c r="J59" s="262"/>
      <c r="K59" s="262"/>
      <c r="L59" s="90">
        <f t="shared" si="2"/>
        <v>0</v>
      </c>
      <c r="M59" s="90">
        <f t="shared" si="3"/>
        <v>0</v>
      </c>
      <c r="N59" s="32"/>
      <c r="O59" s="32">
        <v>16.904</v>
      </c>
      <c r="P59" s="32">
        <v>12.699</v>
      </c>
      <c r="Q59" s="32">
        <f t="shared" si="4"/>
        <v>0</v>
      </c>
      <c r="R59" s="263"/>
      <c r="S59" s="263"/>
      <c r="T59" s="263"/>
      <c r="U59" s="264"/>
      <c r="V59" s="265">
        <f t="shared" si="5"/>
        <v>0</v>
      </c>
      <c r="W59" s="265">
        <f t="shared" si="6"/>
        <v>0</v>
      </c>
    </row>
    <row r="60" ht="14.25" customHeight="1">
      <c r="A60" s="8">
        <v>59.0</v>
      </c>
      <c r="B60" s="8" t="s">
        <v>25</v>
      </c>
      <c r="C60" s="32" t="s">
        <v>84</v>
      </c>
      <c r="D60" s="32"/>
      <c r="E60" s="32"/>
      <c r="F60" s="88"/>
      <c r="G60" s="88"/>
      <c r="H60" s="88"/>
      <c r="I60" s="90">
        <f t="shared" si="1"/>
        <v>0</v>
      </c>
      <c r="J60" s="262"/>
      <c r="K60" s="262"/>
      <c r="L60" s="90">
        <f t="shared" si="2"/>
        <v>0</v>
      </c>
      <c r="M60" s="90">
        <f t="shared" si="3"/>
        <v>0</v>
      </c>
      <c r="N60" s="32"/>
      <c r="O60" s="32">
        <v>16.904</v>
      </c>
      <c r="P60" s="32">
        <v>12.699</v>
      </c>
      <c r="Q60" s="32">
        <f t="shared" si="4"/>
        <v>0</v>
      </c>
      <c r="R60" s="266"/>
      <c r="S60" s="266"/>
      <c r="T60" s="266"/>
      <c r="U60" s="267"/>
      <c r="V60" s="268">
        <f t="shared" si="5"/>
        <v>0</v>
      </c>
      <c r="W60" s="268">
        <f t="shared" si="6"/>
        <v>0</v>
      </c>
    </row>
    <row r="61" ht="14.25" customHeight="1">
      <c r="A61" s="8">
        <v>60.0</v>
      </c>
      <c r="B61" s="8" t="s">
        <v>25</v>
      </c>
      <c r="C61" s="32" t="s">
        <v>85</v>
      </c>
      <c r="D61" s="32"/>
      <c r="E61" s="32"/>
      <c r="F61" s="88"/>
      <c r="G61" s="88"/>
      <c r="H61" s="88"/>
      <c r="I61" s="90">
        <f t="shared" si="1"/>
        <v>0</v>
      </c>
      <c r="J61" s="262"/>
      <c r="K61" s="262"/>
      <c r="L61" s="90">
        <f t="shared" si="2"/>
        <v>0</v>
      </c>
      <c r="M61" s="90">
        <f t="shared" si="3"/>
        <v>0</v>
      </c>
      <c r="N61" s="32"/>
      <c r="O61" s="32">
        <v>16.904</v>
      </c>
      <c r="P61" s="32">
        <v>12.699</v>
      </c>
      <c r="Q61" s="32">
        <f t="shared" si="4"/>
        <v>0</v>
      </c>
      <c r="R61" s="269"/>
      <c r="S61" s="269"/>
      <c r="T61" s="269"/>
      <c r="U61" s="269"/>
      <c r="V61" s="270">
        <f t="shared" si="5"/>
        <v>0</v>
      </c>
      <c r="W61" s="270">
        <f t="shared" si="6"/>
        <v>0</v>
      </c>
    </row>
    <row r="62" ht="14.25" customHeight="1">
      <c r="A62" s="124"/>
      <c r="D62" s="125" t="s">
        <v>86</v>
      </c>
      <c r="E62" s="125">
        <f>SUM(M:M)</f>
        <v>0</v>
      </c>
    </row>
    <row r="63" ht="14.25" customHeight="1">
      <c r="A63" s="124"/>
      <c r="D63" s="125" t="s">
        <v>87</v>
      </c>
      <c r="E63" s="125">
        <f>SUM(Q:Q)</f>
        <v>0</v>
      </c>
    </row>
    <row r="64" ht="14.25" customHeight="1">
      <c r="A64" s="124"/>
      <c r="D64" s="125" t="s">
        <v>88</v>
      </c>
      <c r="E64" s="125" t="str">
        <f>E62/E63</f>
        <v>#DIV/0!</v>
      </c>
    </row>
    <row r="65" ht="14.25" customHeight="1">
      <c r="A65" s="124"/>
      <c r="D65" s="126"/>
      <c r="E65" s="127"/>
    </row>
    <row r="66" ht="14.25" customHeight="1">
      <c r="A66" s="124"/>
      <c r="D66" s="128" t="s">
        <v>89</v>
      </c>
      <c r="E66" s="128" t="str">
        <f>AVERAGEIF(Q:Q,"&gt;0",Q:Q)</f>
        <v>#DIV/0!</v>
      </c>
    </row>
    <row r="67" ht="14.25" customHeight="1">
      <c r="A67" s="124"/>
      <c r="D67" s="127"/>
      <c r="E67" s="127"/>
    </row>
    <row r="68" ht="14.25" customHeight="1">
      <c r="A68" s="124"/>
      <c r="D68" s="129" t="s">
        <v>90</v>
      </c>
      <c r="E68" s="130">
        <f>SUM(G:G)</f>
        <v>0</v>
      </c>
    </row>
    <row r="69" ht="14.25" customHeight="1">
      <c r="A69" s="124"/>
      <c r="D69" s="129" t="s">
        <v>91</v>
      </c>
      <c r="E69" s="130">
        <f>SUM(H:H)</f>
        <v>0</v>
      </c>
    </row>
    <row r="70" ht="14.25" customHeight="1">
      <c r="A70" s="124"/>
      <c r="D70" s="129" t="s">
        <v>92</v>
      </c>
      <c r="E70" s="130">
        <f>E69+E68</f>
        <v>0</v>
      </c>
    </row>
    <row r="71" ht="14.25" customHeight="1">
      <c r="A71" s="124"/>
      <c r="D71" s="127"/>
      <c r="E71" s="127"/>
    </row>
    <row r="72" ht="14.25" customHeight="1">
      <c r="A72" s="124"/>
      <c r="D72" s="131" t="s">
        <v>93</v>
      </c>
      <c r="E72" s="132">
        <f>SUM(I:I)</f>
        <v>0</v>
      </c>
    </row>
    <row r="73" ht="14.25" customHeight="1">
      <c r="A73" s="124"/>
      <c r="D73" s="131" t="s">
        <v>94</v>
      </c>
      <c r="E73" s="132">
        <f>SUM(J:J)</f>
        <v>0</v>
      </c>
    </row>
    <row r="74" ht="14.25" customHeight="1">
      <c r="A74" s="124"/>
      <c r="D74" s="131" t="s">
        <v>95</v>
      </c>
      <c r="E74" s="132">
        <f>E73+E72</f>
        <v>0</v>
      </c>
    </row>
    <row r="75" ht="14.25" customHeight="1">
      <c r="A75" s="124"/>
      <c r="D75" s="127"/>
      <c r="E75" s="127"/>
    </row>
    <row r="76" ht="14.25" customHeight="1">
      <c r="A76" s="124"/>
      <c r="D76" s="133" t="s">
        <v>11</v>
      </c>
      <c r="E76" s="134">
        <f t="shared" ref="E76:E77" si="7">E72+E68</f>
        <v>0</v>
      </c>
    </row>
    <row r="77" ht="14.25" customHeight="1">
      <c r="A77" s="124"/>
      <c r="D77" s="133" t="s">
        <v>12</v>
      </c>
      <c r="E77" s="134">
        <f t="shared" si="7"/>
        <v>0</v>
      </c>
    </row>
    <row r="78" ht="14.25" customHeight="1">
      <c r="A78" s="124"/>
      <c r="D78" s="126"/>
      <c r="E78" s="126"/>
    </row>
    <row r="79" ht="14.25" customHeight="1">
      <c r="A79" s="124"/>
      <c r="D79" s="126"/>
      <c r="E79" s="126"/>
    </row>
    <row r="80" ht="14.25" customHeight="1">
      <c r="A80" s="124"/>
      <c r="D80" s="126"/>
      <c r="E80" s="126"/>
    </row>
    <row r="81" ht="14.25" customHeight="1">
      <c r="A81" s="124"/>
    </row>
    <row r="82" ht="14.25" customHeight="1">
      <c r="A82" s="124"/>
    </row>
    <row r="83" ht="14.25" customHeight="1">
      <c r="A83" s="124"/>
    </row>
    <row r="84" ht="14.25" customHeight="1">
      <c r="A84" s="124"/>
    </row>
    <row r="85" ht="14.25" customHeight="1">
      <c r="A85" s="124"/>
    </row>
    <row r="86" ht="14.25" customHeight="1">
      <c r="A86" s="124"/>
    </row>
    <row r="87" ht="14.25" customHeight="1">
      <c r="A87" s="124"/>
    </row>
    <row r="88" ht="14.25" customHeight="1">
      <c r="A88" s="124"/>
    </row>
    <row r="89" ht="14.25" customHeight="1">
      <c r="A89" s="124"/>
    </row>
    <row r="90" ht="14.25" customHeight="1">
      <c r="A90" s="124"/>
    </row>
    <row r="91" ht="14.25" customHeight="1">
      <c r="A91" s="124"/>
    </row>
    <row r="92" ht="14.25" customHeight="1">
      <c r="A92" s="124"/>
    </row>
    <row r="93" ht="14.25" customHeight="1">
      <c r="A93" s="124"/>
    </row>
    <row r="94" ht="14.25" customHeight="1">
      <c r="A94" s="124"/>
    </row>
    <row r="95" ht="14.25" customHeight="1">
      <c r="A95" s="124"/>
    </row>
    <row r="96" ht="14.25" customHeight="1">
      <c r="A96" s="124"/>
    </row>
    <row r="97" ht="14.25" customHeight="1">
      <c r="A97" s="124"/>
    </row>
    <row r="98" ht="14.25" customHeight="1">
      <c r="A98" s="124"/>
    </row>
    <row r="99" ht="14.25" customHeight="1">
      <c r="A99" s="124"/>
    </row>
    <row r="100" ht="14.25" customHeight="1">
      <c r="A100" s="124"/>
    </row>
    <row r="101" ht="14.25" customHeight="1">
      <c r="A101" s="124"/>
    </row>
    <row r="102" ht="14.25" customHeight="1">
      <c r="A102" s="124"/>
    </row>
    <row r="103" ht="14.25" customHeight="1">
      <c r="A103" s="124"/>
    </row>
    <row r="104" ht="14.25" customHeight="1">
      <c r="A104" s="124"/>
    </row>
    <row r="105" ht="14.25" customHeight="1">
      <c r="A105" s="124"/>
    </row>
    <row r="106" ht="14.25" customHeight="1">
      <c r="A106" s="124"/>
    </row>
    <row r="107" ht="14.25" customHeight="1">
      <c r="A107" s="124"/>
    </row>
    <row r="108" ht="14.25" customHeight="1">
      <c r="A108" s="124"/>
    </row>
    <row r="109" ht="14.25" customHeight="1">
      <c r="A109" s="124"/>
    </row>
    <row r="110" ht="14.25" customHeight="1">
      <c r="A110" s="124"/>
    </row>
    <row r="111" ht="14.25" customHeight="1">
      <c r="A111" s="124"/>
    </row>
    <row r="112" ht="14.25" customHeight="1">
      <c r="A112" s="124"/>
    </row>
    <row r="113" ht="14.25" customHeight="1">
      <c r="A113" s="124"/>
    </row>
    <row r="114" ht="14.25" customHeight="1">
      <c r="A114" s="124"/>
    </row>
    <row r="115" ht="14.25" customHeight="1">
      <c r="A115" s="124"/>
    </row>
    <row r="116" ht="14.25" customHeight="1">
      <c r="A116" s="124"/>
    </row>
    <row r="117" ht="14.25" customHeight="1">
      <c r="A117" s="124"/>
    </row>
    <row r="118" ht="14.25" customHeight="1">
      <c r="A118" s="124"/>
    </row>
    <row r="119" ht="14.25" customHeight="1">
      <c r="A119" s="124"/>
    </row>
    <row r="120" ht="14.25" customHeight="1">
      <c r="A120" s="124"/>
    </row>
    <row r="121" ht="14.25" customHeight="1">
      <c r="A121" s="124"/>
    </row>
    <row r="122" ht="14.25" customHeight="1">
      <c r="A122" s="124"/>
    </row>
    <row r="123" ht="14.25" customHeight="1">
      <c r="A123" s="124"/>
    </row>
    <row r="124" ht="14.25" customHeight="1">
      <c r="A124" s="124"/>
    </row>
    <row r="125" ht="14.25" customHeight="1">
      <c r="A125" s="124"/>
    </row>
    <row r="126" ht="14.25" customHeight="1">
      <c r="A126" s="124"/>
    </row>
    <row r="127" ht="14.25" customHeight="1">
      <c r="A127" s="124"/>
    </row>
    <row r="128" ht="14.25" customHeight="1">
      <c r="A128" s="124"/>
    </row>
    <row r="129" ht="14.25" customHeight="1">
      <c r="A129" s="124"/>
    </row>
    <row r="130" ht="14.25" customHeight="1">
      <c r="A130" s="124"/>
    </row>
    <row r="131" ht="14.25" customHeight="1">
      <c r="A131" s="124"/>
    </row>
    <row r="132" ht="14.25" customHeight="1">
      <c r="A132" s="124"/>
    </row>
    <row r="133" ht="14.25" customHeight="1">
      <c r="A133" s="124"/>
    </row>
    <row r="134" ht="14.25" customHeight="1">
      <c r="A134" s="124"/>
    </row>
    <row r="135" ht="14.25" customHeight="1">
      <c r="A135" s="124"/>
    </row>
    <row r="136" ht="14.25" customHeight="1">
      <c r="A136" s="124"/>
    </row>
    <row r="137" ht="14.25" customHeight="1">
      <c r="A137" s="124"/>
    </row>
    <row r="138" ht="14.25" customHeight="1">
      <c r="A138" s="124"/>
    </row>
    <row r="139" ht="14.25" customHeight="1">
      <c r="A139" s="124"/>
    </row>
    <row r="140" ht="14.25" customHeight="1">
      <c r="A140" s="124"/>
    </row>
    <row r="141" ht="14.25" customHeight="1">
      <c r="A141" s="124"/>
    </row>
    <row r="142" ht="14.25" customHeight="1">
      <c r="A142" s="124"/>
    </row>
    <row r="143" ht="14.25" customHeight="1">
      <c r="A143" s="124"/>
    </row>
    <row r="144" ht="14.25" customHeight="1">
      <c r="A144" s="124"/>
    </row>
    <row r="145" ht="14.25" customHeight="1">
      <c r="A145" s="124"/>
    </row>
    <row r="146" ht="14.25" customHeight="1">
      <c r="A146" s="124"/>
    </row>
    <row r="147" ht="14.25" customHeight="1">
      <c r="A147" s="124"/>
    </row>
    <row r="148" ht="14.25" customHeight="1">
      <c r="A148" s="124"/>
    </row>
    <row r="149" ht="14.25" customHeight="1">
      <c r="A149" s="124"/>
    </row>
    <row r="150" ht="14.25" customHeight="1">
      <c r="A150" s="124"/>
    </row>
    <row r="151" ht="14.25" customHeight="1">
      <c r="A151" s="124"/>
    </row>
    <row r="152" ht="14.25" customHeight="1">
      <c r="A152" s="124"/>
    </row>
    <row r="153" ht="14.25" customHeight="1">
      <c r="A153" s="124"/>
    </row>
    <row r="154" ht="14.25" customHeight="1">
      <c r="A154" s="124"/>
    </row>
    <row r="155" ht="14.25" customHeight="1">
      <c r="A155" s="124"/>
    </row>
    <row r="156" ht="14.25" customHeight="1">
      <c r="A156" s="124"/>
    </row>
    <row r="157" ht="14.25" customHeight="1">
      <c r="A157" s="124"/>
    </row>
    <row r="158" ht="14.25" customHeight="1">
      <c r="A158" s="124"/>
    </row>
    <row r="159" ht="14.25" customHeight="1">
      <c r="A159" s="124"/>
    </row>
    <row r="160" ht="14.25" customHeight="1">
      <c r="A160" s="124"/>
    </row>
    <row r="161" ht="14.25" customHeight="1">
      <c r="A161" s="124"/>
    </row>
    <row r="162" ht="14.25" customHeight="1">
      <c r="A162" s="124"/>
    </row>
    <row r="163" ht="14.25" customHeight="1">
      <c r="A163" s="124"/>
    </row>
    <row r="164" ht="14.25" customHeight="1">
      <c r="A164" s="124"/>
    </row>
    <row r="165" ht="14.25" customHeight="1">
      <c r="A165" s="124"/>
    </row>
    <row r="166" ht="14.25" customHeight="1">
      <c r="A166" s="124"/>
    </row>
    <row r="167" ht="14.25" customHeight="1">
      <c r="A167" s="124"/>
    </row>
    <row r="168" ht="14.25" customHeight="1">
      <c r="A168" s="124"/>
    </row>
    <row r="169" ht="14.25" customHeight="1">
      <c r="A169" s="124"/>
    </row>
    <row r="170" ht="14.25" customHeight="1">
      <c r="A170" s="124"/>
    </row>
    <row r="171" ht="14.25" customHeight="1">
      <c r="A171" s="124"/>
    </row>
    <row r="172" ht="14.25" customHeight="1">
      <c r="A172" s="124"/>
    </row>
    <row r="173" ht="14.25" customHeight="1">
      <c r="A173" s="124"/>
    </row>
    <row r="174" ht="14.25" customHeight="1">
      <c r="A174" s="124"/>
    </row>
    <row r="175" ht="14.25" customHeight="1">
      <c r="A175" s="124"/>
    </row>
    <row r="176" ht="14.25" customHeight="1">
      <c r="A176" s="124"/>
    </row>
    <row r="177" ht="14.25" customHeight="1">
      <c r="A177" s="124"/>
    </row>
    <row r="178" ht="14.25" customHeight="1">
      <c r="A178" s="124"/>
    </row>
    <row r="179" ht="14.25" customHeight="1">
      <c r="A179" s="124"/>
    </row>
    <row r="180" ht="14.25" customHeight="1">
      <c r="A180" s="124"/>
    </row>
    <row r="181" ht="14.25" customHeight="1">
      <c r="A181" s="124"/>
    </row>
    <row r="182" ht="14.25" customHeight="1">
      <c r="A182" s="124"/>
    </row>
    <row r="183" ht="14.25" customHeight="1">
      <c r="A183" s="124"/>
    </row>
    <row r="184" ht="14.25" customHeight="1">
      <c r="A184" s="124"/>
    </row>
    <row r="185" ht="14.25" customHeight="1">
      <c r="A185" s="124"/>
    </row>
    <row r="186" ht="14.25" customHeight="1">
      <c r="A186" s="124"/>
    </row>
    <row r="187" ht="14.25" customHeight="1">
      <c r="A187" s="124"/>
    </row>
    <row r="188" ht="14.25" customHeight="1">
      <c r="A188" s="124"/>
    </row>
    <row r="189" ht="14.25" customHeight="1">
      <c r="A189" s="124"/>
    </row>
    <row r="190" ht="14.25" customHeight="1">
      <c r="A190" s="124"/>
    </row>
    <row r="191" ht="14.25" customHeight="1">
      <c r="A191" s="124"/>
    </row>
    <row r="192" ht="14.25" customHeight="1">
      <c r="A192" s="124"/>
    </row>
    <row r="193" ht="14.25" customHeight="1">
      <c r="A193" s="124"/>
    </row>
    <row r="194" ht="14.25" customHeight="1">
      <c r="A194" s="124"/>
    </row>
    <row r="195" ht="14.25" customHeight="1">
      <c r="A195" s="124"/>
    </row>
    <row r="196" ht="14.25" customHeight="1">
      <c r="A196" s="124"/>
    </row>
    <row r="197" ht="14.25" customHeight="1">
      <c r="A197" s="124"/>
    </row>
    <row r="198" ht="14.25" customHeight="1">
      <c r="A198" s="124"/>
    </row>
    <row r="199" ht="14.25" customHeight="1">
      <c r="A199" s="124"/>
    </row>
    <row r="200" ht="14.25" customHeight="1">
      <c r="A200" s="124"/>
    </row>
    <row r="201" ht="14.25" customHeight="1">
      <c r="A201" s="124"/>
    </row>
    <row r="202" ht="14.25" customHeight="1">
      <c r="A202" s="124"/>
    </row>
    <row r="203" ht="14.25" customHeight="1">
      <c r="A203" s="124"/>
    </row>
    <row r="204" ht="14.25" customHeight="1">
      <c r="A204" s="124"/>
    </row>
    <row r="205" ht="14.25" customHeight="1">
      <c r="A205" s="124"/>
    </row>
    <row r="206" ht="14.25" customHeight="1">
      <c r="A206" s="124"/>
    </row>
    <row r="207" ht="14.25" customHeight="1">
      <c r="A207" s="124"/>
    </row>
    <row r="208" ht="14.25" customHeight="1">
      <c r="A208" s="124"/>
    </row>
    <row r="209" ht="14.25" customHeight="1">
      <c r="A209" s="124"/>
    </row>
    <row r="210" ht="14.25" customHeight="1">
      <c r="A210" s="124"/>
    </row>
    <row r="211" ht="14.25" customHeight="1">
      <c r="A211" s="124"/>
    </row>
    <row r="212" ht="14.25" customHeight="1">
      <c r="A212" s="124"/>
    </row>
    <row r="213" ht="14.25" customHeight="1">
      <c r="A213" s="124"/>
    </row>
    <row r="214" ht="14.25" customHeight="1">
      <c r="A214" s="124"/>
    </row>
    <row r="215" ht="14.25" customHeight="1">
      <c r="A215" s="124"/>
    </row>
    <row r="216" ht="14.25" customHeight="1">
      <c r="A216" s="124"/>
    </row>
    <row r="217" ht="14.25" customHeight="1">
      <c r="A217" s="124"/>
    </row>
    <row r="218" ht="14.25" customHeight="1">
      <c r="A218" s="124"/>
    </row>
    <row r="219" ht="14.25" customHeight="1">
      <c r="A219" s="124"/>
    </row>
    <row r="220" ht="14.25" customHeight="1">
      <c r="A220" s="124"/>
    </row>
    <row r="221" ht="14.25" customHeight="1">
      <c r="A221" s="124"/>
    </row>
    <row r="222" ht="14.25" customHeight="1">
      <c r="A222" s="124"/>
    </row>
    <row r="223" ht="14.25" customHeight="1">
      <c r="A223" s="124"/>
    </row>
    <row r="224" ht="14.25" customHeight="1">
      <c r="A224" s="124"/>
    </row>
    <row r="225" ht="14.25" customHeight="1">
      <c r="A225" s="124"/>
    </row>
    <row r="226" ht="14.25" customHeight="1">
      <c r="A226" s="124"/>
    </row>
    <row r="227" ht="14.25" customHeight="1">
      <c r="A227" s="124"/>
    </row>
    <row r="228" ht="14.25" customHeight="1">
      <c r="A228" s="124"/>
    </row>
    <row r="229" ht="14.25" customHeight="1">
      <c r="A229" s="124"/>
    </row>
    <row r="230" ht="14.25" customHeight="1">
      <c r="A230" s="124"/>
    </row>
    <row r="231" ht="14.25" customHeight="1">
      <c r="A231" s="124"/>
    </row>
    <row r="232" ht="14.25" customHeight="1">
      <c r="A232" s="124"/>
    </row>
    <row r="233" ht="14.25" customHeight="1">
      <c r="A233" s="124"/>
    </row>
    <row r="234" ht="14.25" customHeight="1">
      <c r="A234" s="124"/>
    </row>
    <row r="235" ht="14.25" customHeight="1">
      <c r="A235" s="124"/>
    </row>
    <row r="236" ht="14.25" customHeight="1">
      <c r="A236" s="124"/>
    </row>
    <row r="237" ht="14.25" customHeight="1">
      <c r="A237" s="124"/>
    </row>
    <row r="238" ht="14.25" customHeight="1">
      <c r="A238" s="124"/>
    </row>
    <row r="239" ht="14.25" customHeight="1">
      <c r="A239" s="124"/>
    </row>
    <row r="240" ht="14.25" customHeight="1">
      <c r="A240" s="124"/>
    </row>
    <row r="241" ht="14.25" customHeight="1">
      <c r="A241" s="124"/>
    </row>
    <row r="242" ht="14.25" customHeight="1">
      <c r="A242" s="124"/>
    </row>
    <row r="243" ht="14.25" customHeight="1">
      <c r="A243" s="124"/>
    </row>
    <row r="244" ht="14.25" customHeight="1">
      <c r="A244" s="124"/>
    </row>
    <row r="245" ht="14.25" customHeight="1">
      <c r="A245" s="124"/>
    </row>
    <row r="246" ht="14.25" customHeight="1">
      <c r="A246" s="124"/>
    </row>
    <row r="247" ht="14.25" customHeight="1">
      <c r="A247" s="124"/>
    </row>
    <row r="248" ht="14.25" customHeight="1">
      <c r="A248" s="124"/>
    </row>
    <row r="249" ht="14.25" customHeight="1">
      <c r="A249" s="124"/>
    </row>
    <row r="250" ht="14.25" customHeight="1">
      <c r="A250" s="124"/>
    </row>
    <row r="251" ht="14.25" customHeight="1">
      <c r="A251" s="124"/>
    </row>
    <row r="252" ht="14.25" customHeight="1">
      <c r="A252" s="124"/>
    </row>
    <row r="253" ht="14.25" customHeight="1">
      <c r="A253" s="124"/>
    </row>
    <row r="254" ht="14.25" customHeight="1">
      <c r="A254" s="124"/>
    </row>
    <row r="255" ht="14.25" customHeight="1">
      <c r="A255" s="124"/>
    </row>
    <row r="256" ht="14.25" customHeight="1">
      <c r="A256" s="124"/>
    </row>
    <row r="257" ht="14.25" customHeight="1">
      <c r="A257" s="124"/>
    </row>
    <row r="258" ht="14.25" customHeight="1">
      <c r="A258" s="124"/>
    </row>
    <row r="259" ht="14.25" customHeight="1">
      <c r="A259" s="124"/>
    </row>
    <row r="260" ht="14.25" customHeight="1">
      <c r="A260" s="124"/>
    </row>
    <row r="261" ht="14.25" customHeight="1">
      <c r="A261" s="124"/>
    </row>
    <row r="262" ht="14.25" customHeight="1">
      <c r="A262" s="124"/>
    </row>
    <row r="263" ht="14.25" customHeight="1">
      <c r="A263" s="124"/>
    </row>
    <row r="264" ht="14.25" customHeight="1">
      <c r="A264" s="124"/>
    </row>
    <row r="265" ht="14.25" customHeight="1">
      <c r="A265" s="124"/>
    </row>
    <row r="266" ht="14.25" customHeight="1">
      <c r="A266" s="124"/>
    </row>
    <row r="267" ht="14.25" customHeight="1">
      <c r="A267" s="124"/>
    </row>
    <row r="268" ht="14.25" customHeight="1">
      <c r="A268" s="124"/>
    </row>
    <row r="269" ht="14.25" customHeight="1">
      <c r="A269" s="124"/>
    </row>
    <row r="270" ht="14.25" customHeight="1">
      <c r="A270" s="124"/>
    </row>
    <row r="271" ht="14.25" customHeight="1">
      <c r="A271" s="124"/>
    </row>
    <row r="272" ht="14.25" customHeight="1">
      <c r="A272" s="124"/>
    </row>
    <row r="273" ht="14.25" customHeight="1">
      <c r="A273" s="124"/>
    </row>
    <row r="274" ht="14.25" customHeight="1">
      <c r="A274" s="124"/>
    </row>
    <row r="275" ht="14.25" customHeight="1">
      <c r="A275" s="124"/>
    </row>
    <row r="276" ht="14.25" customHeight="1">
      <c r="A276" s="124"/>
    </row>
    <row r="277" ht="14.25" customHeight="1">
      <c r="A277" s="12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